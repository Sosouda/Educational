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ran\Documents\Вилисов\Задание4\"/>
    </mc:Choice>
  </mc:AlternateContent>
  <xr:revisionPtr revIDLastSave="0" documentId="13_ncr:1_{91088916-A40D-47E2-9138-253F81A77A08}" xr6:coauthVersionLast="47" xr6:coauthVersionMax="47" xr10:uidLastSave="{00000000-0000-0000-0000-000000000000}"/>
  <bookViews>
    <workbookView xWindow="-120" yWindow="-120" windowWidth="29040" windowHeight="15720" activeTab="1" xr2:uid="{EE1AAD57-A1DF-4551-9DB7-50FC0659E0DA}"/>
  </bookViews>
  <sheets>
    <sheet name="1. Точечный прогноз СП" sheetId="8" r:id="rId1"/>
    <sheet name="2. Интервальный прогноз СП" sheetId="9" r:id="rId2"/>
  </sheets>
  <definedNames>
    <definedName name="solver_adj" localSheetId="0" hidden="1">'1. Точечный прогноз СП'!$M$5:$M$6</definedName>
    <definedName name="solver_adj" localSheetId="1" hidden="1">'2. Интервальный прогноз СП'!$AM$5:$AM$6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'1. Точечный прогноз СП'!$M$7</definedName>
    <definedName name="solver_opt" localSheetId="1" hidden="1">'2. Интервальный прогноз СП'!$AM$7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4" i="9" l="1"/>
  <c r="CR15" i="9"/>
  <c r="CR16" i="9"/>
  <c r="CR17" i="9"/>
  <c r="CR18" i="9"/>
  <c r="CR19" i="9"/>
  <c r="CR20" i="9"/>
  <c r="CR21" i="9"/>
  <c r="CR22" i="9"/>
  <c r="CR23" i="9"/>
  <c r="CR24" i="9"/>
  <c r="CR25" i="9"/>
  <c r="CR26" i="9"/>
  <c r="CR27" i="9"/>
  <c r="CR28" i="9"/>
  <c r="CR29" i="9"/>
  <c r="CR30" i="9"/>
  <c r="CR31" i="9"/>
  <c r="CR32" i="9"/>
  <c r="CR33" i="9"/>
  <c r="CR34" i="9"/>
  <c r="CR35" i="9"/>
  <c r="CR36" i="9"/>
  <c r="CR37" i="9"/>
  <c r="CR38" i="9"/>
  <c r="CR39" i="9"/>
  <c r="CR40" i="9"/>
  <c r="CR41" i="9"/>
  <c r="CR42" i="9"/>
  <c r="CR43" i="9"/>
  <c r="CR44" i="9"/>
  <c r="CR45" i="9"/>
  <c r="CR46" i="9"/>
  <c r="CR47" i="9"/>
  <c r="CR48" i="9"/>
  <c r="CR49" i="9"/>
  <c r="CR50" i="9"/>
  <c r="CR51" i="9"/>
  <c r="CR52" i="9"/>
  <c r="CR53" i="9"/>
  <c r="CR54" i="9"/>
  <c r="CR55" i="9"/>
  <c r="CR56" i="9"/>
  <c r="CR57" i="9"/>
  <c r="CR58" i="9"/>
  <c r="CR59" i="9"/>
  <c r="CR60" i="9"/>
  <c r="CR61" i="9"/>
  <c r="CS61" i="9" s="1"/>
  <c r="CR62" i="9"/>
  <c r="CR63" i="9"/>
  <c r="CR64" i="9"/>
  <c r="CR65" i="9"/>
  <c r="CR66" i="9"/>
  <c r="CR67" i="9"/>
  <c r="CR68" i="9"/>
  <c r="CR69" i="9"/>
  <c r="CR70" i="9"/>
  <c r="CR71" i="9"/>
  <c r="CR72" i="9"/>
  <c r="CR73" i="9"/>
  <c r="CR74" i="9"/>
  <c r="CR75" i="9"/>
  <c r="CR76" i="9"/>
  <c r="CR77" i="9"/>
  <c r="CR78" i="9"/>
  <c r="CR79" i="9"/>
  <c r="CR80" i="9"/>
  <c r="CR81" i="9"/>
  <c r="CR82" i="9"/>
  <c r="CR83" i="9"/>
  <c r="CR84" i="9"/>
  <c r="CR85" i="9"/>
  <c r="CS85" i="9" s="1"/>
  <c r="CR86" i="9"/>
  <c r="CR87" i="9"/>
  <c r="CR88" i="9"/>
  <c r="CR89" i="9"/>
  <c r="CR90" i="9"/>
  <c r="CR91" i="9"/>
  <c r="CR92" i="9"/>
  <c r="CR93" i="9"/>
  <c r="CR94" i="9"/>
  <c r="CR95" i="9"/>
  <c r="CR96" i="9"/>
  <c r="CR97" i="9"/>
  <c r="CR98" i="9"/>
  <c r="CR99" i="9"/>
  <c r="CR100" i="9"/>
  <c r="CR101" i="9"/>
  <c r="CR102" i="9"/>
  <c r="CR103" i="9"/>
  <c r="CR104" i="9"/>
  <c r="CR105" i="9"/>
  <c r="CR106" i="9"/>
  <c r="CR107" i="9"/>
  <c r="CR108" i="9"/>
  <c r="CR109" i="9"/>
  <c r="CR110" i="9"/>
  <c r="CR111" i="9"/>
  <c r="CR112" i="9"/>
  <c r="CR113" i="9"/>
  <c r="CR114" i="9"/>
  <c r="CR115" i="9"/>
  <c r="CR116" i="9"/>
  <c r="CR117" i="9"/>
  <c r="CR118" i="9"/>
  <c r="CR119" i="9"/>
  <c r="CR120" i="9"/>
  <c r="CR121" i="9"/>
  <c r="CS121" i="9" s="1"/>
  <c r="CR122" i="9"/>
  <c r="CR123" i="9"/>
  <c r="CR124" i="9"/>
  <c r="CR125" i="9"/>
  <c r="CR126" i="9"/>
  <c r="CR127" i="9"/>
  <c r="CR128" i="9"/>
  <c r="CR129" i="9"/>
  <c r="CR130" i="9"/>
  <c r="CR131" i="9"/>
  <c r="CR132" i="9"/>
  <c r="CR133" i="9"/>
  <c r="CR134" i="9"/>
  <c r="CR135" i="9"/>
  <c r="CR136" i="9"/>
  <c r="CR137" i="9"/>
  <c r="CR138" i="9"/>
  <c r="CR13" i="9"/>
  <c r="CO14" i="9"/>
  <c r="CO15" i="9"/>
  <c r="CO16" i="9"/>
  <c r="CO17" i="9"/>
  <c r="CO18" i="9"/>
  <c r="CO19" i="9"/>
  <c r="CO20" i="9"/>
  <c r="CO21" i="9"/>
  <c r="CO22" i="9"/>
  <c r="CO23" i="9"/>
  <c r="CO24" i="9"/>
  <c r="CO25" i="9"/>
  <c r="CO26" i="9"/>
  <c r="CO27" i="9"/>
  <c r="CO28" i="9"/>
  <c r="CO29" i="9"/>
  <c r="CO30" i="9"/>
  <c r="CO31" i="9"/>
  <c r="CO32" i="9"/>
  <c r="CO33" i="9"/>
  <c r="CO34" i="9"/>
  <c r="CO35" i="9"/>
  <c r="CO36" i="9"/>
  <c r="CO37" i="9"/>
  <c r="CO38" i="9"/>
  <c r="CO39" i="9"/>
  <c r="CO40" i="9"/>
  <c r="CO41" i="9"/>
  <c r="CO42" i="9"/>
  <c r="CO43" i="9"/>
  <c r="CO44" i="9"/>
  <c r="CO45" i="9"/>
  <c r="CO46" i="9"/>
  <c r="CO47" i="9"/>
  <c r="CO48" i="9"/>
  <c r="CO49" i="9"/>
  <c r="CO50" i="9"/>
  <c r="CO51" i="9"/>
  <c r="CO52" i="9"/>
  <c r="CO53" i="9"/>
  <c r="CO54" i="9"/>
  <c r="CO55" i="9"/>
  <c r="CO56" i="9"/>
  <c r="CO57" i="9"/>
  <c r="CO58" i="9"/>
  <c r="CO59" i="9"/>
  <c r="CO60" i="9"/>
  <c r="CO61" i="9"/>
  <c r="CO62" i="9"/>
  <c r="CO63" i="9"/>
  <c r="CO64" i="9"/>
  <c r="CO65" i="9"/>
  <c r="CO66" i="9"/>
  <c r="CO67" i="9"/>
  <c r="CO68" i="9"/>
  <c r="CO69" i="9"/>
  <c r="CO70" i="9"/>
  <c r="CO71" i="9"/>
  <c r="CO72" i="9"/>
  <c r="CO73" i="9"/>
  <c r="CO74" i="9"/>
  <c r="CO75" i="9"/>
  <c r="CO76" i="9"/>
  <c r="CO77" i="9"/>
  <c r="CO78" i="9"/>
  <c r="CO79" i="9"/>
  <c r="CO80" i="9"/>
  <c r="CO81" i="9"/>
  <c r="CO82" i="9"/>
  <c r="CO83" i="9"/>
  <c r="CO84" i="9"/>
  <c r="CO85" i="9"/>
  <c r="CO86" i="9"/>
  <c r="CO87" i="9"/>
  <c r="CO88" i="9"/>
  <c r="CO89" i="9"/>
  <c r="CO90" i="9"/>
  <c r="CO91" i="9"/>
  <c r="CO92" i="9"/>
  <c r="CO93" i="9"/>
  <c r="CO94" i="9"/>
  <c r="CO95" i="9"/>
  <c r="CO96" i="9"/>
  <c r="CO97" i="9"/>
  <c r="CO98" i="9"/>
  <c r="CO99" i="9"/>
  <c r="CO100" i="9"/>
  <c r="CO101" i="9"/>
  <c r="CO102" i="9"/>
  <c r="CO103" i="9"/>
  <c r="CO104" i="9"/>
  <c r="CO105" i="9"/>
  <c r="CO106" i="9"/>
  <c r="CO107" i="9"/>
  <c r="CO108" i="9"/>
  <c r="CO109" i="9"/>
  <c r="CO110" i="9"/>
  <c r="CO111" i="9"/>
  <c r="CO112" i="9"/>
  <c r="CO113" i="9"/>
  <c r="CO114" i="9"/>
  <c r="CO115" i="9"/>
  <c r="CO116" i="9"/>
  <c r="CO117" i="9"/>
  <c r="CO118" i="9"/>
  <c r="CO119" i="9"/>
  <c r="CO120" i="9"/>
  <c r="CO121" i="9"/>
  <c r="CO122" i="9"/>
  <c r="CO123" i="9"/>
  <c r="CO124" i="9"/>
  <c r="CO125" i="9"/>
  <c r="CO126" i="9"/>
  <c r="CO127" i="9"/>
  <c r="CO128" i="9"/>
  <c r="CO129" i="9"/>
  <c r="CO130" i="9"/>
  <c r="CO131" i="9"/>
  <c r="CO132" i="9"/>
  <c r="CP132" i="9" s="1"/>
  <c r="CO133" i="9"/>
  <c r="CO134" i="9"/>
  <c r="CO135" i="9"/>
  <c r="CO136" i="9"/>
  <c r="CO137" i="9"/>
  <c r="CO138" i="9"/>
  <c r="CO13" i="9"/>
  <c r="CL14" i="9"/>
  <c r="CL15" i="9"/>
  <c r="CL16" i="9"/>
  <c r="CL17" i="9"/>
  <c r="CL18" i="9"/>
  <c r="CL19" i="9"/>
  <c r="CL20" i="9"/>
  <c r="CL21" i="9"/>
  <c r="CL22" i="9"/>
  <c r="CL23" i="9"/>
  <c r="CL24" i="9"/>
  <c r="CL25" i="9"/>
  <c r="CL26" i="9"/>
  <c r="CL27" i="9"/>
  <c r="CL28" i="9"/>
  <c r="CL29" i="9"/>
  <c r="CL30" i="9"/>
  <c r="CL31" i="9"/>
  <c r="CL32" i="9"/>
  <c r="CL33" i="9"/>
  <c r="CN33" i="9" s="1"/>
  <c r="CL34" i="9"/>
  <c r="CL35" i="9"/>
  <c r="CL36" i="9"/>
  <c r="CL37" i="9"/>
  <c r="CL38" i="9"/>
  <c r="CL39" i="9"/>
  <c r="CL40" i="9"/>
  <c r="CL41" i="9"/>
  <c r="CL42" i="9"/>
  <c r="CL43" i="9"/>
  <c r="CL44" i="9"/>
  <c r="CL45" i="9"/>
  <c r="CL46" i="9"/>
  <c r="CL47" i="9"/>
  <c r="CL48" i="9"/>
  <c r="CL49" i="9"/>
  <c r="CL50" i="9"/>
  <c r="CL51" i="9"/>
  <c r="CL52" i="9"/>
  <c r="CL53" i="9"/>
  <c r="CL54" i="9"/>
  <c r="CL55" i="9"/>
  <c r="CL56" i="9"/>
  <c r="CL57" i="9"/>
  <c r="CL58" i="9"/>
  <c r="CL59" i="9"/>
  <c r="CL60" i="9"/>
  <c r="CL61" i="9"/>
  <c r="CL62" i="9"/>
  <c r="CL63" i="9"/>
  <c r="CL64" i="9"/>
  <c r="CL65" i="9"/>
  <c r="CL66" i="9"/>
  <c r="CL67" i="9"/>
  <c r="CL68" i="9"/>
  <c r="CL69" i="9"/>
  <c r="CL70" i="9"/>
  <c r="CL71" i="9"/>
  <c r="CL72" i="9"/>
  <c r="CL73" i="9"/>
  <c r="CL74" i="9"/>
  <c r="CL75" i="9"/>
  <c r="CL76" i="9"/>
  <c r="CL77" i="9"/>
  <c r="CL78" i="9"/>
  <c r="CL79" i="9"/>
  <c r="CL80" i="9"/>
  <c r="CL81" i="9"/>
  <c r="CL82" i="9"/>
  <c r="CL83" i="9"/>
  <c r="CL84" i="9"/>
  <c r="CL85" i="9"/>
  <c r="CL86" i="9"/>
  <c r="CL87" i="9"/>
  <c r="CL88" i="9"/>
  <c r="CL89" i="9"/>
  <c r="CL90" i="9"/>
  <c r="CL91" i="9"/>
  <c r="CL92" i="9"/>
  <c r="CL93" i="9"/>
  <c r="CL94" i="9"/>
  <c r="CL95" i="9"/>
  <c r="CL96" i="9"/>
  <c r="CL97" i="9"/>
  <c r="CL98" i="9"/>
  <c r="CL99" i="9"/>
  <c r="CL100" i="9"/>
  <c r="CL101" i="9"/>
  <c r="CL102" i="9"/>
  <c r="CL103" i="9"/>
  <c r="CL104" i="9"/>
  <c r="CL105" i="9"/>
  <c r="CL106" i="9"/>
  <c r="CL107" i="9"/>
  <c r="CL108" i="9"/>
  <c r="CL109" i="9"/>
  <c r="CL110" i="9"/>
  <c r="CL111" i="9"/>
  <c r="CL112" i="9"/>
  <c r="CL113" i="9"/>
  <c r="CL114" i="9"/>
  <c r="CL115" i="9"/>
  <c r="CL116" i="9"/>
  <c r="CL117" i="9"/>
  <c r="CL118" i="9"/>
  <c r="CL119" i="9"/>
  <c r="CL120" i="9"/>
  <c r="CL121" i="9"/>
  <c r="CL122" i="9"/>
  <c r="CL123" i="9"/>
  <c r="CL124" i="9"/>
  <c r="CL125" i="9"/>
  <c r="CL126" i="9"/>
  <c r="CL127" i="9"/>
  <c r="CL128" i="9"/>
  <c r="CL129" i="9"/>
  <c r="CL130" i="9"/>
  <c r="CL131" i="9"/>
  <c r="CL132" i="9"/>
  <c r="CL133" i="9"/>
  <c r="CL134" i="9"/>
  <c r="CL135" i="9"/>
  <c r="CL136" i="9"/>
  <c r="CL137" i="9"/>
  <c r="CL138" i="9"/>
  <c r="CL13" i="9"/>
  <c r="CP48" i="9"/>
  <c r="CP72" i="9"/>
  <c r="CQ79" i="9"/>
  <c r="CQ105" i="9"/>
  <c r="CQ106" i="9"/>
  <c r="CQ132" i="9"/>
  <c r="CK13" i="9"/>
  <c r="AU6" i="9"/>
  <c r="AU5" i="9"/>
  <c r="CK20" i="9"/>
  <c r="CK21" i="9"/>
  <c r="CK22" i="9"/>
  <c r="CK23" i="9"/>
  <c r="CK24" i="9"/>
  <c r="CK25" i="9"/>
  <c r="CK32" i="9"/>
  <c r="CK33" i="9"/>
  <c r="CK34" i="9"/>
  <c r="CK35" i="9"/>
  <c r="CK36" i="9"/>
  <c r="CK37" i="9"/>
  <c r="CK44" i="9"/>
  <c r="CK45" i="9"/>
  <c r="CK46" i="9"/>
  <c r="CK47" i="9"/>
  <c r="CK48" i="9"/>
  <c r="CK49" i="9"/>
  <c r="CK56" i="9"/>
  <c r="CK57" i="9"/>
  <c r="CK58" i="9"/>
  <c r="CK59" i="9"/>
  <c r="CK60" i="9"/>
  <c r="CK61" i="9"/>
  <c r="CK67" i="9"/>
  <c r="CK68" i="9"/>
  <c r="CK69" i="9"/>
  <c r="CK70" i="9"/>
  <c r="CK71" i="9"/>
  <c r="CK72" i="9"/>
  <c r="CK73" i="9"/>
  <c r="CK79" i="9"/>
  <c r="CK80" i="9"/>
  <c r="CQ80" i="9" s="1"/>
  <c r="CK81" i="9"/>
  <c r="CK82" i="9"/>
  <c r="CK83" i="9"/>
  <c r="CK84" i="9"/>
  <c r="CK85" i="9"/>
  <c r="CK91" i="9"/>
  <c r="CK92" i="9"/>
  <c r="CN92" i="9" s="1"/>
  <c r="CK93" i="9"/>
  <c r="CK94" i="9"/>
  <c r="CK95" i="9"/>
  <c r="CK96" i="9"/>
  <c r="CK97" i="9"/>
  <c r="CK103" i="9"/>
  <c r="CK104" i="9"/>
  <c r="CK105" i="9"/>
  <c r="CK106" i="9"/>
  <c r="CK107" i="9"/>
  <c r="CK108" i="9"/>
  <c r="CK109" i="9"/>
  <c r="CK115" i="9"/>
  <c r="CK116" i="9"/>
  <c r="CK117" i="9"/>
  <c r="CK118" i="9"/>
  <c r="CK119" i="9"/>
  <c r="CK120" i="9"/>
  <c r="CK121" i="9"/>
  <c r="CK127" i="9"/>
  <c r="CK128" i="9"/>
  <c r="CK129" i="9"/>
  <c r="CP129" i="9" s="1"/>
  <c r="CK130" i="9"/>
  <c r="CP130" i="9" s="1"/>
  <c r="CK131" i="9"/>
  <c r="CK132" i="9"/>
  <c r="CK133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BL7" i="9"/>
  <c r="BL6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C9" i="9" s="1"/>
  <c r="CD5" i="9"/>
  <c r="CE5" i="9"/>
  <c r="CF5" i="9"/>
  <c r="CG5" i="9"/>
  <c r="CH5" i="9"/>
  <c r="CI5" i="9"/>
  <c r="CI4" i="9"/>
  <c r="CI9" i="9" s="1"/>
  <c r="CF4" i="9"/>
  <c r="CF9" i="9" s="1"/>
  <c r="CG4" i="9"/>
  <c r="CH4" i="9"/>
  <c r="CE4" i="9"/>
  <c r="CE9" i="9" s="1"/>
  <c r="BY4" i="9"/>
  <c r="BZ4" i="9"/>
  <c r="CA4" i="9"/>
  <c r="CB4" i="9"/>
  <c r="CC4" i="9"/>
  <c r="CD4" i="9"/>
  <c r="BM4" i="9"/>
  <c r="BN4" i="9"/>
  <c r="BN9" i="9" s="1"/>
  <c r="BO4" i="9"/>
  <c r="BO9" i="9" s="1"/>
  <c r="BP4" i="9"/>
  <c r="BP9" i="9" s="1"/>
  <c r="BQ4" i="9"/>
  <c r="BR4" i="9"/>
  <c r="BS4" i="9"/>
  <c r="BS9" i="9" s="1"/>
  <c r="BT4" i="9"/>
  <c r="BU4" i="9"/>
  <c r="BU9" i="9" s="1"/>
  <c r="BV4" i="9"/>
  <c r="BW4" i="9"/>
  <c r="BX4" i="9"/>
  <c r="BL5" i="9"/>
  <c r="BL4" i="9"/>
  <c r="BL9" i="9" s="1"/>
  <c r="BK5" i="9"/>
  <c r="BR8" i="9" s="1"/>
  <c r="BK4" i="9"/>
  <c r="AS6" i="9"/>
  <c r="AS5" i="9"/>
  <c r="AP6" i="9"/>
  <c r="CK86" i="9" s="1"/>
  <c r="CS86" i="9" s="1"/>
  <c r="AP5" i="9"/>
  <c r="CK14" i="9" s="1"/>
  <c r="BZ121" i="9"/>
  <c r="CB125" i="9"/>
  <c r="BF137" i="9"/>
  <c r="AX137" i="9"/>
  <c r="CE138" i="9" s="1"/>
  <c r="AW137" i="9"/>
  <c r="CD138" i="9" s="1"/>
  <c r="AU137" i="9"/>
  <c r="CB138" i="9" s="1"/>
  <c r="BF136" i="9"/>
  <c r="AV136" i="9"/>
  <c r="CC137" i="9" s="1"/>
  <c r="AU136" i="9"/>
  <c r="CB137" i="9" s="1"/>
  <c r="AK136" i="9"/>
  <c r="BR137" i="9" s="1"/>
  <c r="B137" i="9"/>
  <c r="AV137" i="9" s="1"/>
  <c r="CC138" i="9" s="1"/>
  <c r="BF135" i="9"/>
  <c r="B136" i="9"/>
  <c r="AQ136" i="9" s="1"/>
  <c r="BX137" i="9" s="1"/>
  <c r="BF134" i="9"/>
  <c r="BA134" i="9"/>
  <c r="CH135" i="9" s="1"/>
  <c r="AZ134" i="9"/>
  <c r="CG135" i="9" s="1"/>
  <c r="AY134" i="9"/>
  <c r="CF135" i="9" s="1"/>
  <c r="AW134" i="9"/>
  <c r="CD135" i="9" s="1"/>
  <c r="B135" i="9"/>
  <c r="AQ135" i="9" s="1"/>
  <c r="BX136" i="9" s="1"/>
  <c r="BF133" i="9"/>
  <c r="AU133" i="9"/>
  <c r="CB134" i="9" s="1"/>
  <c r="AK133" i="9"/>
  <c r="BR134" i="9" s="1"/>
  <c r="AJ133" i="9"/>
  <c r="BQ134" i="9" s="1"/>
  <c r="B134" i="9"/>
  <c r="BF132" i="9"/>
  <c r="B133" i="9"/>
  <c r="BF131" i="9"/>
  <c r="B132" i="9"/>
  <c r="BF130" i="9"/>
  <c r="B131" i="9"/>
  <c r="AN131" i="9" s="1"/>
  <c r="BU132" i="9" s="1"/>
  <c r="BF129" i="9"/>
  <c r="B130" i="9"/>
  <c r="AI130" i="9" s="1"/>
  <c r="BP131" i="9" s="1"/>
  <c r="BF128" i="9"/>
  <c r="B129" i="9"/>
  <c r="BF127" i="9"/>
  <c r="AW127" i="9"/>
  <c r="CD128" i="9" s="1"/>
  <c r="AU127" i="9"/>
  <c r="CB128" i="9" s="1"/>
  <c r="B128" i="9"/>
  <c r="AU128" i="9" s="1"/>
  <c r="CB129" i="9" s="1"/>
  <c r="BF126" i="9"/>
  <c r="B127" i="9"/>
  <c r="AS127" i="9" s="1"/>
  <c r="BZ128" i="9" s="1"/>
  <c r="BF125" i="9"/>
  <c r="AT125" i="9"/>
  <c r="CA126" i="9" s="1"/>
  <c r="B126" i="9"/>
  <c r="BF124" i="9"/>
  <c r="AG124" i="9"/>
  <c r="BN125" i="9" s="1"/>
  <c r="AF124" i="9"/>
  <c r="BM125" i="9" s="1"/>
  <c r="B125" i="9"/>
  <c r="BF123" i="9"/>
  <c r="B124" i="9"/>
  <c r="AU124" i="9" s="1"/>
  <c r="BF122" i="9"/>
  <c r="AT122" i="9"/>
  <c r="CA123" i="9" s="1"/>
  <c r="AH122" i="9"/>
  <c r="BO123" i="9" s="1"/>
  <c r="B123" i="9"/>
  <c r="BF121" i="9"/>
  <c r="B122" i="9"/>
  <c r="AU122" i="9" s="1"/>
  <c r="CB123" i="9" s="1"/>
  <c r="BF120" i="9"/>
  <c r="AS120" i="9"/>
  <c r="AN120" i="9"/>
  <c r="BU121" i="9" s="1"/>
  <c r="AF120" i="9"/>
  <c r="BM121" i="9" s="1"/>
  <c r="B121" i="9"/>
  <c r="AR121" i="9" s="1"/>
  <c r="BY122" i="9" s="1"/>
  <c r="BF119" i="9"/>
  <c r="AT119" i="9"/>
  <c r="CA120" i="9" s="1"/>
  <c r="AO119" i="9"/>
  <c r="BV120" i="9" s="1"/>
  <c r="AN119" i="9"/>
  <c r="BU120" i="9" s="1"/>
  <c r="AJ119" i="9"/>
  <c r="BQ120" i="9" s="1"/>
  <c r="B120" i="9"/>
  <c r="AG120" i="9" s="1"/>
  <c r="BN121" i="9" s="1"/>
  <c r="BF118" i="9"/>
  <c r="B119" i="9"/>
  <c r="AU119" i="9" s="1"/>
  <c r="CB120" i="9" s="1"/>
  <c r="BF117" i="9"/>
  <c r="BA117" i="9"/>
  <c r="CH118" i="9" s="1"/>
  <c r="AN117" i="9"/>
  <c r="BU118" i="9" s="1"/>
  <c r="AF117" i="9"/>
  <c r="BM118" i="9" s="1"/>
  <c r="B118" i="9"/>
  <c r="AK118" i="9" s="1"/>
  <c r="BR119" i="9" s="1"/>
  <c r="BF116" i="9"/>
  <c r="B117" i="9"/>
  <c r="AZ117" i="9" s="1"/>
  <c r="CG118" i="9" s="1"/>
  <c r="BF115" i="9"/>
  <c r="B116" i="9"/>
  <c r="BF114" i="9"/>
  <c r="AG114" i="9"/>
  <c r="BN115" i="9" s="1"/>
  <c r="B115" i="9"/>
  <c r="BF113" i="9"/>
  <c r="AY113" i="9"/>
  <c r="CF114" i="9" s="1"/>
  <c r="AQ113" i="9"/>
  <c r="BX114" i="9" s="1"/>
  <c r="B114" i="9"/>
  <c r="BF112" i="9"/>
  <c r="B113" i="9"/>
  <c r="AO113" i="9" s="1"/>
  <c r="BV114" i="9" s="1"/>
  <c r="BF111" i="9"/>
  <c r="BA111" i="9"/>
  <c r="CH112" i="9" s="1"/>
  <c r="AV111" i="9"/>
  <c r="CC112" i="9" s="1"/>
  <c r="AK111" i="9"/>
  <c r="BR112" i="9" s="1"/>
  <c r="B112" i="9"/>
  <c r="AW112" i="9" s="1"/>
  <c r="CD113" i="9" s="1"/>
  <c r="BF110" i="9"/>
  <c r="AN110" i="9"/>
  <c r="BU111" i="9" s="1"/>
  <c r="B111" i="9"/>
  <c r="AN111" i="9" s="1"/>
  <c r="BU112" i="9" s="1"/>
  <c r="BF109" i="9"/>
  <c r="B110" i="9"/>
  <c r="AT110" i="9" s="1"/>
  <c r="CA111" i="9" s="1"/>
  <c r="BF108" i="9"/>
  <c r="AW108" i="9"/>
  <c r="CD109" i="9" s="1"/>
  <c r="AV108" i="9"/>
  <c r="CC109" i="9" s="1"/>
  <c r="AR108" i="9"/>
  <c r="BY109" i="9" s="1"/>
  <c r="AP108" i="9"/>
  <c r="BW109" i="9" s="1"/>
  <c r="AO108" i="9"/>
  <c r="BV109" i="9" s="1"/>
  <c r="AD108" i="9"/>
  <c r="BK109" i="9" s="1"/>
  <c r="B109" i="9"/>
  <c r="AG109" i="9" s="1"/>
  <c r="BN110" i="9" s="1"/>
  <c r="BF107" i="9"/>
  <c r="B108" i="9"/>
  <c r="AK108" i="9" s="1"/>
  <c r="BR109" i="9" s="1"/>
  <c r="BF106" i="9"/>
  <c r="B107" i="9"/>
  <c r="BF105" i="9"/>
  <c r="AK105" i="9"/>
  <c r="BR106" i="9" s="1"/>
  <c r="B106" i="9"/>
  <c r="AY106" i="9" s="1"/>
  <c r="CF107" i="9" s="1"/>
  <c r="BF104" i="9"/>
  <c r="BA104" i="9"/>
  <c r="CH105" i="9" s="1"/>
  <c r="AR104" i="9"/>
  <c r="BY105" i="9" s="1"/>
  <c r="AQ104" i="9"/>
  <c r="BX105" i="9" s="1"/>
  <c r="AP104" i="9"/>
  <c r="BW105" i="9" s="1"/>
  <c r="AO104" i="9"/>
  <c r="BV105" i="9" s="1"/>
  <c r="AN104" i="9"/>
  <c r="BU105" i="9" s="1"/>
  <c r="AJ104" i="9"/>
  <c r="BQ105" i="9" s="1"/>
  <c r="AI104" i="9"/>
  <c r="BP105" i="9" s="1"/>
  <c r="AH104" i="9"/>
  <c r="BO105" i="9" s="1"/>
  <c r="B105" i="9"/>
  <c r="AD105" i="9" s="1"/>
  <c r="BK106" i="9" s="1"/>
  <c r="BF103" i="9"/>
  <c r="AZ103" i="9"/>
  <c r="CG104" i="9" s="1"/>
  <c r="AY103" i="9"/>
  <c r="CF104" i="9" s="1"/>
  <c r="AV103" i="9"/>
  <c r="CC104" i="9" s="1"/>
  <c r="AT103" i="9"/>
  <c r="CA104" i="9" s="1"/>
  <c r="AL103" i="9"/>
  <c r="BS104" i="9" s="1"/>
  <c r="AK103" i="9"/>
  <c r="BR104" i="9" s="1"/>
  <c r="B104" i="9"/>
  <c r="AY104" i="9" s="1"/>
  <c r="CF105" i="9" s="1"/>
  <c r="BF102" i="9"/>
  <c r="B103" i="9"/>
  <c r="AU103" i="9" s="1"/>
  <c r="CB104" i="9" s="1"/>
  <c r="BF101" i="9"/>
  <c r="BB101" i="9"/>
  <c r="CI102" i="9" s="1"/>
  <c r="BA101" i="9"/>
  <c r="CH102" i="9" s="1"/>
  <c r="AZ101" i="9"/>
  <c r="CG102" i="9" s="1"/>
  <c r="AW101" i="9"/>
  <c r="CD102" i="9" s="1"/>
  <c r="AV101" i="9"/>
  <c r="CC102" i="9" s="1"/>
  <c r="AL101" i="9"/>
  <c r="BS102" i="9" s="1"/>
  <c r="AK101" i="9"/>
  <c r="BR102" i="9" s="1"/>
  <c r="AI101" i="9"/>
  <c r="BP102" i="9" s="1"/>
  <c r="AH101" i="9"/>
  <c r="BO102" i="9" s="1"/>
  <c r="AF101" i="9"/>
  <c r="BM102" i="9" s="1"/>
  <c r="AD101" i="9"/>
  <c r="BK102" i="9" s="1"/>
  <c r="B102" i="9"/>
  <c r="AP102" i="9" s="1"/>
  <c r="BW103" i="9" s="1"/>
  <c r="BF100" i="9"/>
  <c r="B101" i="9"/>
  <c r="AY101" i="9" s="1"/>
  <c r="CF102" i="9" s="1"/>
  <c r="BF99" i="9"/>
  <c r="AP99" i="9"/>
  <c r="BW100" i="9" s="1"/>
  <c r="AI99" i="9"/>
  <c r="BP100" i="9" s="1"/>
  <c r="B100" i="9"/>
  <c r="BF98" i="9"/>
  <c r="B99" i="9"/>
  <c r="BF97" i="9"/>
  <c r="AG97" i="9"/>
  <c r="BN98" i="9" s="1"/>
  <c r="B98" i="9"/>
  <c r="AI98" i="9" s="1"/>
  <c r="BP99" i="9" s="1"/>
  <c r="BF96" i="9"/>
  <c r="B97" i="9"/>
  <c r="BF95" i="9"/>
  <c r="BB95" i="9"/>
  <c r="CI96" i="9" s="1"/>
  <c r="AU95" i="9"/>
  <c r="CB96" i="9" s="1"/>
  <c r="AR95" i="9"/>
  <c r="BY96" i="9" s="1"/>
  <c r="AQ95" i="9"/>
  <c r="BX96" i="9" s="1"/>
  <c r="AP95" i="9"/>
  <c r="BW96" i="9" s="1"/>
  <c r="AO95" i="9"/>
  <c r="BV96" i="9" s="1"/>
  <c r="AN95" i="9"/>
  <c r="BU96" i="9" s="1"/>
  <c r="AL95" i="9"/>
  <c r="BS96" i="9" s="1"/>
  <c r="AK95" i="9"/>
  <c r="BR96" i="9" s="1"/>
  <c r="B96" i="9"/>
  <c r="AL96" i="9" s="1"/>
  <c r="BS97" i="9" s="1"/>
  <c r="BF94" i="9"/>
  <c r="AY94" i="9"/>
  <c r="CF95" i="9" s="1"/>
  <c r="AX94" i="9"/>
  <c r="CE95" i="9" s="1"/>
  <c r="AW94" i="9"/>
  <c r="CD95" i="9" s="1"/>
  <c r="AS94" i="9"/>
  <c r="BZ95" i="9" s="1"/>
  <c r="AR94" i="9"/>
  <c r="BY95" i="9" s="1"/>
  <c r="AF94" i="9"/>
  <c r="BM95" i="9" s="1"/>
  <c r="B95" i="9"/>
  <c r="AY95" i="9" s="1"/>
  <c r="CF96" i="9" s="1"/>
  <c r="BF93" i="9"/>
  <c r="BA93" i="9"/>
  <c r="CH94" i="9" s="1"/>
  <c r="AZ93" i="9"/>
  <c r="CG94" i="9" s="1"/>
  <c r="AX93" i="9"/>
  <c r="CE94" i="9" s="1"/>
  <c r="AV93" i="9"/>
  <c r="CC94" i="9" s="1"/>
  <c r="AO93" i="9"/>
  <c r="BV94" i="9" s="1"/>
  <c r="AL93" i="9"/>
  <c r="BS94" i="9" s="1"/>
  <c r="AJ93" i="9"/>
  <c r="BQ94" i="9" s="1"/>
  <c r="B94" i="9"/>
  <c r="AV94" i="9" s="1"/>
  <c r="CC95" i="9" s="1"/>
  <c r="BF92" i="9"/>
  <c r="B93" i="9"/>
  <c r="BF91" i="9"/>
  <c r="AW91" i="9"/>
  <c r="CD92" i="9" s="1"/>
  <c r="B92" i="9"/>
  <c r="BF90" i="9"/>
  <c r="AV90" i="9"/>
  <c r="CC91" i="9" s="1"/>
  <c r="AU90" i="9"/>
  <c r="CB91" i="9" s="1"/>
  <c r="B91" i="9"/>
  <c r="AN91" i="9" s="1"/>
  <c r="BU92" i="9" s="1"/>
  <c r="BF89" i="9"/>
  <c r="BB89" i="9"/>
  <c r="CI90" i="9" s="1"/>
  <c r="AX89" i="9"/>
  <c r="CE90" i="9" s="1"/>
  <c r="AW89" i="9"/>
  <c r="CD90" i="9" s="1"/>
  <c r="AP89" i="9"/>
  <c r="BW90" i="9" s="1"/>
  <c r="AO89" i="9"/>
  <c r="BV90" i="9" s="1"/>
  <c r="AN89" i="9"/>
  <c r="BU90" i="9" s="1"/>
  <c r="AJ89" i="9"/>
  <c r="BQ90" i="9" s="1"/>
  <c r="B90" i="9"/>
  <c r="AS90" i="9" s="1"/>
  <c r="BZ91" i="9" s="1"/>
  <c r="BF88" i="9"/>
  <c r="B89" i="9"/>
  <c r="AY89" i="9" s="1"/>
  <c r="CF90" i="9" s="1"/>
  <c r="BF87" i="9"/>
  <c r="AU87" i="9"/>
  <c r="CB88" i="9" s="1"/>
  <c r="AT87" i="9"/>
  <c r="CA88" i="9" s="1"/>
  <c r="AS87" i="9"/>
  <c r="BZ88" i="9" s="1"/>
  <c r="AO87" i="9"/>
  <c r="BV88" i="9" s="1"/>
  <c r="AI87" i="9"/>
  <c r="BP88" i="9" s="1"/>
  <c r="B88" i="9"/>
  <c r="AZ88" i="9" s="1"/>
  <c r="CG89" i="9" s="1"/>
  <c r="BF86" i="9"/>
  <c r="B87" i="9"/>
  <c r="BA87" i="9" s="1"/>
  <c r="CH88" i="9" s="1"/>
  <c r="BF85" i="9"/>
  <c r="AY85" i="9"/>
  <c r="CF86" i="9" s="1"/>
  <c r="AW85" i="9"/>
  <c r="CD86" i="9" s="1"/>
  <c r="AV85" i="9"/>
  <c r="CC86" i="9" s="1"/>
  <c r="AE85" i="9"/>
  <c r="BL86" i="9" s="1"/>
  <c r="B86" i="9"/>
  <c r="BF84" i="9"/>
  <c r="AX84" i="9"/>
  <c r="CE85" i="9" s="1"/>
  <c r="AU84" i="9"/>
  <c r="CB85" i="9" s="1"/>
  <c r="B85" i="9"/>
  <c r="AM85" i="9" s="1"/>
  <c r="BT86" i="9" s="1"/>
  <c r="BF83" i="9"/>
  <c r="B84" i="9"/>
  <c r="AV84" i="9" s="1"/>
  <c r="CC85" i="9" s="1"/>
  <c r="BF82" i="9"/>
  <c r="BA82" i="9"/>
  <c r="CH83" i="9" s="1"/>
  <c r="AV82" i="9"/>
  <c r="CC83" i="9" s="1"/>
  <c r="AE82" i="9"/>
  <c r="BL83" i="9" s="1"/>
  <c r="B83" i="9"/>
  <c r="BF81" i="9"/>
  <c r="B82" i="9"/>
  <c r="BF80" i="9"/>
  <c r="AE80" i="9"/>
  <c r="BL81" i="9" s="1"/>
  <c r="B81" i="9"/>
  <c r="AL81" i="9" s="1"/>
  <c r="BS82" i="9" s="1"/>
  <c r="BF79" i="9"/>
  <c r="B80" i="9"/>
  <c r="AD80" i="9" s="1"/>
  <c r="BK81" i="9" s="1"/>
  <c r="BF78" i="9"/>
  <c r="AR78" i="9"/>
  <c r="BY79" i="9" s="1"/>
  <c r="AM78" i="9"/>
  <c r="BT79" i="9" s="1"/>
  <c r="B79" i="9"/>
  <c r="BF77" i="9"/>
  <c r="AZ77" i="9"/>
  <c r="CG78" i="9" s="1"/>
  <c r="B78" i="9"/>
  <c r="AI78" i="9" s="1"/>
  <c r="BP79" i="9" s="1"/>
  <c r="BF76" i="9"/>
  <c r="AV76" i="9"/>
  <c r="CC77" i="9" s="1"/>
  <c r="AP76" i="9"/>
  <c r="BW77" i="9" s="1"/>
  <c r="AO76" i="9"/>
  <c r="BV77" i="9" s="1"/>
  <c r="B77" i="9"/>
  <c r="AR77" i="9" s="1"/>
  <c r="BY78" i="9" s="1"/>
  <c r="BF75" i="9"/>
  <c r="AX75" i="9"/>
  <c r="CE76" i="9" s="1"/>
  <c r="AW75" i="9"/>
  <c r="CD76" i="9" s="1"/>
  <c r="AS75" i="9"/>
  <c r="BZ76" i="9" s="1"/>
  <c r="B76" i="9"/>
  <c r="BB76" i="9" s="1"/>
  <c r="CI77" i="9" s="1"/>
  <c r="BF74" i="9"/>
  <c r="B75" i="9"/>
  <c r="BF73" i="9"/>
  <c r="AY73" i="9"/>
  <c r="CF74" i="9" s="1"/>
  <c r="AX73" i="9"/>
  <c r="CE74" i="9" s="1"/>
  <c r="AW73" i="9"/>
  <c r="CD74" i="9" s="1"/>
  <c r="B74" i="9"/>
  <c r="AT74" i="9" s="1"/>
  <c r="CA75" i="9" s="1"/>
  <c r="BF72" i="9"/>
  <c r="AK72" i="9"/>
  <c r="BR73" i="9" s="1"/>
  <c r="AJ72" i="9"/>
  <c r="BQ73" i="9" s="1"/>
  <c r="AI72" i="9"/>
  <c r="BP73" i="9" s="1"/>
  <c r="AE72" i="9"/>
  <c r="BL73" i="9" s="1"/>
  <c r="B73" i="9"/>
  <c r="BF71" i="9"/>
  <c r="B72" i="9"/>
  <c r="BF70" i="9"/>
  <c r="B71" i="9"/>
  <c r="BF69" i="9"/>
  <c r="BA69" i="9"/>
  <c r="CH70" i="9" s="1"/>
  <c r="B70" i="9"/>
  <c r="BF68" i="9"/>
  <c r="AP68" i="9"/>
  <c r="BW69" i="9" s="1"/>
  <c r="AO68" i="9"/>
  <c r="BV69" i="9" s="1"/>
  <c r="AL68" i="9"/>
  <c r="BS69" i="9" s="1"/>
  <c r="AK68" i="9"/>
  <c r="BR69" i="9" s="1"/>
  <c r="AG68" i="9"/>
  <c r="BN69" i="9" s="1"/>
  <c r="B69" i="9"/>
  <c r="AT69" i="9" s="1"/>
  <c r="CA70" i="9" s="1"/>
  <c r="BF67" i="9"/>
  <c r="B68" i="9"/>
  <c r="AM68" i="9" s="1"/>
  <c r="BT69" i="9" s="1"/>
  <c r="BF66" i="9"/>
  <c r="AG66" i="9"/>
  <c r="BN67" i="9" s="1"/>
  <c r="B67" i="9"/>
  <c r="BF65" i="9"/>
  <c r="B66" i="9"/>
  <c r="AP66" i="9" s="1"/>
  <c r="BW67" i="9" s="1"/>
  <c r="BF64" i="9"/>
  <c r="BA64" i="9"/>
  <c r="CH65" i="9" s="1"/>
  <c r="AI64" i="9"/>
  <c r="BP65" i="9" s="1"/>
  <c r="B65" i="9"/>
  <c r="AO65" i="9" s="1"/>
  <c r="BV66" i="9" s="1"/>
  <c r="BF63" i="9"/>
  <c r="AO63" i="9"/>
  <c r="BV64" i="9" s="1"/>
  <c r="AK63" i="9"/>
  <c r="BR64" i="9" s="1"/>
  <c r="AH63" i="9"/>
  <c r="BO64" i="9" s="1"/>
  <c r="AG63" i="9"/>
  <c r="BN64" i="9" s="1"/>
  <c r="AE63" i="9"/>
  <c r="BL64" i="9" s="1"/>
  <c r="B64" i="9"/>
  <c r="AX64" i="9" s="1"/>
  <c r="CE65" i="9" s="1"/>
  <c r="BF62" i="9"/>
  <c r="B63" i="9"/>
  <c r="AD63" i="9" s="1"/>
  <c r="BK64" i="9" s="1"/>
  <c r="BF61" i="9"/>
  <c r="AI61" i="9"/>
  <c r="BP62" i="9" s="1"/>
  <c r="AH61" i="9"/>
  <c r="BO62" i="9" s="1"/>
  <c r="B62" i="9"/>
  <c r="BF60" i="9"/>
  <c r="B61" i="9"/>
  <c r="BA61" i="9" s="1"/>
  <c r="CH62" i="9" s="1"/>
  <c r="BF59" i="9"/>
  <c r="B60" i="9"/>
  <c r="AY60" i="9" s="1"/>
  <c r="CF61" i="9" s="1"/>
  <c r="BF58" i="9"/>
  <c r="AQ58" i="9"/>
  <c r="BX59" i="9" s="1"/>
  <c r="AO58" i="9"/>
  <c r="BV59" i="9" s="1"/>
  <c r="AK58" i="9"/>
  <c r="BR59" i="9" s="1"/>
  <c r="AI58" i="9"/>
  <c r="BP59" i="9" s="1"/>
  <c r="AH58" i="9"/>
  <c r="BO59" i="9" s="1"/>
  <c r="B59" i="9"/>
  <c r="BF57" i="9"/>
  <c r="B58" i="9"/>
  <c r="AF58" i="9" s="1"/>
  <c r="BM59" i="9" s="1"/>
  <c r="BF56" i="9"/>
  <c r="AP56" i="9"/>
  <c r="BW57" i="9" s="1"/>
  <c r="B57" i="9"/>
  <c r="BF55" i="9"/>
  <c r="BA55" i="9"/>
  <c r="CH56" i="9" s="1"/>
  <c r="B56" i="9"/>
  <c r="AO56" i="9" s="1"/>
  <c r="BV57" i="9" s="1"/>
  <c r="BF54" i="9"/>
  <c r="B55" i="9"/>
  <c r="AH55" i="9" s="1"/>
  <c r="BO56" i="9" s="1"/>
  <c r="BF53" i="9"/>
  <c r="B54" i="9"/>
  <c r="AY54" i="9" s="1"/>
  <c r="CF55" i="9" s="1"/>
  <c r="BF52" i="9"/>
  <c r="B53" i="9"/>
  <c r="AU53" i="9" s="1"/>
  <c r="CB54" i="9" s="1"/>
  <c r="BF51" i="9"/>
  <c r="AK51" i="9"/>
  <c r="BR52" i="9" s="1"/>
  <c r="B52" i="9"/>
  <c r="BF50" i="9"/>
  <c r="B51" i="9"/>
  <c r="AU51" i="9" s="1"/>
  <c r="CB52" i="9" s="1"/>
  <c r="BF49" i="9"/>
  <c r="B50" i="9"/>
  <c r="AX50" i="9" s="1"/>
  <c r="CE51" i="9" s="1"/>
  <c r="BF48" i="9"/>
  <c r="BB48" i="9"/>
  <c r="CI49" i="9" s="1"/>
  <c r="BA48" i="9"/>
  <c r="CH49" i="9" s="1"/>
  <c r="AN48" i="9"/>
  <c r="BU49" i="9" s="1"/>
  <c r="AG48" i="9"/>
  <c r="BN49" i="9" s="1"/>
  <c r="AF48" i="9"/>
  <c r="BM49" i="9" s="1"/>
  <c r="AE48" i="9"/>
  <c r="BL49" i="9" s="1"/>
  <c r="B49" i="9"/>
  <c r="AQ49" i="9" s="1"/>
  <c r="BX50" i="9" s="1"/>
  <c r="BF47" i="9"/>
  <c r="AW47" i="9"/>
  <c r="CD48" i="9" s="1"/>
  <c r="AV47" i="9"/>
  <c r="CC48" i="9" s="1"/>
  <c r="AU47" i="9"/>
  <c r="CB48" i="9" s="1"/>
  <c r="AR47" i="9"/>
  <c r="BY48" i="9" s="1"/>
  <c r="AI47" i="9"/>
  <c r="BP48" i="9" s="1"/>
  <c r="AH47" i="9"/>
  <c r="BO48" i="9" s="1"/>
  <c r="AF47" i="9"/>
  <c r="BM48" i="9" s="1"/>
  <c r="AE47" i="9"/>
  <c r="BL48" i="9" s="1"/>
  <c r="B48" i="9"/>
  <c r="AT48" i="9" s="1"/>
  <c r="CA49" i="9" s="1"/>
  <c r="BF46" i="9"/>
  <c r="B47" i="9"/>
  <c r="AT47" i="9" s="1"/>
  <c r="CA48" i="9" s="1"/>
  <c r="BF45" i="9"/>
  <c r="AV45" i="9"/>
  <c r="CC46" i="9" s="1"/>
  <c r="AM45" i="9"/>
  <c r="BT46" i="9" s="1"/>
  <c r="AL45" i="9"/>
  <c r="BS46" i="9" s="1"/>
  <c r="B46" i="9"/>
  <c r="AF46" i="9" s="1"/>
  <c r="BM47" i="9" s="1"/>
  <c r="BF44" i="9"/>
  <c r="B45" i="9"/>
  <c r="AW45" i="9" s="1"/>
  <c r="CD46" i="9" s="1"/>
  <c r="BF43" i="9"/>
  <c r="AS43" i="9"/>
  <c r="BZ44" i="9" s="1"/>
  <c r="AQ43" i="9"/>
  <c r="BX44" i="9" s="1"/>
  <c r="AL43" i="9"/>
  <c r="BS44" i="9" s="1"/>
  <c r="AH43" i="9"/>
  <c r="BO44" i="9" s="1"/>
  <c r="AG43" i="9"/>
  <c r="BN44" i="9" s="1"/>
  <c r="B44" i="9"/>
  <c r="AS44" i="9" s="1"/>
  <c r="BZ45" i="9" s="1"/>
  <c r="BF42" i="9"/>
  <c r="AV42" i="9"/>
  <c r="CC43" i="9" s="1"/>
  <c r="AT42" i="9"/>
  <c r="CA43" i="9" s="1"/>
  <c r="AH42" i="9"/>
  <c r="BO43" i="9" s="1"/>
  <c r="AF42" i="9"/>
  <c r="BM43" i="9" s="1"/>
  <c r="AE42" i="9"/>
  <c r="BL43" i="9" s="1"/>
  <c r="B43" i="9"/>
  <c r="AX43" i="9" s="1"/>
  <c r="CE44" i="9" s="1"/>
  <c r="BF41" i="9"/>
  <c r="AV41" i="9"/>
  <c r="CC42" i="9" s="1"/>
  <c r="AT41" i="9"/>
  <c r="CA42" i="9" s="1"/>
  <c r="AI41" i="9"/>
  <c r="BP42" i="9" s="1"/>
  <c r="AF41" i="9"/>
  <c r="BM42" i="9" s="1"/>
  <c r="B42" i="9"/>
  <c r="AW42" i="9" s="1"/>
  <c r="CD43" i="9" s="1"/>
  <c r="BF40" i="9"/>
  <c r="B41" i="9"/>
  <c r="AS41" i="9" s="1"/>
  <c r="BZ42" i="9" s="1"/>
  <c r="BF39" i="9"/>
  <c r="B40" i="9"/>
  <c r="AX40" i="9" s="1"/>
  <c r="CE41" i="9" s="1"/>
  <c r="BF38" i="9"/>
  <c r="BB38" i="9"/>
  <c r="CI39" i="9" s="1"/>
  <c r="BA38" i="9"/>
  <c r="CH39" i="9" s="1"/>
  <c r="AY38" i="9"/>
  <c r="CF39" i="9" s="1"/>
  <c r="AX38" i="9"/>
  <c r="CE39" i="9" s="1"/>
  <c r="AR38" i="9"/>
  <c r="BY39" i="9" s="1"/>
  <c r="AN38" i="9"/>
  <c r="BU39" i="9" s="1"/>
  <c r="AL38" i="9"/>
  <c r="BS39" i="9" s="1"/>
  <c r="AK38" i="9"/>
  <c r="BR39" i="9" s="1"/>
  <c r="AJ38" i="9"/>
  <c r="BQ39" i="9" s="1"/>
  <c r="AI38" i="9"/>
  <c r="BP39" i="9" s="1"/>
  <c r="AD38" i="9"/>
  <c r="BK39" i="9" s="1"/>
  <c r="B39" i="9"/>
  <c r="AW39" i="9" s="1"/>
  <c r="CD40" i="9" s="1"/>
  <c r="BF37" i="9"/>
  <c r="B38" i="9"/>
  <c r="AS38" i="9" s="1"/>
  <c r="BZ39" i="9" s="1"/>
  <c r="BF36" i="9"/>
  <c r="BA36" i="9"/>
  <c r="CH37" i="9" s="1"/>
  <c r="AZ36" i="9"/>
  <c r="CG37" i="9" s="1"/>
  <c r="AI36" i="9"/>
  <c r="BP37" i="9" s="1"/>
  <c r="AH36" i="9"/>
  <c r="BO37" i="9" s="1"/>
  <c r="B37" i="9"/>
  <c r="AG37" i="9" s="1"/>
  <c r="BN38" i="9" s="1"/>
  <c r="BF35" i="9"/>
  <c r="B36" i="9"/>
  <c r="AW36" i="9" s="1"/>
  <c r="CD37" i="9" s="1"/>
  <c r="BF34" i="9"/>
  <c r="B35" i="9"/>
  <c r="AS35" i="9" s="1"/>
  <c r="BZ36" i="9" s="1"/>
  <c r="BF33" i="9"/>
  <c r="B34" i="9"/>
  <c r="AX34" i="9" s="1"/>
  <c r="CE35" i="9" s="1"/>
  <c r="BF32" i="9"/>
  <c r="B33" i="9"/>
  <c r="AW33" i="9" s="1"/>
  <c r="CD34" i="9" s="1"/>
  <c r="BF31" i="9"/>
  <c r="B32" i="9"/>
  <c r="AS32" i="9" s="1"/>
  <c r="BZ33" i="9" s="1"/>
  <c r="BF30" i="9"/>
  <c r="AT30" i="9"/>
  <c r="CA31" i="9" s="1"/>
  <c r="B31" i="9"/>
  <c r="AX31" i="9" s="1"/>
  <c r="CE32" i="9" s="1"/>
  <c r="BF29" i="9"/>
  <c r="B30" i="9"/>
  <c r="AW30" i="9" s="1"/>
  <c r="CD31" i="9" s="1"/>
  <c r="BF28" i="9"/>
  <c r="B29" i="9"/>
  <c r="AS29" i="9" s="1"/>
  <c r="BZ30" i="9" s="1"/>
  <c r="BF27" i="9"/>
  <c r="AP27" i="9"/>
  <c r="BW28" i="9" s="1"/>
  <c r="B28" i="9"/>
  <c r="AU28" i="9" s="1"/>
  <c r="CB29" i="9" s="1"/>
  <c r="BF26" i="9"/>
  <c r="B27" i="9"/>
  <c r="AW27" i="9" s="1"/>
  <c r="CD28" i="9" s="1"/>
  <c r="BF25" i="9"/>
  <c r="B26" i="9"/>
  <c r="AS26" i="9" s="1"/>
  <c r="BZ27" i="9" s="1"/>
  <c r="BF24" i="9"/>
  <c r="AP24" i="9"/>
  <c r="BW25" i="9" s="1"/>
  <c r="B25" i="9"/>
  <c r="AU25" i="9" s="1"/>
  <c r="CB26" i="9" s="1"/>
  <c r="BF23" i="9"/>
  <c r="BB23" i="9"/>
  <c r="CI24" i="9" s="1"/>
  <c r="AY23" i="9"/>
  <c r="CF24" i="9" s="1"/>
  <c r="AJ23" i="9"/>
  <c r="BQ24" i="9" s="1"/>
  <c r="AI23" i="9"/>
  <c r="BP24" i="9" s="1"/>
  <c r="B24" i="9"/>
  <c r="AW24" i="9" s="1"/>
  <c r="CD25" i="9" s="1"/>
  <c r="BF22" i="9"/>
  <c r="B23" i="9"/>
  <c r="AS23" i="9" s="1"/>
  <c r="BZ24" i="9" s="1"/>
  <c r="BF21" i="9"/>
  <c r="B22" i="9"/>
  <c r="AT22" i="9" s="1"/>
  <c r="CA23" i="9" s="1"/>
  <c r="BF20" i="9"/>
  <c r="AT20" i="9"/>
  <c r="CA21" i="9" s="1"/>
  <c r="AI20" i="9"/>
  <c r="BP21" i="9" s="1"/>
  <c r="AE20" i="9"/>
  <c r="BL21" i="9" s="1"/>
  <c r="B21" i="9"/>
  <c r="AW21" i="9" s="1"/>
  <c r="CD22" i="9" s="1"/>
  <c r="BF19" i="9"/>
  <c r="B20" i="9"/>
  <c r="AS20" i="9" s="1"/>
  <c r="BZ21" i="9" s="1"/>
  <c r="BF18" i="9"/>
  <c r="AZ18" i="9"/>
  <c r="CG19" i="9" s="1"/>
  <c r="AT18" i="9"/>
  <c r="CA19" i="9" s="1"/>
  <c r="AP18" i="9"/>
  <c r="BW19" i="9" s="1"/>
  <c r="AO18" i="9"/>
  <c r="BV19" i="9" s="1"/>
  <c r="AF18" i="9"/>
  <c r="BM19" i="9" s="1"/>
  <c r="B19" i="9"/>
  <c r="AF19" i="9" s="1"/>
  <c r="BM20" i="9" s="1"/>
  <c r="BF17" i="9"/>
  <c r="AZ17" i="9"/>
  <c r="CG18" i="9" s="1"/>
  <c r="AX17" i="9"/>
  <c r="CE18" i="9" s="1"/>
  <c r="AL17" i="9"/>
  <c r="BS18" i="9" s="1"/>
  <c r="AJ17" i="9"/>
  <c r="BQ18" i="9" s="1"/>
  <c r="B18" i="9"/>
  <c r="AW18" i="9" s="1"/>
  <c r="CD19" i="9" s="1"/>
  <c r="BF16" i="9"/>
  <c r="B17" i="9"/>
  <c r="AS17" i="9" s="1"/>
  <c r="BZ18" i="9" s="1"/>
  <c r="BF15" i="9"/>
  <c r="AZ15" i="9"/>
  <c r="CG16" i="9" s="1"/>
  <c r="AQ15" i="9"/>
  <c r="BX16" i="9" s="1"/>
  <c r="AP15" i="9"/>
  <c r="BW16" i="9" s="1"/>
  <c r="AL15" i="9"/>
  <c r="BS16" i="9" s="1"/>
  <c r="B16" i="9"/>
  <c r="AF16" i="9" s="1"/>
  <c r="BM17" i="9" s="1"/>
  <c r="BF14" i="9"/>
  <c r="AM14" i="9"/>
  <c r="BT15" i="9" s="1"/>
  <c r="B15" i="9"/>
  <c r="AW15" i="9" s="1"/>
  <c r="CD16" i="9" s="1"/>
  <c r="BF13" i="9"/>
  <c r="AT13" i="9"/>
  <c r="CA14" i="9" s="1"/>
  <c r="AS13" i="9"/>
  <c r="BZ14" i="9" s="1"/>
  <c r="AL13" i="9"/>
  <c r="BS14" i="9" s="1"/>
  <c r="B14" i="9"/>
  <c r="AS14" i="9" s="1"/>
  <c r="BZ15" i="9" s="1"/>
  <c r="BF12" i="9"/>
  <c r="B13" i="9"/>
  <c r="AH13" i="9" s="1"/>
  <c r="BO14" i="9" s="1"/>
  <c r="B12" i="9"/>
  <c r="AP12" i="9" s="1"/>
  <c r="BW13" i="9" s="1"/>
  <c r="BF13" i="8"/>
  <c r="BF14" i="8"/>
  <c r="BF15" i="8"/>
  <c r="BF16" i="8"/>
  <c r="BF17" i="8"/>
  <c r="BF18" i="8"/>
  <c r="BF19" i="8"/>
  <c r="BF20" i="8"/>
  <c r="BF21" i="8"/>
  <c r="BF22" i="8"/>
  <c r="BF23" i="8"/>
  <c r="BF24" i="8"/>
  <c r="BF25" i="8"/>
  <c r="BF26" i="8"/>
  <c r="BF27" i="8"/>
  <c r="BF28" i="8"/>
  <c r="BF29" i="8"/>
  <c r="BF30" i="8"/>
  <c r="BF31" i="8"/>
  <c r="BF32" i="8"/>
  <c r="BF33" i="8"/>
  <c r="BF34" i="8"/>
  <c r="BF35" i="8"/>
  <c r="BF36" i="8"/>
  <c r="BF37" i="8"/>
  <c r="BF38" i="8"/>
  <c r="BF39" i="8"/>
  <c r="BF40" i="8"/>
  <c r="BF41" i="8"/>
  <c r="BF42" i="8"/>
  <c r="BF43" i="8"/>
  <c r="BF44" i="8"/>
  <c r="BF45" i="8"/>
  <c r="BF46" i="8"/>
  <c r="BF47" i="8"/>
  <c r="BF48" i="8"/>
  <c r="BF49" i="8"/>
  <c r="BF50" i="8"/>
  <c r="BF51" i="8"/>
  <c r="BF52" i="8"/>
  <c r="BF53" i="8"/>
  <c r="BF54" i="8"/>
  <c r="BF55" i="8"/>
  <c r="BF56" i="8"/>
  <c r="BF57" i="8"/>
  <c r="BF58" i="8"/>
  <c r="BF59" i="8"/>
  <c r="BF60" i="8"/>
  <c r="BF61" i="8"/>
  <c r="BF62" i="8"/>
  <c r="BF63" i="8"/>
  <c r="BF64" i="8"/>
  <c r="BF65" i="8"/>
  <c r="BF66" i="8"/>
  <c r="BF67" i="8"/>
  <c r="BF68" i="8"/>
  <c r="BF69" i="8"/>
  <c r="BF70" i="8"/>
  <c r="BF71" i="8"/>
  <c r="BF72" i="8"/>
  <c r="BF73" i="8"/>
  <c r="BF74" i="8"/>
  <c r="BF75" i="8"/>
  <c r="BF76" i="8"/>
  <c r="BF77" i="8"/>
  <c r="BF78" i="8"/>
  <c r="BF79" i="8"/>
  <c r="BF80" i="8"/>
  <c r="BF81" i="8"/>
  <c r="BF82" i="8"/>
  <c r="BF83" i="8"/>
  <c r="BF84" i="8"/>
  <c r="BF85" i="8"/>
  <c r="BF86" i="8"/>
  <c r="BF87" i="8"/>
  <c r="BF88" i="8"/>
  <c r="BF89" i="8"/>
  <c r="BF90" i="8"/>
  <c r="BF91" i="8"/>
  <c r="BF92" i="8"/>
  <c r="BF93" i="8"/>
  <c r="BF94" i="8"/>
  <c r="BF95" i="8"/>
  <c r="BF96" i="8"/>
  <c r="BF97" i="8"/>
  <c r="BF98" i="8"/>
  <c r="BF99" i="8"/>
  <c r="BF100" i="8"/>
  <c r="BF101" i="8"/>
  <c r="BF102" i="8"/>
  <c r="BF103" i="8"/>
  <c r="BF104" i="8"/>
  <c r="BF105" i="8"/>
  <c r="BF106" i="8"/>
  <c r="BF107" i="8"/>
  <c r="BF108" i="8"/>
  <c r="BF109" i="8"/>
  <c r="BF110" i="8"/>
  <c r="BF111" i="8"/>
  <c r="BF112" i="8"/>
  <c r="BF113" i="8"/>
  <c r="BF114" i="8"/>
  <c r="BF115" i="8"/>
  <c r="BF116" i="8"/>
  <c r="BF117" i="8"/>
  <c r="BF118" i="8"/>
  <c r="BF119" i="8"/>
  <c r="BF120" i="8"/>
  <c r="BF121" i="8"/>
  <c r="BF122" i="8"/>
  <c r="BF123" i="8"/>
  <c r="BF124" i="8"/>
  <c r="BF125" i="8"/>
  <c r="BF126" i="8"/>
  <c r="BF127" i="8"/>
  <c r="BF128" i="8"/>
  <c r="BF129" i="8"/>
  <c r="BF130" i="8"/>
  <c r="BF131" i="8"/>
  <c r="BF132" i="8"/>
  <c r="BF133" i="8"/>
  <c r="BF134" i="8"/>
  <c r="BF135" i="8"/>
  <c r="BF136" i="8"/>
  <c r="BF137" i="8"/>
  <c r="BF12" i="8"/>
  <c r="AX59" i="9" l="1"/>
  <c r="CE60" i="9" s="1"/>
  <c r="AL59" i="9"/>
  <c r="BS60" i="9" s="1"/>
  <c r="AG59" i="9"/>
  <c r="BN60" i="9" s="1"/>
  <c r="AD59" i="9"/>
  <c r="BK60" i="9" s="1"/>
  <c r="AM79" i="9"/>
  <c r="BT80" i="9" s="1"/>
  <c r="AK79" i="9"/>
  <c r="BR80" i="9" s="1"/>
  <c r="AO21" i="9"/>
  <c r="BV22" i="9" s="1"/>
  <c r="AO33" i="9"/>
  <c r="BV34" i="9" s="1"/>
  <c r="AU35" i="9"/>
  <c r="CB36" i="9" s="1"/>
  <c r="BA45" i="9"/>
  <c r="CH46" i="9" s="1"/>
  <c r="AT57" i="9"/>
  <c r="CA58" i="9" s="1"/>
  <c r="AO57" i="9"/>
  <c r="BV58" i="9" s="1"/>
  <c r="AN57" i="9"/>
  <c r="BU58" i="9" s="1"/>
  <c r="AM57" i="9"/>
  <c r="BT58" i="9" s="1"/>
  <c r="AX14" i="9"/>
  <c r="CE15" i="9" s="1"/>
  <c r="BB14" i="9"/>
  <c r="CI15" i="9" s="1"/>
  <c r="AN18" i="9"/>
  <c r="BU19" i="9" s="1"/>
  <c r="BB21" i="9"/>
  <c r="CI22" i="9" s="1"/>
  <c r="AH23" i="9"/>
  <c r="BO24" i="9" s="1"/>
  <c r="AX23" i="9"/>
  <c r="CE24" i="9" s="1"/>
  <c r="AW32" i="9"/>
  <c r="CD33" i="9" s="1"/>
  <c r="AF36" i="9"/>
  <c r="BM37" i="9" s="1"/>
  <c r="AX36" i="9"/>
  <c r="CE37" i="9" s="1"/>
  <c r="AJ45" i="9"/>
  <c r="BQ46" i="9" s="1"/>
  <c r="AD48" i="9"/>
  <c r="BK49" i="9" s="1"/>
  <c r="AY48" i="9"/>
  <c r="CF49" i="9" s="1"/>
  <c r="AX52" i="9"/>
  <c r="CE53" i="9" s="1"/>
  <c r="AO52" i="9"/>
  <c r="BV53" i="9" s="1"/>
  <c r="AM52" i="9"/>
  <c r="BT53" i="9" s="1"/>
  <c r="AK52" i="9"/>
  <c r="BR53" i="9" s="1"/>
  <c r="AJ52" i="9"/>
  <c r="BQ53" i="9" s="1"/>
  <c r="AU82" i="9"/>
  <c r="CB83" i="9" s="1"/>
  <c r="AN82" i="9"/>
  <c r="BU83" i="9" s="1"/>
  <c r="AM82" i="9"/>
  <c r="BT83" i="9" s="1"/>
  <c r="AK82" i="9"/>
  <c r="BR83" i="9" s="1"/>
  <c r="AJ82" i="9"/>
  <c r="BQ83" i="9" s="1"/>
  <c r="AJ97" i="9"/>
  <c r="BQ98" i="9" s="1"/>
  <c r="AN97" i="9"/>
  <c r="BU98" i="9" s="1"/>
  <c r="AL97" i="9"/>
  <c r="BS98" i="9" s="1"/>
  <c r="BK9" i="9"/>
  <c r="BL8" i="9"/>
  <c r="CS81" i="9"/>
  <c r="CT81" i="9"/>
  <c r="CM35" i="9"/>
  <c r="CN35" i="9"/>
  <c r="CQ13" i="9"/>
  <c r="CP13" i="9"/>
  <c r="AF92" i="9"/>
  <c r="BM93" i="9" s="1"/>
  <c r="AE92" i="9"/>
  <c r="BL93" i="9" s="1"/>
  <c r="AF21" i="9"/>
  <c r="BM22" i="9" s="1"/>
  <c r="BB32" i="9"/>
  <c r="CI33" i="9" s="1"/>
  <c r="BB36" i="9"/>
  <c r="CI37" i="9" s="1"/>
  <c r="AP69" i="9"/>
  <c r="BW70" i="9" s="1"/>
  <c r="AH69" i="9"/>
  <c r="BO70" i="9" s="1"/>
  <c r="AE69" i="9"/>
  <c r="BL70" i="9" s="1"/>
  <c r="AD69" i="9"/>
  <c r="BK70" i="9" s="1"/>
  <c r="BM9" i="9"/>
  <c r="CT117" i="9"/>
  <c r="CN95" i="9"/>
  <c r="CM95" i="9"/>
  <c r="CQ56" i="9"/>
  <c r="CM32" i="9"/>
  <c r="AO15" i="9"/>
  <c r="BV16" i="9" s="1"/>
  <c r="AU18" i="9"/>
  <c r="CB19" i="9" s="1"/>
  <c r="AJ20" i="9"/>
  <c r="BQ21" i="9" s="1"/>
  <c r="AL21" i="9"/>
  <c r="BS22" i="9" s="1"/>
  <c r="AI22" i="9"/>
  <c r="BP23" i="9" s="1"/>
  <c r="AM23" i="9"/>
  <c r="BT24" i="9" s="1"/>
  <c r="AF28" i="9"/>
  <c r="BM29" i="9" s="1"/>
  <c r="AD32" i="9"/>
  <c r="BK33" i="9" s="1"/>
  <c r="AE35" i="9"/>
  <c r="BL36" i="9" s="1"/>
  <c r="AM36" i="9"/>
  <c r="BT37" i="9" s="1"/>
  <c r="AO38" i="9"/>
  <c r="BV39" i="9" s="1"/>
  <c r="AR43" i="9"/>
  <c r="BY44" i="9" s="1"/>
  <c r="AX45" i="9"/>
  <c r="CE46" i="9" s="1"/>
  <c r="AJ47" i="9"/>
  <c r="BQ48" i="9" s="1"/>
  <c r="AI48" i="9"/>
  <c r="BP49" i="9" s="1"/>
  <c r="AI52" i="9"/>
  <c r="BP53" i="9" s="1"/>
  <c r="AO82" i="9"/>
  <c r="BV83" i="9" s="1"/>
  <c r="AH93" i="9"/>
  <c r="BO94" i="9" s="1"/>
  <c r="AI93" i="9"/>
  <c r="BP94" i="9" s="1"/>
  <c r="AK97" i="9"/>
  <c r="BR98" i="9" s="1"/>
  <c r="AQ107" i="9"/>
  <c r="BX108" i="9" s="1"/>
  <c r="AM107" i="9"/>
  <c r="BT108" i="9" s="1"/>
  <c r="AG107" i="9"/>
  <c r="BN108" i="9" s="1"/>
  <c r="CS116" i="9"/>
  <c r="CP94" i="9"/>
  <c r="AY62" i="9"/>
  <c r="CF63" i="9" s="1"/>
  <c r="AD62" i="9"/>
  <c r="BK63" i="9" s="1"/>
  <c r="CQ119" i="9"/>
  <c r="CQ57" i="9"/>
  <c r="AH22" i="9"/>
  <c r="BO23" i="9" s="1"/>
  <c r="AD14" i="9"/>
  <c r="BK15" i="9" s="1"/>
  <c r="AV18" i="9"/>
  <c r="CC19" i="9" s="1"/>
  <c r="AK20" i="9"/>
  <c r="BR21" i="9" s="1"/>
  <c r="AM21" i="9"/>
  <c r="BT22" i="9" s="1"/>
  <c r="AQ22" i="9"/>
  <c r="BX23" i="9" s="1"/>
  <c r="AN23" i="9"/>
  <c r="BU24" i="9" s="1"/>
  <c r="AI32" i="9"/>
  <c r="BP33" i="9" s="1"/>
  <c r="AE33" i="9"/>
  <c r="BL34" i="9" s="1"/>
  <c r="AH35" i="9"/>
  <c r="BO36" i="9" s="1"/>
  <c r="AN36" i="9"/>
  <c r="BU37" i="9" s="1"/>
  <c r="AP38" i="9"/>
  <c r="BW39" i="9" s="1"/>
  <c r="AO39" i="9"/>
  <c r="BV40" i="9" s="1"/>
  <c r="AY45" i="9"/>
  <c r="CF46" i="9" s="1"/>
  <c r="AJ48" i="9"/>
  <c r="BQ49" i="9" s="1"/>
  <c r="AJ49" i="9"/>
  <c r="BQ50" i="9" s="1"/>
  <c r="AY52" i="9"/>
  <c r="CF53" i="9" s="1"/>
  <c r="AZ72" i="9"/>
  <c r="CG73" i="9" s="1"/>
  <c r="AW72" i="9"/>
  <c r="CD73" i="9" s="1"/>
  <c r="AR72" i="9"/>
  <c r="BY73" i="9" s="1"/>
  <c r="AM72" i="9"/>
  <c r="BT73" i="9" s="1"/>
  <c r="AP82" i="9"/>
  <c r="BW83" i="9" s="1"/>
  <c r="AD92" i="9"/>
  <c r="BK93" i="9" s="1"/>
  <c r="CM93" i="9"/>
  <c r="CN93" i="9"/>
  <c r="CN71" i="9"/>
  <c r="AX32" i="9"/>
  <c r="CE33" i="9" s="1"/>
  <c r="CM118" i="9"/>
  <c r="AJ21" i="9"/>
  <c r="BQ22" i="9" s="1"/>
  <c r="AL36" i="9"/>
  <c r="BS37" i="9" s="1"/>
  <c r="AO53" i="9"/>
  <c r="BV54" i="9" s="1"/>
  <c r="AW53" i="9"/>
  <c r="CD54" i="9" s="1"/>
  <c r="AV53" i="9"/>
  <c r="CC54" i="9" s="1"/>
  <c r="AQ71" i="9"/>
  <c r="BX72" i="9" s="1"/>
  <c r="AN71" i="9"/>
  <c r="BU72" i="9" s="1"/>
  <c r="AJ71" i="9"/>
  <c r="BQ72" i="9" s="1"/>
  <c r="AH71" i="9"/>
  <c r="BO72" i="9" s="1"/>
  <c r="AG71" i="9"/>
  <c r="BN72" i="9" s="1"/>
  <c r="AJ14" i="9"/>
  <c r="BQ15" i="9" s="1"/>
  <c r="AE18" i="9"/>
  <c r="BL19" i="9" s="1"/>
  <c r="AY18" i="9"/>
  <c r="CF19" i="9" s="1"/>
  <c r="AL20" i="9"/>
  <c r="BS21" i="9" s="1"/>
  <c r="AN21" i="9"/>
  <c r="BU22" i="9" s="1"/>
  <c r="AS22" i="9"/>
  <c r="BZ23" i="9" s="1"/>
  <c r="AP23" i="9"/>
  <c r="BW24" i="9" s="1"/>
  <c r="AJ32" i="9"/>
  <c r="BQ33" i="9" s="1"/>
  <c r="AL33" i="9"/>
  <c r="BS34" i="9" s="1"/>
  <c r="AR35" i="9"/>
  <c r="BY36" i="9" s="1"/>
  <c r="AO36" i="9"/>
  <c r="BV37" i="9" s="1"/>
  <c r="AQ38" i="9"/>
  <c r="BX39" i="9" s="1"/>
  <c r="AQ39" i="9"/>
  <c r="BX40" i="9" s="1"/>
  <c r="AZ45" i="9"/>
  <c r="CG46" i="9" s="1"/>
  <c r="AK48" i="9"/>
  <c r="BR49" i="9" s="1"/>
  <c r="AE71" i="9"/>
  <c r="BL72" i="9" s="1"/>
  <c r="AQ82" i="9"/>
  <c r="BX83" i="9" s="1"/>
  <c r="AQ129" i="9"/>
  <c r="BX130" i="9" s="1"/>
  <c r="AR129" i="9"/>
  <c r="BY130" i="9" s="1"/>
  <c r="AU134" i="9"/>
  <c r="CB135" i="9" s="1"/>
  <c r="AV134" i="9"/>
  <c r="CC135" i="9" s="1"/>
  <c r="AO134" i="9"/>
  <c r="BV135" i="9" s="1"/>
  <c r="AN134" i="9"/>
  <c r="BU135" i="9" s="1"/>
  <c r="AM134" i="9"/>
  <c r="BT135" i="9" s="1"/>
  <c r="AJ134" i="9"/>
  <c r="BQ135" i="9" s="1"/>
  <c r="AH134" i="9"/>
  <c r="BO135" i="9" s="1"/>
  <c r="CS92" i="9"/>
  <c r="CM92" i="9"/>
  <c r="CQ70" i="9"/>
  <c r="CP70" i="9"/>
  <c r="CQ23" i="9"/>
  <c r="CM119" i="9"/>
  <c r="CN119" i="9"/>
  <c r="CM33" i="9"/>
  <c r="AK23" i="9"/>
  <c r="BR24" i="9" s="1"/>
  <c r="AU22" i="9"/>
  <c r="CB23" i="9" s="1"/>
  <c r="AN14" i="9"/>
  <c r="BU15" i="9" s="1"/>
  <c r="AH18" i="9"/>
  <c r="BO19" i="9" s="1"/>
  <c r="BA18" i="9"/>
  <c r="CH19" i="9" s="1"/>
  <c r="AW20" i="9"/>
  <c r="CD21" i="9" s="1"/>
  <c r="AU21" i="9"/>
  <c r="CB22" i="9" s="1"/>
  <c r="AR23" i="9"/>
  <c r="BY24" i="9" s="1"/>
  <c r="AN32" i="9"/>
  <c r="BU33" i="9" s="1"/>
  <c r="AP33" i="9"/>
  <c r="BW34" i="9" s="1"/>
  <c r="AR36" i="9"/>
  <c r="BY37" i="9" s="1"/>
  <c r="AT38" i="9"/>
  <c r="CA39" i="9" s="1"/>
  <c r="AO48" i="9"/>
  <c r="BV49" i="9" s="1"/>
  <c r="AD53" i="9"/>
  <c r="BK54" i="9" s="1"/>
  <c r="AO67" i="9"/>
  <c r="BV68" i="9" s="1"/>
  <c r="AW67" i="9"/>
  <c r="CD68" i="9" s="1"/>
  <c r="AT67" i="9"/>
  <c r="CA68" i="9" s="1"/>
  <c r="BA71" i="9"/>
  <c r="CH72" i="9" s="1"/>
  <c r="AW82" i="9"/>
  <c r="CD83" i="9" s="1"/>
  <c r="CQ129" i="9"/>
  <c r="CS129" i="9"/>
  <c r="CQ107" i="9"/>
  <c r="CM107" i="9"/>
  <c r="CN68" i="9"/>
  <c r="CM68" i="9"/>
  <c r="CP45" i="9"/>
  <c r="CN45" i="9"/>
  <c r="CQ21" i="9"/>
  <c r="CP21" i="9"/>
  <c r="CQ130" i="9"/>
  <c r="CS130" i="9"/>
  <c r="CN69" i="9"/>
  <c r="CM69" i="9"/>
  <c r="AQ12" i="9"/>
  <c r="BX13" i="9" s="1"/>
  <c r="AP14" i="9"/>
  <c r="BW15" i="9" s="1"/>
  <c r="AJ18" i="9"/>
  <c r="BQ19" i="9" s="1"/>
  <c r="BB18" i="9"/>
  <c r="CI19" i="9" s="1"/>
  <c r="AX20" i="9"/>
  <c r="CE21" i="9" s="1"/>
  <c r="AY21" i="9"/>
  <c r="CF22" i="9" s="1"/>
  <c r="AT23" i="9"/>
  <c r="CA24" i="9" s="1"/>
  <c r="AE30" i="9"/>
  <c r="BL31" i="9" s="1"/>
  <c r="AP32" i="9"/>
  <c r="BW33" i="9" s="1"/>
  <c r="AQ33" i="9"/>
  <c r="BX34" i="9" s="1"/>
  <c r="AT36" i="9"/>
  <c r="CA37" i="9" s="1"/>
  <c r="AE38" i="9"/>
  <c r="BL39" i="9" s="1"/>
  <c r="AV38" i="9"/>
  <c r="CC39" i="9" s="1"/>
  <c r="AX47" i="9"/>
  <c r="CE48" i="9" s="1"/>
  <c r="AP48" i="9"/>
  <c r="BW49" i="9" s="1"/>
  <c r="AD50" i="9"/>
  <c r="BK51" i="9" s="1"/>
  <c r="AE53" i="9"/>
  <c r="BL54" i="9" s="1"/>
  <c r="AU56" i="9"/>
  <c r="CB57" i="9" s="1"/>
  <c r="AV59" i="9"/>
  <c r="CC60" i="9" s="1"/>
  <c r="AD66" i="9"/>
  <c r="BK67" i="9" s="1"/>
  <c r="AL75" i="9"/>
  <c r="BS76" i="9" s="1"/>
  <c r="AK75" i="9"/>
  <c r="BR76" i="9" s="1"/>
  <c r="AH75" i="9"/>
  <c r="BO76" i="9" s="1"/>
  <c r="AF80" i="9"/>
  <c r="BM81" i="9" s="1"/>
  <c r="AY82" i="9"/>
  <c r="CF83" i="9" s="1"/>
  <c r="AR100" i="9"/>
  <c r="BY101" i="9" s="1"/>
  <c r="AG100" i="9"/>
  <c r="BN101" i="9" s="1"/>
  <c r="AE100" i="9"/>
  <c r="BL101" i="9" s="1"/>
  <c r="AD100" i="9"/>
  <c r="BK101" i="9" s="1"/>
  <c r="AQ126" i="9"/>
  <c r="BX127" i="9" s="1"/>
  <c r="BA126" i="9"/>
  <c r="CH127" i="9" s="1"/>
  <c r="AZ126" i="9"/>
  <c r="CG127" i="9" s="1"/>
  <c r="AR126" i="9"/>
  <c r="BY127" i="9" s="1"/>
  <c r="AO126" i="9"/>
  <c r="BV127" i="9" s="1"/>
  <c r="AS129" i="9"/>
  <c r="BZ130" i="9" s="1"/>
  <c r="CT86" i="9"/>
  <c r="CP128" i="9"/>
  <c r="CN128" i="9"/>
  <c r="CM128" i="9"/>
  <c r="CP106" i="9"/>
  <c r="CP44" i="9"/>
  <c r="CS44" i="9"/>
  <c r="CQ44" i="9"/>
  <c r="CM44" i="9"/>
  <c r="CT44" i="9"/>
  <c r="CM20" i="9"/>
  <c r="CQ20" i="9"/>
  <c r="CN20" i="9"/>
  <c r="CP20" i="9"/>
  <c r="CS80" i="9"/>
  <c r="CP80" i="9"/>
  <c r="CM80" i="9"/>
  <c r="AM32" i="9"/>
  <c r="BT33" i="9" s="1"/>
  <c r="AQ36" i="9"/>
  <c r="BX37" i="9" s="1"/>
  <c r="AZ71" i="9"/>
  <c r="CG72" i="9" s="1"/>
  <c r="CP46" i="9"/>
  <c r="CS46" i="9"/>
  <c r="CQ46" i="9"/>
  <c r="AQ14" i="9"/>
  <c r="BX15" i="9" s="1"/>
  <c r="AL18" i="9"/>
  <c r="BS19" i="9" s="1"/>
  <c r="AY20" i="9"/>
  <c r="CF21" i="9" s="1"/>
  <c r="AZ21" i="9"/>
  <c r="CG22" i="9" s="1"/>
  <c r="AD23" i="9"/>
  <c r="BK24" i="9" s="1"/>
  <c r="AV23" i="9"/>
  <c r="CC24" i="9" s="1"/>
  <c r="AN26" i="9"/>
  <c r="BU27" i="9" s="1"/>
  <c r="AQ30" i="9"/>
  <c r="BX31" i="9" s="1"/>
  <c r="AQ32" i="9"/>
  <c r="BX33" i="9" s="1"/>
  <c r="AT33" i="9"/>
  <c r="CA34" i="9" s="1"/>
  <c r="AD36" i="9"/>
  <c r="BK37" i="9" s="1"/>
  <c r="AU36" i="9"/>
  <c r="CB37" i="9" s="1"/>
  <c r="AF38" i="9"/>
  <c r="BM39" i="9" s="1"/>
  <c r="AW38" i="9"/>
  <c r="CD39" i="9" s="1"/>
  <c r="AH45" i="9"/>
  <c r="BO46" i="9" s="1"/>
  <c r="AF50" i="9"/>
  <c r="BM51" i="9" s="1"/>
  <c r="AP53" i="9"/>
  <c r="BW54" i="9" s="1"/>
  <c r="AE66" i="9"/>
  <c r="BL67" i="9" s="1"/>
  <c r="BB80" i="9"/>
  <c r="CI81" i="9" s="1"/>
  <c r="AZ82" i="9"/>
  <c r="CG83" i="9" s="1"/>
  <c r="AM93" i="9"/>
  <c r="BT94" i="9" s="1"/>
  <c r="AZ129" i="9"/>
  <c r="CG130" i="9" s="1"/>
  <c r="CM105" i="9"/>
  <c r="CP105" i="9"/>
  <c r="CS105" i="9"/>
  <c r="CN105" i="9"/>
  <c r="AU98" i="9"/>
  <c r="CB99" i="9" s="1"/>
  <c r="AH98" i="9"/>
  <c r="BO99" i="9" s="1"/>
  <c r="AF98" i="9"/>
  <c r="BM99" i="9" s="1"/>
  <c r="AQ23" i="9"/>
  <c r="BX24" i="9" s="1"/>
  <c r="AM18" i="9"/>
  <c r="BT19" i="9" s="1"/>
  <c r="AZ20" i="9"/>
  <c r="CG21" i="9" s="1"/>
  <c r="BA21" i="9"/>
  <c r="CH22" i="9" s="1"/>
  <c r="AE23" i="9"/>
  <c r="BL24" i="9" s="1"/>
  <c r="AW23" i="9"/>
  <c r="CD24" i="9" s="1"/>
  <c r="AR32" i="9"/>
  <c r="BY33" i="9" s="1"/>
  <c r="AZ33" i="9"/>
  <c r="CG34" i="9" s="1"/>
  <c r="AE36" i="9"/>
  <c r="BL37" i="9" s="1"/>
  <c r="AV36" i="9"/>
  <c r="CC37" i="9" s="1"/>
  <c r="AI45" i="9"/>
  <c r="BP46" i="9" s="1"/>
  <c r="AR48" i="9"/>
  <c r="BY49" i="9" s="1"/>
  <c r="AV48" i="9"/>
  <c r="CC49" i="9" s="1"/>
  <c r="AS48" i="9"/>
  <c r="BZ49" i="9" s="1"/>
  <c r="AQ48" i="9"/>
  <c r="BX49" i="9" s="1"/>
  <c r="AW49" i="9"/>
  <c r="CD50" i="9" s="1"/>
  <c r="AY49" i="9"/>
  <c r="CF50" i="9" s="1"/>
  <c r="AX49" i="9"/>
  <c r="CE50" i="9" s="1"/>
  <c r="AW48" i="9"/>
  <c r="CD49" i="9" s="1"/>
  <c r="AS53" i="9"/>
  <c r="BZ54" i="9" s="1"/>
  <c r="AO69" i="9"/>
  <c r="BV70" i="9" s="1"/>
  <c r="AU116" i="9"/>
  <c r="CB117" i="9" s="1"/>
  <c r="AZ116" i="9"/>
  <c r="CG117" i="9" s="1"/>
  <c r="AM116" i="9"/>
  <c r="BT117" i="9" s="1"/>
  <c r="AK116" i="9"/>
  <c r="BR117" i="9" s="1"/>
  <c r="AJ116" i="9"/>
  <c r="BQ117" i="9" s="1"/>
  <c r="CM104" i="9"/>
  <c r="CT104" i="9"/>
  <c r="CQ104" i="9"/>
  <c r="CP104" i="9"/>
  <c r="CQ45" i="9"/>
  <c r="AN101" i="9"/>
  <c r="BU102" i="9" s="1"/>
  <c r="BB103" i="9"/>
  <c r="CI104" i="9" s="1"/>
  <c r="AX108" i="9"/>
  <c r="CE109" i="9" s="1"/>
  <c r="AV122" i="9"/>
  <c r="CC123" i="9" s="1"/>
  <c r="AN128" i="9"/>
  <c r="BU129" i="9" s="1"/>
  <c r="AK130" i="9"/>
  <c r="BR131" i="9" s="1"/>
  <c r="BX9" i="9"/>
  <c r="CH9" i="9"/>
  <c r="CP127" i="9"/>
  <c r="CT127" i="9"/>
  <c r="CN127" i="9"/>
  <c r="CN115" i="9"/>
  <c r="CQ115" i="9"/>
  <c r="CQ103" i="9"/>
  <c r="CP103" i="9"/>
  <c r="CS79" i="9"/>
  <c r="CP79" i="9"/>
  <c r="CM79" i="9"/>
  <c r="CT79" i="9"/>
  <c r="CN67" i="9"/>
  <c r="CK55" i="9"/>
  <c r="CK43" i="9"/>
  <c r="CK31" i="9"/>
  <c r="CK19" i="9"/>
  <c r="CN108" i="9"/>
  <c r="CQ128" i="9"/>
  <c r="CP96" i="9"/>
  <c r="CQ69" i="9"/>
  <c r="CS25" i="9"/>
  <c r="CM117" i="9"/>
  <c r="CN91" i="9"/>
  <c r="CN59" i="9"/>
  <c r="CN32" i="9"/>
  <c r="AT64" i="9"/>
  <c r="CA65" i="9" s="1"/>
  <c r="AW76" i="9"/>
  <c r="CD77" i="9" s="1"/>
  <c r="AZ85" i="9"/>
  <c r="CG86" i="9" s="1"/>
  <c r="AD95" i="9"/>
  <c r="BK96" i="9" s="1"/>
  <c r="AV95" i="9"/>
  <c r="CC96" i="9" s="1"/>
  <c r="AO101" i="9"/>
  <c r="BV102" i="9" s="1"/>
  <c r="AT104" i="9"/>
  <c r="CA105" i="9" s="1"/>
  <c r="AZ108" i="9"/>
  <c r="CG109" i="9" s="1"/>
  <c r="AJ118" i="9"/>
  <c r="BQ119" i="9" s="1"/>
  <c r="AL120" i="9"/>
  <c r="BS121" i="9" s="1"/>
  <c r="AZ122" i="9"/>
  <c r="CG123" i="9" s="1"/>
  <c r="AO128" i="9"/>
  <c r="BV129" i="9" s="1"/>
  <c r="AR130" i="9"/>
  <c r="BY131" i="9" s="1"/>
  <c r="BW9" i="9"/>
  <c r="CG9" i="9"/>
  <c r="CK138" i="9"/>
  <c r="CK126" i="9"/>
  <c r="CK114" i="9"/>
  <c r="CK102" i="9"/>
  <c r="CK90" i="9"/>
  <c r="CK78" i="9"/>
  <c r="CK66" i="9"/>
  <c r="CK54" i="9"/>
  <c r="CK42" i="9"/>
  <c r="CK30" i="9"/>
  <c r="CK18" i="9"/>
  <c r="CQ127" i="9"/>
  <c r="CQ94" i="9"/>
  <c r="CP68" i="9"/>
  <c r="CP36" i="9"/>
  <c r="CS109" i="9"/>
  <c r="CM116" i="9"/>
  <c r="CM57" i="9"/>
  <c r="AU64" i="9"/>
  <c r="CB65" i="9" s="1"/>
  <c r="AX76" i="9"/>
  <c r="CE77" i="9" s="1"/>
  <c r="BB85" i="9"/>
  <c r="CI86" i="9" s="1"/>
  <c r="AJ90" i="9"/>
  <c r="BQ91" i="9" s="1"/>
  <c r="AF95" i="9"/>
  <c r="BM96" i="9" s="1"/>
  <c r="AW95" i="9"/>
  <c r="CD96" i="9" s="1"/>
  <c r="AP101" i="9"/>
  <c r="BW102" i="9" s="1"/>
  <c r="AU104" i="9"/>
  <c r="CB105" i="9" s="1"/>
  <c r="BA122" i="9"/>
  <c r="CH123" i="9" s="1"/>
  <c r="AW128" i="9"/>
  <c r="CD129" i="9" s="1"/>
  <c r="AV130" i="9"/>
  <c r="CC131" i="9" s="1"/>
  <c r="BV9" i="9"/>
  <c r="CB9" i="9"/>
  <c r="CK137" i="9"/>
  <c r="CK125" i="9"/>
  <c r="CK113" i="9"/>
  <c r="CK101" i="9"/>
  <c r="CK89" i="9"/>
  <c r="CK77" i="9"/>
  <c r="CK65" i="9"/>
  <c r="CK53" i="9"/>
  <c r="CK41" i="9"/>
  <c r="CK29" i="9"/>
  <c r="CK17" i="9"/>
  <c r="CM67" i="9"/>
  <c r="CQ67" i="9"/>
  <c r="CP120" i="9"/>
  <c r="CP93" i="9"/>
  <c r="CP67" i="9"/>
  <c r="CQ34" i="9"/>
  <c r="CS49" i="9"/>
  <c r="CM115" i="9"/>
  <c r="CN83" i="9"/>
  <c r="CN56" i="9"/>
  <c r="AW64" i="9"/>
  <c r="CD65" i="9" s="1"/>
  <c r="AL90" i="9"/>
  <c r="BS91" i="9" s="1"/>
  <c r="AD94" i="9"/>
  <c r="BK95" i="9" s="1"/>
  <c r="AH95" i="9"/>
  <c r="BO96" i="9" s="1"/>
  <c r="AZ95" i="9"/>
  <c r="CG96" i="9" s="1"/>
  <c r="AQ101" i="9"/>
  <c r="BX102" i="9" s="1"/>
  <c r="AD103" i="9"/>
  <c r="BK104" i="9" s="1"/>
  <c r="AD104" i="9"/>
  <c r="BK105" i="9" s="1"/>
  <c r="AX104" i="9"/>
  <c r="CE105" i="9" s="1"/>
  <c r="AQ120" i="9"/>
  <c r="BX121" i="9" s="1"/>
  <c r="AY128" i="9"/>
  <c r="CF129" i="9" s="1"/>
  <c r="CA9" i="9"/>
  <c r="CK136" i="9"/>
  <c r="CK124" i="9"/>
  <c r="CK112" i="9"/>
  <c r="CK100" i="9"/>
  <c r="CK88" i="9"/>
  <c r="CK76" i="9"/>
  <c r="CK64" i="9"/>
  <c r="CK52" i="9"/>
  <c r="CK40" i="9"/>
  <c r="CK28" i="9"/>
  <c r="CK16" i="9"/>
  <c r="CP118" i="9"/>
  <c r="CP92" i="9"/>
  <c r="CP60" i="9"/>
  <c r="CP33" i="9"/>
  <c r="CS133" i="9"/>
  <c r="CM81" i="9"/>
  <c r="CM23" i="9"/>
  <c r="AI89" i="9"/>
  <c r="BP90" i="9" s="1"/>
  <c r="AT90" i="9"/>
  <c r="CA91" i="9" s="1"/>
  <c r="AE94" i="9"/>
  <c r="BL95" i="9" s="1"/>
  <c r="AI95" i="9"/>
  <c r="BP96" i="9" s="1"/>
  <c r="BA95" i="9"/>
  <c r="CH96" i="9" s="1"/>
  <c r="AR101" i="9"/>
  <c r="BY102" i="9" s="1"/>
  <c r="AE103" i="9"/>
  <c r="BL104" i="9" s="1"/>
  <c r="AE104" i="9"/>
  <c r="BL105" i="9" s="1"/>
  <c r="AZ104" i="9"/>
  <c r="CG105" i="9" s="1"/>
  <c r="AR120" i="9"/>
  <c r="BY121" i="9" s="1"/>
  <c r="AZ128" i="9"/>
  <c r="CG129" i="9" s="1"/>
  <c r="AI136" i="9"/>
  <c r="BP137" i="9" s="1"/>
  <c r="BT9" i="9"/>
  <c r="BZ9" i="9"/>
  <c r="CD9" i="9"/>
  <c r="BR9" i="9"/>
  <c r="CK135" i="9"/>
  <c r="CK123" i="9"/>
  <c r="CK111" i="9"/>
  <c r="CK99" i="9"/>
  <c r="CK87" i="9"/>
  <c r="CK75" i="9"/>
  <c r="CK63" i="9"/>
  <c r="CK51" i="9"/>
  <c r="CK39" i="9"/>
  <c r="CK27" i="9"/>
  <c r="CK15" i="9"/>
  <c r="CM127" i="9"/>
  <c r="CQ60" i="9"/>
  <c r="CQ117" i="9"/>
  <c r="CP91" i="9"/>
  <c r="CQ58" i="9"/>
  <c r="CP32" i="9"/>
  <c r="CS73" i="9"/>
  <c r="CS14" i="9"/>
  <c r="CN107" i="9"/>
  <c r="CN80" i="9"/>
  <c r="CM21" i="9"/>
  <c r="AU101" i="9"/>
  <c r="CB102" i="9" s="1"/>
  <c r="AJ103" i="9"/>
  <c r="BQ104" i="9" s="1"/>
  <c r="AH119" i="9"/>
  <c r="BO120" i="9" s="1"/>
  <c r="BY9" i="9"/>
  <c r="BY11" i="9" s="1"/>
  <c r="BQ9" i="9"/>
  <c r="CK134" i="9"/>
  <c r="CK122" i="9"/>
  <c r="CK110" i="9"/>
  <c r="CK98" i="9"/>
  <c r="CK74" i="9"/>
  <c r="CK62" i="9"/>
  <c r="CK50" i="9"/>
  <c r="CK38" i="9"/>
  <c r="CK26" i="9"/>
  <c r="CQ84" i="9"/>
  <c r="CQ116" i="9"/>
  <c r="CP84" i="9"/>
  <c r="CP57" i="9"/>
  <c r="CN79" i="9"/>
  <c r="CM47" i="9"/>
  <c r="CM14" i="9"/>
  <c r="CN26" i="9"/>
  <c r="CN38" i="9"/>
  <c r="CM86" i="9"/>
  <c r="CT21" i="9"/>
  <c r="CT33" i="9"/>
  <c r="CS45" i="9"/>
  <c r="CS57" i="9"/>
  <c r="CS69" i="9"/>
  <c r="CS93" i="9"/>
  <c r="CT105" i="9"/>
  <c r="CS117" i="9"/>
  <c r="CT129" i="9"/>
  <c r="CT22" i="9"/>
  <c r="CT34" i="9"/>
  <c r="CT46" i="9"/>
  <c r="CT58" i="9"/>
  <c r="CT70" i="9"/>
  <c r="CT82" i="9"/>
  <c r="CT94" i="9"/>
  <c r="CT106" i="9"/>
  <c r="CT118" i="9"/>
  <c r="CT130" i="9"/>
  <c r="CT23" i="9"/>
  <c r="CT35" i="9"/>
  <c r="CT47" i="9"/>
  <c r="CT59" i="9"/>
  <c r="CT71" i="9"/>
  <c r="CT83" i="9"/>
  <c r="CT95" i="9"/>
  <c r="CT107" i="9"/>
  <c r="CT119" i="9"/>
  <c r="CT131" i="9"/>
  <c r="CT24" i="9"/>
  <c r="CT48" i="9"/>
  <c r="CT60" i="9"/>
  <c r="CT72" i="9"/>
  <c r="CS84" i="9"/>
  <c r="CT108" i="9"/>
  <c r="CS132" i="9"/>
  <c r="CN22" i="9"/>
  <c r="CM34" i="9"/>
  <c r="CM46" i="9"/>
  <c r="CN58" i="9"/>
  <c r="CM70" i="9"/>
  <c r="CN94" i="9"/>
  <c r="CM106" i="9"/>
  <c r="CN118" i="9"/>
  <c r="CN130" i="9"/>
  <c r="CP23" i="9"/>
  <c r="CP35" i="9"/>
  <c r="CP47" i="9"/>
  <c r="CP59" i="9"/>
  <c r="CP83" i="9"/>
  <c r="CP95" i="9"/>
  <c r="CP107" i="9"/>
  <c r="CP119" i="9"/>
  <c r="CP131" i="9"/>
  <c r="CN24" i="9"/>
  <c r="CN36" i="9"/>
  <c r="CN48" i="9"/>
  <c r="CM60" i="9"/>
  <c r="CN84" i="9"/>
  <c r="CM96" i="9"/>
  <c r="CM108" i="9"/>
  <c r="CM132" i="9"/>
  <c r="CS67" i="9"/>
  <c r="CT91" i="9"/>
  <c r="CT103" i="9"/>
  <c r="CS115" i="9"/>
  <c r="CS127" i="9"/>
  <c r="CS13" i="9"/>
  <c r="CQ25" i="9"/>
  <c r="CQ37" i="9"/>
  <c r="CQ49" i="9"/>
  <c r="CQ61" i="9"/>
  <c r="CQ73" i="9"/>
  <c r="CQ85" i="9"/>
  <c r="CQ97" i="9"/>
  <c r="CQ109" i="9"/>
  <c r="CQ121" i="9"/>
  <c r="CQ133" i="9"/>
  <c r="CM25" i="9"/>
  <c r="CN37" i="9"/>
  <c r="CN49" i="9"/>
  <c r="CN61" i="9"/>
  <c r="CN73" i="9"/>
  <c r="CN85" i="9"/>
  <c r="CM97" i="9"/>
  <c r="CN109" i="9"/>
  <c r="CN121" i="9"/>
  <c r="CN133" i="9"/>
  <c r="CT20" i="9"/>
  <c r="CS32" i="9"/>
  <c r="CT56" i="9"/>
  <c r="CT68" i="9"/>
  <c r="CT80" i="9"/>
  <c r="CT92" i="9"/>
  <c r="CS104" i="9"/>
  <c r="CT116" i="9"/>
  <c r="CT128" i="9"/>
  <c r="CP14" i="9"/>
  <c r="CQ86" i="9"/>
  <c r="CP115" i="9"/>
  <c r="CQ82" i="9"/>
  <c r="CP56" i="9"/>
  <c r="CP24" i="9"/>
  <c r="CS97" i="9"/>
  <c r="CN131" i="9"/>
  <c r="CN104" i="9"/>
  <c r="CM45" i="9"/>
  <c r="CN132" i="9"/>
  <c r="CT132" i="9"/>
  <c r="CT120" i="9"/>
  <c r="CS120" i="9"/>
  <c r="CS108" i="9"/>
  <c r="CS96" i="9"/>
  <c r="CT96" i="9"/>
  <c r="CT84" i="9"/>
  <c r="CN72" i="9"/>
  <c r="CQ72" i="9"/>
  <c r="CM72" i="9"/>
  <c r="CQ48" i="9"/>
  <c r="CM48" i="9"/>
  <c r="CS48" i="9"/>
  <c r="CS36" i="9"/>
  <c r="CT36" i="9"/>
  <c r="CQ24" i="9"/>
  <c r="CN13" i="9"/>
  <c r="CP108" i="9"/>
  <c r="CP81" i="9"/>
  <c r="CQ22" i="9"/>
  <c r="CS37" i="9"/>
  <c r="CN129" i="9"/>
  <c r="CM103" i="9"/>
  <c r="CM71" i="9"/>
  <c r="CN44" i="9"/>
  <c r="CS131" i="9"/>
  <c r="CS107" i="9"/>
  <c r="CS95" i="9"/>
  <c r="CS83" i="9"/>
  <c r="CS71" i="9"/>
  <c r="CS47" i="9"/>
  <c r="CS23" i="9"/>
  <c r="CT133" i="9"/>
  <c r="CT121" i="9"/>
  <c r="CT109" i="9"/>
  <c r="CT85" i="9"/>
  <c r="CT61" i="9"/>
  <c r="CT49" i="9"/>
  <c r="CT37" i="9"/>
  <c r="CT25" i="9"/>
  <c r="CP121" i="9"/>
  <c r="CP109" i="9"/>
  <c r="CP85" i="9"/>
  <c r="CP61" i="9"/>
  <c r="CP49" i="9"/>
  <c r="CP25" i="9"/>
  <c r="CM109" i="9"/>
  <c r="CM13" i="9"/>
  <c r="CM49" i="9"/>
  <c r="CM73" i="9"/>
  <c r="CM133" i="9"/>
  <c r="CM121" i="9"/>
  <c r="CM85" i="9"/>
  <c r="CN74" i="9"/>
  <c r="CN62" i="9"/>
  <c r="CN50" i="9"/>
  <c r="AI44" i="9"/>
  <c r="BP45" i="9" s="1"/>
  <c r="AT12" i="9"/>
  <c r="CA13" i="9" s="1"/>
  <c r="AK17" i="9"/>
  <c r="BR18" i="9" s="1"/>
  <c r="AY17" i="9"/>
  <c r="CF18" i="9" s="1"/>
  <c r="AQ24" i="9"/>
  <c r="BX25" i="9" s="1"/>
  <c r="AP26" i="9"/>
  <c r="BW27" i="9" s="1"/>
  <c r="AQ27" i="9"/>
  <c r="BX28" i="9" s="1"/>
  <c r="AE28" i="9"/>
  <c r="BL29" i="9" s="1"/>
  <c r="AQ29" i="9"/>
  <c r="BX30" i="9" s="1"/>
  <c r="AD30" i="9"/>
  <c r="BK31" i="9" s="1"/>
  <c r="AR30" i="9"/>
  <c r="BY31" i="9" s="1"/>
  <c r="AT31" i="9"/>
  <c r="CA32" i="9" s="1"/>
  <c r="AF35" i="9"/>
  <c r="BM36" i="9" s="1"/>
  <c r="AT35" i="9"/>
  <c r="CA36" i="9" s="1"/>
  <c r="AP39" i="9"/>
  <c r="BW40" i="9" s="1"/>
  <c r="AH41" i="9"/>
  <c r="BO42" i="9" s="1"/>
  <c r="AU41" i="9"/>
  <c r="CB42" i="9" s="1"/>
  <c r="AU42" i="9"/>
  <c r="CB43" i="9" s="1"/>
  <c r="AJ44" i="9"/>
  <c r="BQ45" i="9" s="1"/>
  <c r="AW44" i="9"/>
  <c r="CD45" i="9" s="1"/>
  <c r="AM51" i="9"/>
  <c r="BT52" i="9" s="1"/>
  <c r="AS56" i="9"/>
  <c r="BZ57" i="9" s="1"/>
  <c r="AL62" i="9"/>
  <c r="BS63" i="9" s="1"/>
  <c r="AU67" i="9"/>
  <c r="CB68" i="9" s="1"/>
  <c r="AX81" i="9"/>
  <c r="CE82" i="9" s="1"/>
  <c r="AN99" i="9"/>
  <c r="BU100" i="9" s="1"/>
  <c r="AH99" i="9"/>
  <c r="BO100" i="9" s="1"/>
  <c r="AG99" i="9"/>
  <c r="BN100" i="9" s="1"/>
  <c r="AY99" i="9"/>
  <c r="CF100" i="9" s="1"/>
  <c r="AX99" i="9"/>
  <c r="CE100" i="9" s="1"/>
  <c r="AV99" i="9"/>
  <c r="CC100" i="9" s="1"/>
  <c r="AU99" i="9"/>
  <c r="CB100" i="9" s="1"/>
  <c r="AT99" i="9"/>
  <c r="CA100" i="9" s="1"/>
  <c r="AS99" i="9"/>
  <c r="BZ100" i="9" s="1"/>
  <c r="AJ99" i="9"/>
  <c r="BQ100" i="9" s="1"/>
  <c r="AM62" i="9"/>
  <c r="BT63" i="9" s="1"/>
  <c r="AU79" i="9"/>
  <c r="CB80" i="9" s="1"/>
  <c r="BB79" i="9"/>
  <c r="CI80" i="9" s="1"/>
  <c r="AL79" i="9"/>
  <c r="BS80" i="9" s="1"/>
  <c r="AX79" i="9"/>
  <c r="CE80" i="9" s="1"/>
  <c r="AD79" i="9"/>
  <c r="BK80" i="9" s="1"/>
  <c r="AN79" i="9"/>
  <c r="BU80" i="9" s="1"/>
  <c r="AY81" i="9"/>
  <c r="CF82" i="9" s="1"/>
  <c r="AZ60" i="9"/>
  <c r="CG61" i="9" s="1"/>
  <c r="AD24" i="9"/>
  <c r="BK25" i="9" s="1"/>
  <c r="AD27" i="9"/>
  <c r="BK28" i="9" s="1"/>
  <c r="AD15" i="9"/>
  <c r="BK16" i="9" s="1"/>
  <c r="AR15" i="9"/>
  <c r="BY16" i="9" s="1"/>
  <c r="AQ16" i="9"/>
  <c r="BX17" i="9" s="1"/>
  <c r="BB17" i="9"/>
  <c r="CI18" i="9" s="1"/>
  <c r="AE24" i="9"/>
  <c r="BL25" i="9" s="1"/>
  <c r="AT24" i="9"/>
  <c r="CA25" i="9" s="1"/>
  <c r="AD26" i="9"/>
  <c r="BK27" i="9" s="1"/>
  <c r="AR26" i="9"/>
  <c r="BY27" i="9" s="1"/>
  <c r="AE27" i="9"/>
  <c r="BL28" i="9" s="1"/>
  <c r="AT27" i="9"/>
  <c r="CA28" i="9" s="1"/>
  <c r="AG28" i="9"/>
  <c r="BN29" i="9" s="1"/>
  <c r="AE29" i="9"/>
  <c r="BL30" i="9" s="1"/>
  <c r="AT29" i="9"/>
  <c r="CA30" i="9" s="1"/>
  <c r="AF30" i="9"/>
  <c r="BM31" i="9" s="1"/>
  <c r="AU30" i="9"/>
  <c r="CB31" i="9" s="1"/>
  <c r="AD33" i="9"/>
  <c r="BK34" i="9" s="1"/>
  <c r="AR33" i="9"/>
  <c r="BY34" i="9" s="1"/>
  <c r="AL34" i="9"/>
  <c r="BS35" i="9" s="1"/>
  <c r="AI35" i="9"/>
  <c r="BP36" i="9" s="1"/>
  <c r="AV35" i="9"/>
  <c r="CC36" i="9" s="1"/>
  <c r="AD39" i="9"/>
  <c r="BK40" i="9" s="1"/>
  <c r="AR39" i="9"/>
  <c r="BY40" i="9" s="1"/>
  <c r="AH40" i="9"/>
  <c r="BO41" i="9" s="1"/>
  <c r="AJ41" i="9"/>
  <c r="BQ42" i="9" s="1"/>
  <c r="AW41" i="9"/>
  <c r="CD42" i="9" s="1"/>
  <c r="AI42" i="9"/>
  <c r="BP43" i="9" s="1"/>
  <c r="AX42" i="9"/>
  <c r="CE43" i="9" s="1"/>
  <c r="AL44" i="9"/>
  <c r="BS45" i="9" s="1"/>
  <c r="AY44" i="9"/>
  <c r="CF45" i="9" s="1"/>
  <c r="AY51" i="9"/>
  <c r="CF52" i="9" s="1"/>
  <c r="AV56" i="9"/>
  <c r="CC57" i="9" s="1"/>
  <c r="AP57" i="9"/>
  <c r="BW58" i="9" s="1"/>
  <c r="AO62" i="9"/>
  <c r="BV63" i="9" s="1"/>
  <c r="AP73" i="9"/>
  <c r="BW74" i="9" s="1"/>
  <c r="AJ73" i="9"/>
  <c r="BQ74" i="9" s="1"/>
  <c r="AD73" i="9"/>
  <c r="BK74" i="9" s="1"/>
  <c r="AZ73" i="9"/>
  <c r="CG74" i="9" s="1"/>
  <c r="AO79" i="9"/>
  <c r="BV80" i="9" s="1"/>
  <c r="AH86" i="9"/>
  <c r="BO87" i="9" s="1"/>
  <c r="AV86" i="9"/>
  <c r="CC87" i="9" s="1"/>
  <c r="AU86" i="9"/>
  <c r="CB87" i="9" s="1"/>
  <c r="AK86" i="9"/>
  <c r="BR87" i="9" s="1"/>
  <c r="AF86" i="9"/>
  <c r="BM87" i="9" s="1"/>
  <c r="AD86" i="9"/>
  <c r="BK87" i="9" s="1"/>
  <c r="AZ99" i="9"/>
  <c r="CG100" i="9" s="1"/>
  <c r="AL107" i="9"/>
  <c r="BS108" i="9" s="1"/>
  <c r="AK107" i="9"/>
  <c r="BR108" i="9" s="1"/>
  <c r="AE107" i="9"/>
  <c r="BL108" i="9" s="1"/>
  <c r="BA107" i="9"/>
  <c r="CH108" i="9" s="1"/>
  <c r="AZ107" i="9"/>
  <c r="CG108" i="9" s="1"/>
  <c r="AV107" i="9"/>
  <c r="CC108" i="9" s="1"/>
  <c r="AS107" i="9"/>
  <c r="BZ108" i="9" s="1"/>
  <c r="AR107" i="9"/>
  <c r="BY108" i="9" s="1"/>
  <c r="AN107" i="9"/>
  <c r="BU108" i="9" s="1"/>
  <c r="AY12" i="9"/>
  <c r="CF13" i="9" s="1"/>
  <c r="AM16" i="9"/>
  <c r="BT17" i="9" s="1"/>
  <c r="AR24" i="9"/>
  <c r="BY25" i="9" s="1"/>
  <c r="AQ26" i="9"/>
  <c r="BX27" i="9" s="1"/>
  <c r="AD29" i="9"/>
  <c r="BK30" i="9" s="1"/>
  <c r="AF34" i="9"/>
  <c r="BM35" i="9" s="1"/>
  <c r="AT15" i="9"/>
  <c r="CA16" i="9" s="1"/>
  <c r="AM20" i="9"/>
  <c r="BT21" i="9" s="1"/>
  <c r="AU24" i="9"/>
  <c r="CB25" i="9" s="1"/>
  <c r="AT26" i="9"/>
  <c r="CA27" i="9" s="1"/>
  <c r="AH28" i="9"/>
  <c r="BO29" i="9" s="1"/>
  <c r="AF29" i="9"/>
  <c r="BM30" i="9" s="1"/>
  <c r="AU29" i="9"/>
  <c r="CB30" i="9" s="1"/>
  <c r="AH30" i="9"/>
  <c r="BO31" i="9" s="1"/>
  <c r="AV30" i="9"/>
  <c r="CC31" i="9" s="1"/>
  <c r="AQ34" i="9"/>
  <c r="BX35" i="9" s="1"/>
  <c r="AJ35" i="9"/>
  <c r="BQ36" i="9" s="1"/>
  <c r="AW35" i="9"/>
  <c r="CD36" i="9" s="1"/>
  <c r="AE39" i="9"/>
  <c r="BL40" i="9" s="1"/>
  <c r="AT39" i="9"/>
  <c r="CA40" i="9" s="1"/>
  <c r="AR40" i="9"/>
  <c r="BY41" i="9" s="1"/>
  <c r="AK41" i="9"/>
  <c r="BR42" i="9" s="1"/>
  <c r="AX41" i="9"/>
  <c r="CE42" i="9" s="1"/>
  <c r="AJ42" i="9"/>
  <c r="BQ43" i="9" s="1"/>
  <c r="AY42" i="9"/>
  <c r="CF43" i="9" s="1"/>
  <c r="AM44" i="9"/>
  <c r="BT45" i="9" s="1"/>
  <c r="AZ44" i="9"/>
  <c r="CG45" i="9" s="1"/>
  <c r="AZ51" i="9"/>
  <c r="CG52" i="9" s="1"/>
  <c r="AW56" i="9"/>
  <c r="CD57" i="9" s="1"/>
  <c r="AQ57" i="9"/>
  <c r="BX58" i="9" s="1"/>
  <c r="AP62" i="9"/>
  <c r="BW63" i="9" s="1"/>
  <c r="AE73" i="9"/>
  <c r="BL74" i="9" s="1"/>
  <c r="BA73" i="9"/>
  <c r="CH74" i="9" s="1"/>
  <c r="AP79" i="9"/>
  <c r="BW80" i="9" s="1"/>
  <c r="AF106" i="9"/>
  <c r="BM107" i="9" s="1"/>
  <c r="BA110" i="9"/>
  <c r="CH111" i="9" s="1"/>
  <c r="AS110" i="9"/>
  <c r="BZ111" i="9" s="1"/>
  <c r="AR110" i="9"/>
  <c r="BY111" i="9" s="1"/>
  <c r="AK110" i="9"/>
  <c r="BR111" i="9" s="1"/>
  <c r="AJ110" i="9"/>
  <c r="BQ111" i="9" s="1"/>
  <c r="AH110" i="9"/>
  <c r="BO111" i="9" s="1"/>
  <c r="AV110" i="9"/>
  <c r="CC111" i="9" s="1"/>
  <c r="AF40" i="9"/>
  <c r="BM41" i="9" s="1"/>
  <c r="AX44" i="9"/>
  <c r="CE45" i="9" s="1"/>
  <c r="AZ12" i="9"/>
  <c r="CG13" i="9" s="1"/>
  <c r="AM17" i="9"/>
  <c r="BT18" i="9" s="1"/>
  <c r="BA12" i="9"/>
  <c r="CH13" i="9" s="1"/>
  <c r="AE15" i="9"/>
  <c r="BL16" i="9" s="1"/>
  <c r="AS16" i="9"/>
  <c r="BZ17" i="9" s="1"/>
  <c r="AF27" i="9"/>
  <c r="BM28" i="9" s="1"/>
  <c r="AE12" i="9"/>
  <c r="BL13" i="9" s="1"/>
  <c r="BB12" i="9"/>
  <c r="CI13" i="9" s="1"/>
  <c r="AE14" i="9"/>
  <c r="BL15" i="9" s="1"/>
  <c r="AT14" i="9"/>
  <c r="CA15" i="9" s="1"/>
  <c r="AF15" i="9"/>
  <c r="BM16" i="9" s="1"/>
  <c r="AU15" i="9"/>
  <c r="CB16" i="9" s="1"/>
  <c r="AP17" i="9"/>
  <c r="BW18" i="9" s="1"/>
  <c r="AQ18" i="9"/>
  <c r="BX19" i="9" s="1"/>
  <c r="AN20" i="9"/>
  <c r="BU21" i="9" s="1"/>
  <c r="AP21" i="9"/>
  <c r="BW22" i="9" s="1"/>
  <c r="AF23" i="9"/>
  <c r="BM24" i="9" s="1"/>
  <c r="AU23" i="9"/>
  <c r="CB24" i="9" s="1"/>
  <c r="AH24" i="9"/>
  <c r="BO25" i="9" s="1"/>
  <c r="AV24" i="9"/>
  <c r="CC25" i="9" s="1"/>
  <c r="AF26" i="9"/>
  <c r="BM27" i="9" s="1"/>
  <c r="AU26" i="9"/>
  <c r="CB27" i="9" s="1"/>
  <c r="AH27" i="9"/>
  <c r="BO28" i="9" s="1"/>
  <c r="AV27" i="9"/>
  <c r="CC28" i="9" s="1"/>
  <c r="AI28" i="9"/>
  <c r="BP29" i="9" s="1"/>
  <c r="AH29" i="9"/>
  <c r="BO30" i="9" s="1"/>
  <c r="AV29" i="9"/>
  <c r="CC30" i="9" s="1"/>
  <c r="AI30" i="9"/>
  <c r="BP31" i="9" s="1"/>
  <c r="AX30" i="9"/>
  <c r="CE31" i="9" s="1"/>
  <c r="AE32" i="9"/>
  <c r="BL33" i="9" s="1"/>
  <c r="AT32" i="9"/>
  <c r="CA33" i="9" s="1"/>
  <c r="AF33" i="9"/>
  <c r="BM34" i="9" s="1"/>
  <c r="AU33" i="9"/>
  <c r="CB34" i="9" s="1"/>
  <c r="AR34" i="9"/>
  <c r="BY35" i="9" s="1"/>
  <c r="AK35" i="9"/>
  <c r="BR36" i="9" s="1"/>
  <c r="AX35" i="9"/>
  <c r="CE36" i="9" s="1"/>
  <c r="AJ36" i="9"/>
  <c r="BQ37" i="9" s="1"/>
  <c r="AY36" i="9"/>
  <c r="CF37" i="9" s="1"/>
  <c r="AH38" i="9"/>
  <c r="BO39" i="9" s="1"/>
  <c r="AU38" i="9"/>
  <c r="CB39" i="9" s="1"/>
  <c r="AF39" i="9"/>
  <c r="BM40" i="9" s="1"/>
  <c r="AU39" i="9"/>
  <c r="CB40" i="9" s="1"/>
  <c r="AS40" i="9"/>
  <c r="BZ41" i="9" s="1"/>
  <c r="AL41" i="9"/>
  <c r="BS42" i="9" s="1"/>
  <c r="AY41" i="9"/>
  <c r="CF42" i="9" s="1"/>
  <c r="AL42" i="9"/>
  <c r="BS43" i="9" s="1"/>
  <c r="AZ42" i="9"/>
  <c r="CG43" i="9" s="1"/>
  <c r="AT43" i="9"/>
  <c r="CA44" i="9" s="1"/>
  <c r="AN44" i="9"/>
  <c r="BU45" i="9" s="1"/>
  <c r="BA44" i="9"/>
  <c r="CH45" i="9" s="1"/>
  <c r="AN45" i="9"/>
  <c r="BU46" i="9" s="1"/>
  <c r="BB45" i="9"/>
  <c r="CI46" i="9" s="1"/>
  <c r="AK47" i="9"/>
  <c r="BR48" i="9" s="1"/>
  <c r="AY47" i="9"/>
  <c r="CF48" i="9" s="1"/>
  <c r="AR50" i="9"/>
  <c r="BY51" i="9" s="1"/>
  <c r="BA51" i="9"/>
  <c r="CH52" i="9" s="1"/>
  <c r="AQ52" i="9"/>
  <c r="BX53" i="9" s="1"/>
  <c r="AG53" i="9"/>
  <c r="BN54" i="9" s="1"/>
  <c r="AX53" i="9"/>
  <c r="CE54" i="9" s="1"/>
  <c r="AD56" i="9"/>
  <c r="BK57" i="9" s="1"/>
  <c r="AY56" i="9"/>
  <c r="CF57" i="9" s="1"/>
  <c r="AS57" i="9"/>
  <c r="BZ58" i="9" s="1"/>
  <c r="AR58" i="9"/>
  <c r="BY59" i="9" s="1"/>
  <c r="AW59" i="9"/>
  <c r="CD60" i="9" s="1"/>
  <c r="AK61" i="9"/>
  <c r="BR62" i="9" s="1"/>
  <c r="AS62" i="9"/>
  <c r="BZ63" i="9" s="1"/>
  <c r="AQ63" i="9"/>
  <c r="BX64" i="9" s="1"/>
  <c r="AH66" i="9"/>
  <c r="BO67" i="9" s="1"/>
  <c r="AO71" i="9"/>
  <c r="BV72" i="9" s="1"/>
  <c r="AF73" i="9"/>
  <c r="BM74" i="9" s="1"/>
  <c r="AN77" i="9"/>
  <c r="BU78" i="9" s="1"/>
  <c r="AS77" i="9"/>
  <c r="BZ78" i="9" s="1"/>
  <c r="AZ76" i="9"/>
  <c r="CG77" i="9" s="1"/>
  <c r="AU78" i="9"/>
  <c r="CB79" i="9" s="1"/>
  <c r="AQ79" i="9"/>
  <c r="BX80" i="9" s="1"/>
  <c r="AJ85" i="9"/>
  <c r="BQ86" i="9" s="1"/>
  <c r="AQ98" i="9"/>
  <c r="BX99" i="9" s="1"/>
  <c r="AG106" i="9"/>
  <c r="BN107" i="9" s="1"/>
  <c r="AD118" i="9"/>
  <c r="BK119" i="9" s="1"/>
  <c r="BB118" i="9"/>
  <c r="CI119" i="9" s="1"/>
  <c r="AW118" i="9"/>
  <c r="CD119" i="9" s="1"/>
  <c r="AP118" i="9"/>
  <c r="BW119" i="9" s="1"/>
  <c r="AU125" i="9"/>
  <c r="CB126" i="9" s="1"/>
  <c r="AM125" i="9"/>
  <c r="BT126" i="9" s="1"/>
  <c r="AK125" i="9"/>
  <c r="BR126" i="9" s="1"/>
  <c r="AJ125" i="9"/>
  <c r="BQ126" i="9" s="1"/>
  <c r="AH125" i="9"/>
  <c r="BO126" i="9" s="1"/>
  <c r="BA125" i="9"/>
  <c r="CH126" i="9" s="1"/>
  <c r="AZ125" i="9"/>
  <c r="CG126" i="9" s="1"/>
  <c r="AY125" i="9"/>
  <c r="CF126" i="9" s="1"/>
  <c r="AW125" i="9"/>
  <c r="CD126" i="9" s="1"/>
  <c r="AV125" i="9"/>
  <c r="CC126" i="9" s="1"/>
  <c r="AR27" i="9"/>
  <c r="BY28" i="9" s="1"/>
  <c r="AR29" i="9"/>
  <c r="BY30" i="9" s="1"/>
  <c r="AK44" i="9"/>
  <c r="BR45" i="9" s="1"/>
  <c r="AQ51" i="9"/>
  <c r="BX52" i="9" s="1"/>
  <c r="AD12" i="9"/>
  <c r="BK13" i="9" s="1"/>
  <c r="AR14" i="9"/>
  <c r="BY15" i="9" s="1"/>
  <c r="AN17" i="9"/>
  <c r="BU18" i="9" s="1"/>
  <c r="BB20" i="9"/>
  <c r="CI21" i="9" s="1"/>
  <c r="AF24" i="9"/>
  <c r="BM25" i="9" s="1"/>
  <c r="AE26" i="9"/>
  <c r="BL27" i="9" s="1"/>
  <c r="AU27" i="9"/>
  <c r="CB28" i="9" s="1"/>
  <c r="AH12" i="9"/>
  <c r="BO13" i="9" s="1"/>
  <c r="AF14" i="9"/>
  <c r="BM15" i="9" s="1"/>
  <c r="AU14" i="9"/>
  <c r="CB15" i="9" s="1"/>
  <c r="AH15" i="9"/>
  <c r="BO16" i="9" s="1"/>
  <c r="AV15" i="9"/>
  <c r="CC16" i="9" s="1"/>
  <c r="AQ17" i="9"/>
  <c r="BX18" i="9" s="1"/>
  <c r="AD18" i="9"/>
  <c r="BK19" i="9" s="1"/>
  <c r="AR18" i="9"/>
  <c r="BY19" i="9" s="1"/>
  <c r="AP20" i="9"/>
  <c r="BW21" i="9" s="1"/>
  <c r="AQ21" i="9"/>
  <c r="BX22" i="9" s="1"/>
  <c r="AE22" i="9"/>
  <c r="BL23" i="9" s="1"/>
  <c r="AI24" i="9"/>
  <c r="BP25" i="9" s="1"/>
  <c r="AX24" i="9"/>
  <c r="CE25" i="9" s="1"/>
  <c r="AH26" i="9"/>
  <c r="BO27" i="9" s="1"/>
  <c r="AV26" i="9"/>
  <c r="CC27" i="9" s="1"/>
  <c r="AI27" i="9"/>
  <c r="BP28" i="9" s="1"/>
  <c r="AX27" i="9"/>
  <c r="CE28" i="9" s="1"/>
  <c r="AL28" i="9"/>
  <c r="BS29" i="9" s="1"/>
  <c r="AI29" i="9"/>
  <c r="BP30" i="9" s="1"/>
  <c r="AW29" i="9"/>
  <c r="CD30" i="9" s="1"/>
  <c r="AJ30" i="9"/>
  <c r="BQ31" i="9" s="1"/>
  <c r="AY30" i="9"/>
  <c r="CF31" i="9" s="1"/>
  <c r="AF32" i="9"/>
  <c r="BM33" i="9" s="1"/>
  <c r="AU32" i="9"/>
  <c r="CB33" i="9" s="1"/>
  <c r="AH33" i="9"/>
  <c r="BO34" i="9" s="1"/>
  <c r="AV33" i="9"/>
  <c r="CC34" i="9" s="1"/>
  <c r="AS34" i="9"/>
  <c r="BZ35" i="9" s="1"/>
  <c r="AL35" i="9"/>
  <c r="BS36" i="9" s="1"/>
  <c r="AY35" i="9"/>
  <c r="CF36" i="9" s="1"/>
  <c r="AH39" i="9"/>
  <c r="BO40" i="9" s="1"/>
  <c r="AV39" i="9"/>
  <c r="CC40" i="9" s="1"/>
  <c r="AT40" i="9"/>
  <c r="CA41" i="9" s="1"/>
  <c r="AM41" i="9"/>
  <c r="BT42" i="9" s="1"/>
  <c r="AZ41" i="9"/>
  <c r="CG42" i="9" s="1"/>
  <c r="AM42" i="9"/>
  <c r="BT43" i="9" s="1"/>
  <c r="BA42" i="9"/>
  <c r="CH43" i="9" s="1"/>
  <c r="AO44" i="9"/>
  <c r="BV45" i="9" s="1"/>
  <c r="BB44" i="9"/>
  <c r="CI45" i="9" s="1"/>
  <c r="AO45" i="9"/>
  <c r="BV46" i="9" s="1"/>
  <c r="AL47" i="9"/>
  <c r="BS48" i="9" s="1"/>
  <c r="AZ47" i="9"/>
  <c r="CG48" i="9" s="1"/>
  <c r="AS50" i="9"/>
  <c r="BZ51" i="9" s="1"/>
  <c r="AS52" i="9"/>
  <c r="BZ53" i="9" s="1"/>
  <c r="AI53" i="9"/>
  <c r="BP54" i="9" s="1"/>
  <c r="AY53" i="9"/>
  <c r="CF54" i="9" s="1"/>
  <c r="AI56" i="9"/>
  <c r="BP57" i="9" s="1"/>
  <c r="BA56" i="9"/>
  <c r="CH57" i="9" s="1"/>
  <c r="AW57" i="9"/>
  <c r="CD58" i="9" s="1"/>
  <c r="AS58" i="9"/>
  <c r="BZ59" i="9" s="1"/>
  <c r="AL61" i="9"/>
  <c r="BS62" i="9" s="1"/>
  <c r="AW62" i="9"/>
  <c r="CD63" i="9" s="1"/>
  <c r="AS63" i="9"/>
  <c r="BZ64" i="9" s="1"/>
  <c r="AP71" i="9"/>
  <c r="BW72" i="9" s="1"/>
  <c r="AG73" i="9"/>
  <c r="BN74" i="9" s="1"/>
  <c r="AU75" i="9"/>
  <c r="CB76" i="9" s="1"/>
  <c r="AG75" i="9"/>
  <c r="BN76" i="9" s="1"/>
  <c r="AY75" i="9"/>
  <c r="CF76" i="9" s="1"/>
  <c r="AD76" i="9"/>
  <c r="BK77" i="9" s="1"/>
  <c r="BA76" i="9"/>
  <c r="CH77" i="9" s="1"/>
  <c r="AV78" i="9"/>
  <c r="CC79" i="9" s="1"/>
  <c r="AV79" i="9"/>
  <c r="CC80" i="9" s="1"/>
  <c r="AK85" i="9"/>
  <c r="BR86" i="9" s="1"/>
  <c r="AY92" i="9"/>
  <c r="CF93" i="9" s="1"/>
  <c r="AQ92" i="9"/>
  <c r="BX93" i="9" s="1"/>
  <c r="AP92" i="9"/>
  <c r="BW93" i="9" s="1"/>
  <c r="BA92" i="9"/>
  <c r="CH93" i="9" s="1"/>
  <c r="AL92" i="9"/>
  <c r="BS93" i="9" s="1"/>
  <c r="AZ92" i="9"/>
  <c r="CG93" i="9" s="1"/>
  <c r="AK92" i="9"/>
  <c r="BR93" i="9" s="1"/>
  <c r="AX92" i="9"/>
  <c r="CE93" i="9" s="1"/>
  <c r="AJ92" i="9"/>
  <c r="BQ93" i="9" s="1"/>
  <c r="AW92" i="9"/>
  <c r="CD93" i="9" s="1"/>
  <c r="AI92" i="9"/>
  <c r="BP93" i="9" s="1"/>
  <c r="AV92" i="9"/>
  <c r="CC93" i="9" s="1"/>
  <c r="AH92" i="9"/>
  <c r="BO93" i="9" s="1"/>
  <c r="AN92" i="9"/>
  <c r="BU93" i="9" s="1"/>
  <c r="AH106" i="9"/>
  <c r="BO107" i="9" s="1"/>
  <c r="AW109" i="9"/>
  <c r="CD110" i="9" s="1"/>
  <c r="AF109" i="9"/>
  <c r="BM110" i="9" s="1"/>
  <c r="AV109" i="9"/>
  <c r="CC110" i="9" s="1"/>
  <c r="AD109" i="9"/>
  <c r="BK110" i="9" s="1"/>
  <c r="AS109" i="9"/>
  <c r="BZ110" i="9" s="1"/>
  <c r="AR109" i="9"/>
  <c r="BY110" i="9" s="1"/>
  <c r="AP109" i="9"/>
  <c r="BW110" i="9" s="1"/>
  <c r="AO109" i="9"/>
  <c r="BV110" i="9" s="1"/>
  <c r="AM109" i="9"/>
  <c r="BT110" i="9" s="1"/>
  <c r="BB109" i="9"/>
  <c r="CI110" i="9" s="1"/>
  <c r="AK109" i="9"/>
  <c r="BR110" i="9" s="1"/>
  <c r="AI109" i="9"/>
  <c r="BP110" i="9" s="1"/>
  <c r="AW81" i="9"/>
  <c r="CD82" i="9" s="1"/>
  <c r="AU131" i="9"/>
  <c r="CB132" i="9" s="1"/>
  <c r="AM131" i="9"/>
  <c r="BT132" i="9" s="1"/>
  <c r="AK131" i="9"/>
  <c r="BR132" i="9" s="1"/>
  <c r="AJ131" i="9"/>
  <c r="BQ132" i="9" s="1"/>
  <c r="AH131" i="9"/>
  <c r="BO132" i="9" s="1"/>
  <c r="BA131" i="9"/>
  <c r="CH132" i="9" s="1"/>
  <c r="AZ131" i="9"/>
  <c r="CG132" i="9" s="1"/>
  <c r="AY131" i="9"/>
  <c r="CF132" i="9" s="1"/>
  <c r="AW131" i="9"/>
  <c r="CD132" i="9" s="1"/>
  <c r="AV131" i="9"/>
  <c r="CC132" i="9" s="1"/>
  <c r="AI12" i="9"/>
  <c r="BP13" i="9" s="1"/>
  <c r="AH14" i="9"/>
  <c r="BO15" i="9" s="1"/>
  <c r="AV14" i="9"/>
  <c r="CC15" i="9" s="1"/>
  <c r="AI15" i="9"/>
  <c r="BP16" i="9" s="1"/>
  <c r="AX15" i="9"/>
  <c r="CE16" i="9" s="1"/>
  <c r="AD17" i="9"/>
  <c r="BK18" i="9" s="1"/>
  <c r="AR17" i="9"/>
  <c r="BY18" i="9" s="1"/>
  <c r="AQ20" i="9"/>
  <c r="BX21" i="9" s="1"/>
  <c r="AD21" i="9"/>
  <c r="BK22" i="9" s="1"/>
  <c r="AR21" i="9"/>
  <c r="BY22" i="9" s="1"/>
  <c r="AJ24" i="9"/>
  <c r="BQ25" i="9" s="1"/>
  <c r="AY24" i="9"/>
  <c r="CF25" i="9" s="1"/>
  <c r="AI26" i="9"/>
  <c r="BP27" i="9" s="1"/>
  <c r="AW26" i="9"/>
  <c r="CD27" i="9" s="1"/>
  <c r="AJ27" i="9"/>
  <c r="BQ28" i="9" s="1"/>
  <c r="AY27" i="9"/>
  <c r="CF28" i="9" s="1"/>
  <c r="AQ28" i="9"/>
  <c r="BX29" i="9" s="1"/>
  <c r="AJ29" i="9"/>
  <c r="BQ30" i="9" s="1"/>
  <c r="AX29" i="9"/>
  <c r="CE30" i="9" s="1"/>
  <c r="AL30" i="9"/>
  <c r="BS31" i="9" s="1"/>
  <c r="AZ30" i="9"/>
  <c r="CG31" i="9" s="1"/>
  <c r="AH32" i="9"/>
  <c r="BO33" i="9" s="1"/>
  <c r="AV32" i="9"/>
  <c r="CC33" i="9" s="1"/>
  <c r="AI33" i="9"/>
  <c r="BP34" i="9" s="1"/>
  <c r="AX33" i="9"/>
  <c r="CE34" i="9" s="1"/>
  <c r="AT34" i="9"/>
  <c r="CA35" i="9" s="1"/>
  <c r="AM35" i="9"/>
  <c r="BT36" i="9" s="1"/>
  <c r="AZ35" i="9"/>
  <c r="CG36" i="9" s="1"/>
  <c r="AI39" i="9"/>
  <c r="BP40" i="9" s="1"/>
  <c r="AX39" i="9"/>
  <c r="CE40" i="9" s="1"/>
  <c r="AN41" i="9"/>
  <c r="BU42" i="9" s="1"/>
  <c r="BA41" i="9"/>
  <c r="CH42" i="9" s="1"/>
  <c r="AN42" i="9"/>
  <c r="BU43" i="9" s="1"/>
  <c r="BB42" i="9"/>
  <c r="CI43" i="9" s="1"/>
  <c r="AP44" i="9"/>
  <c r="BW45" i="9" s="1"/>
  <c r="AP45" i="9"/>
  <c r="BW46" i="9" s="1"/>
  <c r="AM47" i="9"/>
  <c r="BT48" i="9" s="1"/>
  <c r="BA47" i="9"/>
  <c r="CH48" i="9" s="1"/>
  <c r="AT52" i="9"/>
  <c r="CA53" i="9" s="1"/>
  <c r="AJ53" i="9"/>
  <c r="BQ54" i="9" s="1"/>
  <c r="BA53" i="9"/>
  <c r="CH54" i="9" s="1"/>
  <c r="AJ56" i="9"/>
  <c r="BQ57" i="9" s="1"/>
  <c r="BB56" i="9"/>
  <c r="CI57" i="9" s="1"/>
  <c r="BB57" i="9"/>
  <c r="CI58" i="9" s="1"/>
  <c r="AT58" i="9"/>
  <c r="CA59" i="9" s="1"/>
  <c r="AO61" i="9"/>
  <c r="BV62" i="9" s="1"/>
  <c r="AX62" i="9"/>
  <c r="CE63" i="9" s="1"/>
  <c r="AT63" i="9"/>
  <c r="CA64" i="9" s="1"/>
  <c r="AO66" i="9"/>
  <c r="BV67" i="9" s="1"/>
  <c r="BB66" i="9"/>
  <c r="CI67" i="9" s="1"/>
  <c r="AK66" i="9"/>
  <c r="BR67" i="9" s="1"/>
  <c r="AW66" i="9"/>
  <c r="CD67" i="9" s="1"/>
  <c r="AK73" i="9"/>
  <c r="BR74" i="9" s="1"/>
  <c r="AJ76" i="9"/>
  <c r="BQ77" i="9" s="1"/>
  <c r="AY78" i="9"/>
  <c r="CF79" i="9" s="1"/>
  <c r="AW79" i="9"/>
  <c r="CD80" i="9" s="1"/>
  <c r="AG81" i="9"/>
  <c r="BN82" i="9" s="1"/>
  <c r="AL85" i="9"/>
  <c r="BS86" i="9" s="1"/>
  <c r="AR86" i="9"/>
  <c r="BY87" i="9" s="1"/>
  <c r="AD91" i="9"/>
  <c r="BK92" i="9" s="1"/>
  <c r="AO92" i="9"/>
  <c r="BV93" i="9" s="1"/>
  <c r="AY98" i="9"/>
  <c r="CF99" i="9" s="1"/>
  <c r="AT98" i="9"/>
  <c r="CA99" i="9" s="1"/>
  <c r="AE98" i="9"/>
  <c r="BL99" i="9" s="1"/>
  <c r="AR98" i="9"/>
  <c r="BY99" i="9" s="1"/>
  <c r="AD98" i="9"/>
  <c r="BK99" i="9" s="1"/>
  <c r="AP98" i="9"/>
  <c r="BW99" i="9" s="1"/>
  <c r="AO98" i="9"/>
  <c r="BV99" i="9" s="1"/>
  <c r="BB98" i="9"/>
  <c r="CI99" i="9" s="1"/>
  <c r="AN98" i="9"/>
  <c r="BU99" i="9" s="1"/>
  <c r="BA98" i="9"/>
  <c r="CH99" i="9" s="1"/>
  <c r="AL98" i="9"/>
  <c r="BS99" i="9" s="1"/>
  <c r="AZ98" i="9"/>
  <c r="CG99" i="9" s="1"/>
  <c r="AK98" i="9"/>
  <c r="BR99" i="9" s="1"/>
  <c r="AX98" i="9"/>
  <c r="CE99" i="9" s="1"/>
  <c r="AJ98" i="9"/>
  <c r="BQ99" i="9" s="1"/>
  <c r="AV98" i="9"/>
  <c r="CC99" i="9" s="1"/>
  <c r="AR106" i="9"/>
  <c r="BY107" i="9" s="1"/>
  <c r="AJ109" i="9"/>
  <c r="BQ110" i="9" s="1"/>
  <c r="AO131" i="9"/>
  <c r="BV132" i="9" s="1"/>
  <c r="AP29" i="9"/>
  <c r="BW30" i="9" s="1"/>
  <c r="AM12" i="9"/>
  <c r="BT13" i="9" s="1"/>
  <c r="AG13" i="9"/>
  <c r="BN14" i="9" s="1"/>
  <c r="AI14" i="9"/>
  <c r="BP15" i="9" s="1"/>
  <c r="AW14" i="9"/>
  <c r="CD15" i="9" s="1"/>
  <c r="AJ15" i="9"/>
  <c r="BQ16" i="9" s="1"/>
  <c r="AY15" i="9"/>
  <c r="CF16" i="9" s="1"/>
  <c r="AE17" i="9"/>
  <c r="BL18" i="9" s="1"/>
  <c r="AT17" i="9"/>
  <c r="CA18" i="9" s="1"/>
  <c r="AD20" i="9"/>
  <c r="BK21" i="9" s="1"/>
  <c r="AR20" i="9"/>
  <c r="BY21" i="9" s="1"/>
  <c r="AE21" i="9"/>
  <c r="BL22" i="9" s="1"/>
  <c r="AT21" i="9"/>
  <c r="CA22" i="9" s="1"/>
  <c r="AL24" i="9"/>
  <c r="BS25" i="9" s="1"/>
  <c r="AZ24" i="9"/>
  <c r="CG25" i="9" s="1"/>
  <c r="AJ26" i="9"/>
  <c r="BQ27" i="9" s="1"/>
  <c r="AX26" i="9"/>
  <c r="CE27" i="9" s="1"/>
  <c r="AL27" i="9"/>
  <c r="BS28" i="9" s="1"/>
  <c r="AZ27" i="9"/>
  <c r="CG28" i="9" s="1"/>
  <c r="AR28" i="9"/>
  <c r="BY29" i="9" s="1"/>
  <c r="AK29" i="9"/>
  <c r="BR30" i="9" s="1"/>
  <c r="AY29" i="9"/>
  <c r="CF30" i="9" s="1"/>
  <c r="AM30" i="9"/>
  <c r="BT31" i="9" s="1"/>
  <c r="BA30" i="9"/>
  <c r="CH31" i="9" s="1"/>
  <c r="AJ33" i="9"/>
  <c r="BQ34" i="9" s="1"/>
  <c r="AY33" i="9"/>
  <c r="CF34" i="9" s="1"/>
  <c r="AN35" i="9"/>
  <c r="BU36" i="9" s="1"/>
  <c r="BA35" i="9"/>
  <c r="CH36" i="9" s="1"/>
  <c r="AJ39" i="9"/>
  <c r="BQ40" i="9" s="1"/>
  <c r="AY39" i="9"/>
  <c r="CF40" i="9" s="1"/>
  <c r="AO41" i="9"/>
  <c r="BV42" i="9" s="1"/>
  <c r="BB41" i="9"/>
  <c r="CI42" i="9" s="1"/>
  <c r="AO42" i="9"/>
  <c r="BV43" i="9" s="1"/>
  <c r="AD44" i="9"/>
  <c r="BK45" i="9" s="1"/>
  <c r="AQ44" i="9"/>
  <c r="BX45" i="9" s="1"/>
  <c r="AQ45" i="9"/>
  <c r="BX46" i="9" s="1"/>
  <c r="AX46" i="9"/>
  <c r="CE47" i="9" s="1"/>
  <c r="AN47" i="9"/>
  <c r="BU48" i="9" s="1"/>
  <c r="BB47" i="9"/>
  <c r="CI48" i="9" s="1"/>
  <c r="AE52" i="9"/>
  <c r="BL53" i="9" s="1"/>
  <c r="AU52" i="9"/>
  <c r="CB53" i="9" s="1"/>
  <c r="AK53" i="9"/>
  <c r="BR54" i="9" s="1"/>
  <c r="BB53" i="9"/>
  <c r="CI54" i="9" s="1"/>
  <c r="AK56" i="9"/>
  <c r="BR57" i="9" s="1"/>
  <c r="AU58" i="9"/>
  <c r="CB59" i="9" s="1"/>
  <c r="AE60" i="9"/>
  <c r="BL61" i="9" s="1"/>
  <c r="AS61" i="9"/>
  <c r="BZ62" i="9" s="1"/>
  <c r="BA62" i="9"/>
  <c r="CH63" i="9" s="1"/>
  <c r="BA63" i="9"/>
  <c r="CH64" i="9" s="1"/>
  <c r="AL65" i="9"/>
  <c r="BS66" i="9" s="1"/>
  <c r="BA66" i="9"/>
  <c r="CH67" i="9" s="1"/>
  <c r="BB71" i="9"/>
  <c r="CI72" i="9" s="1"/>
  <c r="AM71" i="9"/>
  <c r="BT72" i="9" s="1"/>
  <c r="AU71" i="9"/>
  <c r="CB72" i="9" s="1"/>
  <c r="AF71" i="9"/>
  <c r="BM72" i="9" s="1"/>
  <c r="AR71" i="9"/>
  <c r="BY72" i="9" s="1"/>
  <c r="AM73" i="9"/>
  <c r="BT74" i="9" s="1"/>
  <c r="AU76" i="9"/>
  <c r="CB77" i="9" s="1"/>
  <c r="AY76" i="9"/>
  <c r="CF77" i="9" s="1"/>
  <c r="AE76" i="9"/>
  <c r="BL77" i="9" s="1"/>
  <c r="AQ76" i="9"/>
  <c r="BX77" i="9" s="1"/>
  <c r="AK76" i="9"/>
  <c r="BR77" i="9" s="1"/>
  <c r="AY79" i="9"/>
  <c r="CF80" i="9" s="1"/>
  <c r="AH81" i="9"/>
  <c r="BO82" i="9" s="1"/>
  <c r="AT86" i="9"/>
  <c r="CA87" i="9" s="1"/>
  <c r="AP88" i="9"/>
  <c r="BW89" i="9" s="1"/>
  <c r="AG91" i="9"/>
  <c r="BN92" i="9" s="1"/>
  <c r="AR92" i="9"/>
  <c r="BY93" i="9" s="1"/>
  <c r="AW98" i="9"/>
  <c r="CD99" i="9" s="1"/>
  <c r="AU106" i="9"/>
  <c r="CB107" i="9" s="1"/>
  <c r="AU109" i="9"/>
  <c r="CB110" i="9" s="1"/>
  <c r="AZ123" i="9"/>
  <c r="CG124" i="9" s="1"/>
  <c r="AS123" i="9"/>
  <c r="BZ124" i="9" s="1"/>
  <c r="AR123" i="9"/>
  <c r="BY124" i="9" s="1"/>
  <c r="AO123" i="9"/>
  <c r="BV124" i="9" s="1"/>
  <c r="AN123" i="9"/>
  <c r="BU124" i="9" s="1"/>
  <c r="AG123" i="9"/>
  <c r="BN124" i="9" s="1"/>
  <c r="AF123" i="9"/>
  <c r="BM124" i="9" s="1"/>
  <c r="AT131" i="9"/>
  <c r="CA132" i="9" s="1"/>
  <c r="AE44" i="9"/>
  <c r="BL45" i="9" s="1"/>
  <c r="AR44" i="9"/>
  <c r="BY45" i="9" s="1"/>
  <c r="AD45" i="9"/>
  <c r="BK46" i="9" s="1"/>
  <c r="AR45" i="9"/>
  <c r="BY46" i="9" s="1"/>
  <c r="AO47" i="9"/>
  <c r="BV48" i="9" s="1"/>
  <c r="AF52" i="9"/>
  <c r="BM53" i="9" s="1"/>
  <c r="AV52" i="9"/>
  <c r="CC53" i="9" s="1"/>
  <c r="AL53" i="9"/>
  <c r="BS54" i="9" s="1"/>
  <c r="AL56" i="9"/>
  <c r="BS57" i="9" s="1"/>
  <c r="AW58" i="9"/>
  <c r="CD59" i="9" s="1"/>
  <c r="AG60" i="9"/>
  <c r="BN61" i="9" s="1"/>
  <c r="BB63" i="9"/>
  <c r="CI64" i="9" s="1"/>
  <c r="AM65" i="9"/>
  <c r="BT66" i="9" s="1"/>
  <c r="AS71" i="9"/>
  <c r="BZ72" i="9" s="1"/>
  <c r="AO73" i="9"/>
  <c r="BV74" i="9" s="1"/>
  <c r="AL76" i="9"/>
  <c r="BS77" i="9" s="1"/>
  <c r="AZ79" i="9"/>
  <c r="CG80" i="9" s="1"/>
  <c r="AI81" i="9"/>
  <c r="BP82" i="9" s="1"/>
  <c r="BA85" i="9"/>
  <c r="CH86" i="9" s="1"/>
  <c r="AX85" i="9"/>
  <c r="CE86" i="9" s="1"/>
  <c r="AD85" i="9"/>
  <c r="BK86" i="9" s="1"/>
  <c r="AP85" i="9"/>
  <c r="BW86" i="9" s="1"/>
  <c r="AN85" i="9"/>
  <c r="BU86" i="9" s="1"/>
  <c r="AW86" i="9"/>
  <c r="CD87" i="9" s="1"/>
  <c r="AQ88" i="9"/>
  <c r="BX89" i="9" s="1"/>
  <c r="AH91" i="9"/>
  <c r="BO92" i="9" s="1"/>
  <c r="AT92" i="9"/>
  <c r="CA93" i="9" s="1"/>
  <c r="AV106" i="9"/>
  <c r="CC107" i="9" s="1"/>
  <c r="AY109" i="9"/>
  <c r="CF110" i="9" s="1"/>
  <c r="AS31" i="9"/>
  <c r="BZ32" i="9" s="1"/>
  <c r="AV44" i="9"/>
  <c r="CC45" i="9" s="1"/>
  <c r="AF17" i="9"/>
  <c r="BM18" i="9" s="1"/>
  <c r="AU17" i="9"/>
  <c r="CB18" i="9" s="1"/>
  <c r="AM24" i="9"/>
  <c r="BT25" i="9" s="1"/>
  <c r="BA24" i="9"/>
  <c r="CH25" i="9" s="1"/>
  <c r="AK26" i="9"/>
  <c r="BR27" i="9" s="1"/>
  <c r="AY26" i="9"/>
  <c r="CF27" i="9" s="1"/>
  <c r="AM27" i="9"/>
  <c r="BT28" i="9" s="1"/>
  <c r="BA27" i="9"/>
  <c r="CH28" i="9" s="1"/>
  <c r="AS28" i="9"/>
  <c r="BZ29" i="9" s="1"/>
  <c r="AL29" i="9"/>
  <c r="BS30" i="9" s="1"/>
  <c r="AZ29" i="9"/>
  <c r="CG30" i="9" s="1"/>
  <c r="AN30" i="9"/>
  <c r="BU31" i="9" s="1"/>
  <c r="BB30" i="9"/>
  <c r="CI31" i="9" s="1"/>
  <c r="AO35" i="9"/>
  <c r="BV36" i="9" s="1"/>
  <c r="BB35" i="9"/>
  <c r="CI36" i="9" s="1"/>
  <c r="AL39" i="9"/>
  <c r="BS40" i="9" s="1"/>
  <c r="AZ39" i="9"/>
  <c r="CG40" i="9" s="1"/>
  <c r="AP41" i="9"/>
  <c r="BW42" i="9" s="1"/>
  <c r="AP42" i="9"/>
  <c r="BW43" i="9" s="1"/>
  <c r="AO12" i="9"/>
  <c r="BV13" i="9" s="1"/>
  <c r="AM13" i="9"/>
  <c r="BT14" i="9" s="1"/>
  <c r="AK14" i="9"/>
  <c r="BR15" i="9" s="1"/>
  <c r="AY14" i="9"/>
  <c r="CF15" i="9" s="1"/>
  <c r="AM15" i="9"/>
  <c r="BT16" i="9" s="1"/>
  <c r="BA15" i="9"/>
  <c r="CH16" i="9" s="1"/>
  <c r="AH17" i="9"/>
  <c r="BO18" i="9" s="1"/>
  <c r="AV17" i="9"/>
  <c r="CC18" i="9" s="1"/>
  <c r="AI18" i="9"/>
  <c r="BP19" i="9" s="1"/>
  <c r="AX18" i="9"/>
  <c r="CE19" i="9" s="1"/>
  <c r="AF20" i="9"/>
  <c r="BM21" i="9" s="1"/>
  <c r="AU20" i="9"/>
  <c r="CB21" i="9" s="1"/>
  <c r="AH21" i="9"/>
  <c r="BO22" i="9" s="1"/>
  <c r="AV21" i="9"/>
  <c r="CC22" i="9" s="1"/>
  <c r="AR22" i="9"/>
  <c r="BY23" i="9" s="1"/>
  <c r="AL23" i="9"/>
  <c r="BS24" i="9" s="1"/>
  <c r="AZ23" i="9"/>
  <c r="CG24" i="9" s="1"/>
  <c r="AN24" i="9"/>
  <c r="BU25" i="9" s="1"/>
  <c r="BB24" i="9"/>
  <c r="CI25" i="9" s="1"/>
  <c r="AL26" i="9"/>
  <c r="BS27" i="9" s="1"/>
  <c r="AZ26" i="9"/>
  <c r="CG27" i="9" s="1"/>
  <c r="AN27" i="9"/>
  <c r="BU28" i="9" s="1"/>
  <c r="BB27" i="9"/>
  <c r="CI28" i="9" s="1"/>
  <c r="AT28" i="9"/>
  <c r="CA29" i="9" s="1"/>
  <c r="AM29" i="9"/>
  <c r="BT30" i="9" s="1"/>
  <c r="BB29" i="9"/>
  <c r="CI30" i="9" s="1"/>
  <c r="AO30" i="9"/>
  <c r="BV31" i="9" s="1"/>
  <c r="AK32" i="9"/>
  <c r="BR33" i="9" s="1"/>
  <c r="AY32" i="9"/>
  <c r="CF33" i="9" s="1"/>
  <c r="AM33" i="9"/>
  <c r="BT34" i="9" s="1"/>
  <c r="BA33" i="9"/>
  <c r="CH34" i="9" s="1"/>
  <c r="AP35" i="9"/>
  <c r="BW36" i="9" s="1"/>
  <c r="AP36" i="9"/>
  <c r="BW37" i="9" s="1"/>
  <c r="AM38" i="9"/>
  <c r="BT39" i="9" s="1"/>
  <c r="AZ38" i="9"/>
  <c r="CG39" i="9" s="1"/>
  <c r="AM39" i="9"/>
  <c r="BT40" i="9" s="1"/>
  <c r="BA39" i="9"/>
  <c r="CH40" i="9" s="1"/>
  <c r="AD41" i="9"/>
  <c r="BK42" i="9" s="1"/>
  <c r="AQ41" i="9"/>
  <c r="BX42" i="9" s="1"/>
  <c r="AQ42" i="9"/>
  <c r="BX43" i="9" s="1"/>
  <c r="AF43" i="9"/>
  <c r="BM44" i="9" s="1"/>
  <c r="AF44" i="9"/>
  <c r="BM45" i="9" s="1"/>
  <c r="AT44" i="9"/>
  <c r="CA45" i="9" s="1"/>
  <c r="AE45" i="9"/>
  <c r="BL46" i="9" s="1"/>
  <c r="AT45" i="9"/>
  <c r="CA46" i="9" s="1"/>
  <c r="AP47" i="9"/>
  <c r="BW48" i="9" s="1"/>
  <c r="AD51" i="9"/>
  <c r="BK52" i="9" s="1"/>
  <c r="AG52" i="9"/>
  <c r="BN53" i="9" s="1"/>
  <c r="AW52" i="9"/>
  <c r="CD53" i="9" s="1"/>
  <c r="AM53" i="9"/>
  <c r="BT54" i="9" s="1"/>
  <c r="AM56" i="9"/>
  <c r="BT57" i="9" s="1"/>
  <c r="AD57" i="9"/>
  <c r="BK58" i="9" s="1"/>
  <c r="AE58" i="9"/>
  <c r="BL59" i="9" s="1"/>
  <c r="BA58" i="9"/>
  <c r="CH59" i="9" s="1"/>
  <c r="AO60" i="9"/>
  <c r="BV61" i="9" s="1"/>
  <c r="AX68" i="9"/>
  <c r="CE69" i="9" s="1"/>
  <c r="AX72" i="9"/>
  <c r="CE73" i="9" s="1"/>
  <c r="AN72" i="9"/>
  <c r="BU73" i="9" s="1"/>
  <c r="AT71" i="9"/>
  <c r="CA72" i="9" s="1"/>
  <c r="AV72" i="9"/>
  <c r="CC73" i="9" s="1"/>
  <c r="AQ73" i="9"/>
  <c r="BX74" i="9" s="1"/>
  <c r="AI75" i="9"/>
  <c r="BP76" i="9" s="1"/>
  <c r="AM76" i="9"/>
  <c r="BT77" i="9" s="1"/>
  <c r="AF77" i="9"/>
  <c r="BM78" i="9" s="1"/>
  <c r="AE79" i="9"/>
  <c r="BL80" i="9" s="1"/>
  <c r="BA79" i="9"/>
  <c r="CH80" i="9" s="1"/>
  <c r="AK84" i="9"/>
  <c r="BR85" i="9" s="1"/>
  <c r="AO85" i="9"/>
  <c r="BV86" i="9" s="1"/>
  <c r="AX86" i="9"/>
  <c r="CE87" i="9" s="1"/>
  <c r="AU92" i="9"/>
  <c r="CB93" i="9" s="1"/>
  <c r="AZ109" i="9"/>
  <c r="CG110" i="9" s="1"/>
  <c r="AN125" i="9"/>
  <c r="BU126" i="9" s="1"/>
  <c r="AU81" i="9"/>
  <c r="CB82" i="9" s="1"/>
  <c r="AK81" i="9"/>
  <c r="BR82" i="9" s="1"/>
  <c r="AL88" i="9"/>
  <c r="BS89" i="9" s="1"/>
  <c r="AY88" i="9"/>
  <c r="CF89" i="9" s="1"/>
  <c r="AR88" i="9"/>
  <c r="BY89" i="9" s="1"/>
  <c r="AM88" i="9"/>
  <c r="BT89" i="9" s="1"/>
  <c r="AT106" i="9"/>
  <c r="CA107" i="9" s="1"/>
  <c r="AE106" i="9"/>
  <c r="BL107" i="9" s="1"/>
  <c r="AS106" i="9"/>
  <c r="BZ107" i="9" s="1"/>
  <c r="AD106" i="9"/>
  <c r="BK107" i="9" s="1"/>
  <c r="AP106" i="9"/>
  <c r="BW107" i="9" s="1"/>
  <c r="AO106" i="9"/>
  <c r="BV107" i="9" s="1"/>
  <c r="AN106" i="9"/>
  <c r="BU107" i="9" s="1"/>
  <c r="BB106" i="9"/>
  <c r="CI107" i="9" s="1"/>
  <c r="AM106" i="9"/>
  <c r="BT107" i="9" s="1"/>
  <c r="BA106" i="9"/>
  <c r="CH107" i="9" s="1"/>
  <c r="AK106" i="9"/>
  <c r="BR107" i="9" s="1"/>
  <c r="AZ106" i="9"/>
  <c r="CG107" i="9" s="1"/>
  <c r="AJ106" i="9"/>
  <c r="BQ107" i="9" s="1"/>
  <c r="AN12" i="9"/>
  <c r="BU13" i="9" s="1"/>
  <c r="AR13" i="9"/>
  <c r="BY14" i="9" s="1"/>
  <c r="AL14" i="9"/>
  <c r="BS15" i="9" s="1"/>
  <c r="AZ14" i="9"/>
  <c r="CG15" i="9" s="1"/>
  <c r="AN15" i="9"/>
  <c r="BU16" i="9" s="1"/>
  <c r="BB15" i="9"/>
  <c r="CI16" i="9" s="1"/>
  <c r="AI17" i="9"/>
  <c r="BP18" i="9" s="1"/>
  <c r="AW17" i="9"/>
  <c r="CD18" i="9" s="1"/>
  <c r="AH20" i="9"/>
  <c r="BO21" i="9" s="1"/>
  <c r="AV20" i="9"/>
  <c r="CC21" i="9" s="1"/>
  <c r="AI21" i="9"/>
  <c r="BP22" i="9" s="1"/>
  <c r="AX21" i="9"/>
  <c r="CE22" i="9" s="1"/>
  <c r="AO24" i="9"/>
  <c r="BV25" i="9" s="1"/>
  <c r="AM26" i="9"/>
  <c r="BT27" i="9" s="1"/>
  <c r="BB26" i="9"/>
  <c r="CI27" i="9" s="1"/>
  <c r="AO27" i="9"/>
  <c r="BV28" i="9" s="1"/>
  <c r="AN29" i="9"/>
  <c r="BU30" i="9" s="1"/>
  <c r="AP30" i="9"/>
  <c r="BW31" i="9" s="1"/>
  <c r="AL32" i="9"/>
  <c r="BS33" i="9" s="1"/>
  <c r="AZ32" i="9"/>
  <c r="CG33" i="9" s="1"/>
  <c r="AN33" i="9"/>
  <c r="BU34" i="9" s="1"/>
  <c r="BB33" i="9"/>
  <c r="CI34" i="9" s="1"/>
  <c r="AD35" i="9"/>
  <c r="BK36" i="9" s="1"/>
  <c r="AQ35" i="9"/>
  <c r="BX36" i="9" s="1"/>
  <c r="AN39" i="9"/>
  <c r="BU40" i="9" s="1"/>
  <c r="BB39" i="9"/>
  <c r="CI40" i="9" s="1"/>
  <c r="AE41" i="9"/>
  <c r="BL42" i="9" s="1"/>
  <c r="AR41" i="9"/>
  <c r="BY42" i="9" s="1"/>
  <c r="AD42" i="9"/>
  <c r="BK43" i="9" s="1"/>
  <c r="AR42" i="9"/>
  <c r="BY43" i="9" s="1"/>
  <c r="AH44" i="9"/>
  <c r="BO45" i="9" s="1"/>
  <c r="AU44" i="9"/>
  <c r="CB45" i="9" s="1"/>
  <c r="AF45" i="9"/>
  <c r="BM46" i="9" s="1"/>
  <c r="AU45" i="9"/>
  <c r="CB46" i="9" s="1"/>
  <c r="AD47" i="9"/>
  <c r="BK48" i="9" s="1"/>
  <c r="AQ47" i="9"/>
  <c r="BX48" i="9" s="1"/>
  <c r="AJ51" i="9"/>
  <c r="BQ52" i="9" s="1"/>
  <c r="AH52" i="9"/>
  <c r="BO53" i="9" s="1"/>
  <c r="AK57" i="9"/>
  <c r="BR58" i="9" s="1"/>
  <c r="AK65" i="9"/>
  <c r="BR66" i="9" s="1"/>
  <c r="AP65" i="9"/>
  <c r="BW66" i="9" s="1"/>
  <c r="AY65" i="9"/>
  <c r="CF66" i="9" s="1"/>
  <c r="AH67" i="9"/>
  <c r="BO68" i="9" s="1"/>
  <c r="AD71" i="9"/>
  <c r="BK72" i="9" s="1"/>
  <c r="AW71" i="9"/>
  <c r="CD72" i="9" s="1"/>
  <c r="AV73" i="9"/>
  <c r="CC74" i="9" s="1"/>
  <c r="AN76" i="9"/>
  <c r="BU77" i="9" s="1"/>
  <c r="AJ79" i="9"/>
  <c r="BQ80" i="9" s="1"/>
  <c r="AS81" i="9"/>
  <c r="BZ82" i="9" s="1"/>
  <c r="AT84" i="9"/>
  <c r="CA85" i="9" s="1"/>
  <c r="AQ85" i="9"/>
  <c r="BX86" i="9" s="1"/>
  <c r="BB88" i="9"/>
  <c r="CI89" i="9" s="1"/>
  <c r="AZ91" i="9"/>
  <c r="CG92" i="9" s="1"/>
  <c r="AF91" i="9"/>
  <c r="BM92" i="9" s="1"/>
  <c r="AE91" i="9"/>
  <c r="BL92" i="9" s="1"/>
  <c r="AT91" i="9"/>
  <c r="CA92" i="9" s="1"/>
  <c r="AS91" i="9"/>
  <c r="BZ92" i="9" s="1"/>
  <c r="AR91" i="9"/>
  <c r="BY92" i="9" s="1"/>
  <c r="AQ91" i="9"/>
  <c r="BX92" i="9" s="1"/>
  <c r="AP91" i="9"/>
  <c r="BW92" i="9" s="1"/>
  <c r="AV91" i="9"/>
  <c r="CC92" i="9" s="1"/>
  <c r="BB92" i="9"/>
  <c r="CI93" i="9" s="1"/>
  <c r="AD99" i="9"/>
  <c r="BK100" i="9" s="1"/>
  <c r="BA109" i="9"/>
  <c r="CH110" i="9" s="1"/>
  <c r="AK113" i="9"/>
  <c r="BR114" i="9" s="1"/>
  <c r="AH113" i="9"/>
  <c r="BO114" i="9" s="1"/>
  <c r="AG113" i="9"/>
  <c r="BN114" i="9" s="1"/>
  <c r="AF113" i="9"/>
  <c r="BM114" i="9" s="1"/>
  <c r="BA113" i="9"/>
  <c r="CH114" i="9" s="1"/>
  <c r="AG118" i="9"/>
  <c r="BN119" i="9" s="1"/>
  <c r="AO125" i="9"/>
  <c r="BV126" i="9" s="1"/>
  <c r="AV87" i="9"/>
  <c r="CC88" i="9" s="1"/>
  <c r="AQ89" i="9"/>
  <c r="BX90" i="9" s="1"/>
  <c r="AD90" i="9"/>
  <c r="BK91" i="9" s="1"/>
  <c r="AX90" i="9"/>
  <c r="CE91" i="9" s="1"/>
  <c r="AG94" i="9"/>
  <c r="BN95" i="9" s="1"/>
  <c r="AZ94" i="9"/>
  <c r="CG95" i="9" s="1"/>
  <c r="AV97" i="9"/>
  <c r="CC98" i="9" s="1"/>
  <c r="AP100" i="9"/>
  <c r="BW101" i="9" s="1"/>
  <c r="AM103" i="9"/>
  <c r="BT104" i="9" s="1"/>
  <c r="AV105" i="9"/>
  <c r="CC106" i="9" s="1"/>
  <c r="AR112" i="9"/>
  <c r="BY113" i="9" s="1"/>
  <c r="AN116" i="9"/>
  <c r="BU117" i="9" s="1"/>
  <c r="AO117" i="9"/>
  <c r="BV118" i="9" s="1"/>
  <c r="AV119" i="9"/>
  <c r="CC120" i="9" s="1"/>
  <c r="AJ122" i="9"/>
  <c r="BQ123" i="9" s="1"/>
  <c r="AJ124" i="9"/>
  <c r="BQ125" i="9" s="1"/>
  <c r="BA128" i="9"/>
  <c r="CH129" i="9" s="1"/>
  <c r="AU130" i="9"/>
  <c r="CB131" i="9" s="1"/>
  <c r="AW136" i="9"/>
  <c r="CD137" i="9" s="1"/>
  <c r="AZ137" i="9"/>
  <c r="CG138" i="9" s="1"/>
  <c r="AD87" i="9"/>
  <c r="BK88" i="9" s="1"/>
  <c r="AX87" i="9"/>
  <c r="CE88" i="9" s="1"/>
  <c r="AD89" i="9"/>
  <c r="BK90" i="9" s="1"/>
  <c r="AR89" i="9"/>
  <c r="BY90" i="9" s="1"/>
  <c r="AF90" i="9"/>
  <c r="BM91" i="9" s="1"/>
  <c r="AY90" i="9"/>
  <c r="CF91" i="9" s="1"/>
  <c r="AH94" i="9"/>
  <c r="BO95" i="9" s="1"/>
  <c r="AW97" i="9"/>
  <c r="CD98" i="9" s="1"/>
  <c r="AN103" i="9"/>
  <c r="BU104" i="9" s="1"/>
  <c r="AW105" i="9"/>
  <c r="CD106" i="9" s="1"/>
  <c r="AE111" i="9"/>
  <c r="BL112" i="9" s="1"/>
  <c r="AS112" i="9"/>
  <c r="BZ113" i="9" s="1"/>
  <c r="AO116" i="9"/>
  <c r="BV117" i="9" s="1"/>
  <c r="AQ117" i="9"/>
  <c r="BX118" i="9" s="1"/>
  <c r="AW119" i="9"/>
  <c r="CD120" i="9" s="1"/>
  <c r="AK122" i="9"/>
  <c r="BR123" i="9" s="1"/>
  <c r="AK124" i="9"/>
  <c r="BR125" i="9" s="1"/>
  <c r="AH128" i="9"/>
  <c r="BO129" i="9" s="1"/>
  <c r="BA137" i="9"/>
  <c r="CH138" i="9" s="1"/>
  <c r="AF87" i="9"/>
  <c r="BM88" i="9" s="1"/>
  <c r="AE89" i="9"/>
  <c r="BL90" i="9" s="1"/>
  <c r="AT89" i="9"/>
  <c r="CA90" i="9" s="1"/>
  <c r="AG90" i="9"/>
  <c r="BN91" i="9" s="1"/>
  <c r="AZ90" i="9"/>
  <c r="CG91" i="9" s="1"/>
  <c r="AJ94" i="9"/>
  <c r="BQ95" i="9" s="1"/>
  <c r="AD96" i="9"/>
  <c r="BK97" i="9" s="1"/>
  <c r="AX97" i="9"/>
  <c r="CE98" i="9" s="1"/>
  <c r="AP103" i="9"/>
  <c r="BW104" i="9" s="1"/>
  <c r="AX105" i="9"/>
  <c r="CE106" i="9" s="1"/>
  <c r="AF111" i="9"/>
  <c r="BM112" i="9" s="1"/>
  <c r="AT116" i="9"/>
  <c r="CA117" i="9" s="1"/>
  <c r="AR117" i="9"/>
  <c r="BY118" i="9" s="1"/>
  <c r="AY119" i="9"/>
  <c r="CF120" i="9" s="1"/>
  <c r="AM122" i="9"/>
  <c r="BT123" i="9" s="1"/>
  <c r="AR124" i="9"/>
  <c r="BY125" i="9" s="1"/>
  <c r="AF127" i="9"/>
  <c r="BM128" i="9" s="1"/>
  <c r="AJ128" i="9"/>
  <c r="BQ129" i="9" s="1"/>
  <c r="AW130" i="9"/>
  <c r="CD131" i="9" s="1"/>
  <c r="AD137" i="9"/>
  <c r="BK138" i="9" s="1"/>
  <c r="BB137" i="9"/>
  <c r="CI138" i="9" s="1"/>
  <c r="AG87" i="9"/>
  <c r="BN88" i="9" s="1"/>
  <c r="AF89" i="9"/>
  <c r="BM90" i="9" s="1"/>
  <c r="AU89" i="9"/>
  <c r="CB90" i="9" s="1"/>
  <c r="AH90" i="9"/>
  <c r="BO91" i="9" s="1"/>
  <c r="BA90" i="9"/>
  <c r="CH91" i="9" s="1"/>
  <c r="AK94" i="9"/>
  <c r="BR95" i="9" s="1"/>
  <c r="AY97" i="9"/>
  <c r="CF98" i="9" s="1"/>
  <c r="AQ103" i="9"/>
  <c r="BX104" i="9" s="1"/>
  <c r="AZ105" i="9"/>
  <c r="CG106" i="9" s="1"/>
  <c r="AI111" i="9"/>
  <c r="BP112" i="9" s="1"/>
  <c r="AV116" i="9"/>
  <c r="CC117" i="9" s="1"/>
  <c r="AX117" i="9"/>
  <c r="CE118" i="9" s="1"/>
  <c r="AZ119" i="9"/>
  <c r="CG120" i="9" s="1"/>
  <c r="AN122" i="9"/>
  <c r="BU123" i="9" s="1"/>
  <c r="AG127" i="9"/>
  <c r="BN128" i="9" s="1"/>
  <c r="AK128" i="9"/>
  <c r="BR129" i="9" s="1"/>
  <c r="AE129" i="9"/>
  <c r="BL130" i="9" s="1"/>
  <c r="AI137" i="9"/>
  <c r="BP138" i="9" s="1"/>
  <c r="AG69" i="9"/>
  <c r="BN70" i="9" s="1"/>
  <c r="AD82" i="9"/>
  <c r="BK83" i="9" s="1"/>
  <c r="AX82" i="9"/>
  <c r="CE83" i="9" s="1"/>
  <c r="AH87" i="9"/>
  <c r="BO88" i="9" s="1"/>
  <c r="AH89" i="9"/>
  <c r="BO90" i="9" s="1"/>
  <c r="AV89" i="9"/>
  <c r="CC90" i="9" s="1"/>
  <c r="AI90" i="9"/>
  <c r="BP91" i="9" s="1"/>
  <c r="AY93" i="9"/>
  <c r="CF94" i="9" s="1"/>
  <c r="AL94" i="9"/>
  <c r="BS95" i="9" s="1"/>
  <c r="AE95" i="9"/>
  <c r="BL96" i="9" s="1"/>
  <c r="AT95" i="9"/>
  <c r="CA96" i="9" s="1"/>
  <c r="AZ97" i="9"/>
  <c r="CG98" i="9" s="1"/>
  <c r="AE101" i="9"/>
  <c r="BL102" i="9" s="1"/>
  <c r="AT101" i="9"/>
  <c r="CA102" i="9" s="1"/>
  <c r="AR103" i="9"/>
  <c r="BY104" i="9" s="1"/>
  <c r="AF104" i="9"/>
  <c r="BM105" i="9" s="1"/>
  <c r="AV104" i="9"/>
  <c r="CC105" i="9" s="1"/>
  <c r="BA105" i="9"/>
  <c r="CH106" i="9" s="1"/>
  <c r="BB108" i="9"/>
  <c r="CI109" i="9" s="1"/>
  <c r="AJ111" i="9"/>
  <c r="BQ112" i="9" s="1"/>
  <c r="AW116" i="9"/>
  <c r="CD117" i="9" s="1"/>
  <c r="BA119" i="9"/>
  <c r="CH120" i="9" s="1"/>
  <c r="AG121" i="9"/>
  <c r="BN122" i="9" s="1"/>
  <c r="AO122" i="9"/>
  <c r="BV123" i="9" s="1"/>
  <c r="AI127" i="9"/>
  <c r="BP128" i="9" s="1"/>
  <c r="AM128" i="9"/>
  <c r="BT129" i="9" s="1"/>
  <c r="AK134" i="9"/>
  <c r="BR135" i="9" s="1"/>
  <c r="AK137" i="9"/>
  <c r="BR138" i="9" s="1"/>
  <c r="AY116" i="9"/>
  <c r="CF117" i="9" s="1"/>
  <c r="AI121" i="9"/>
  <c r="BP122" i="9" s="1"/>
  <c r="AJ127" i="9"/>
  <c r="BQ128" i="9" s="1"/>
  <c r="AL137" i="9"/>
  <c r="BS138" i="9" s="1"/>
  <c r="AJ121" i="9"/>
  <c r="BQ122" i="9" s="1"/>
  <c r="AK127" i="9"/>
  <c r="BR128" i="9" s="1"/>
  <c r="AN137" i="9"/>
  <c r="BU138" i="9" s="1"/>
  <c r="AP87" i="9"/>
  <c r="BW88" i="9" s="1"/>
  <c r="AK89" i="9"/>
  <c r="BR90" i="9" s="1"/>
  <c r="AZ89" i="9"/>
  <c r="CG90" i="9" s="1"/>
  <c r="AM90" i="9"/>
  <c r="BT91" i="9" s="1"/>
  <c r="AT94" i="9"/>
  <c r="CA95" i="9" s="1"/>
  <c r="AH97" i="9"/>
  <c r="BO98" i="9" s="1"/>
  <c r="AF103" i="9"/>
  <c r="BM104" i="9" s="1"/>
  <c r="AW103" i="9"/>
  <c r="CD104" i="9" s="1"/>
  <c r="AX111" i="9"/>
  <c r="CE112" i="9" s="1"/>
  <c r="BA116" i="9"/>
  <c r="CH117" i="9" s="1"/>
  <c r="AK119" i="9"/>
  <c r="BR120" i="9" s="1"/>
  <c r="AV121" i="9"/>
  <c r="CC122" i="9" s="1"/>
  <c r="AW122" i="9"/>
  <c r="CD123" i="9" s="1"/>
  <c r="AR127" i="9"/>
  <c r="BY128" i="9" s="1"/>
  <c r="AT128" i="9"/>
  <c r="CA129" i="9" s="1"/>
  <c r="AO137" i="9"/>
  <c r="BV138" i="9" s="1"/>
  <c r="AW69" i="9"/>
  <c r="CD70" i="9" s="1"/>
  <c r="AL82" i="9"/>
  <c r="BS83" i="9" s="1"/>
  <c r="BB82" i="9"/>
  <c r="CI83" i="9" s="1"/>
  <c r="AR87" i="9"/>
  <c r="BY88" i="9" s="1"/>
  <c r="AL89" i="9"/>
  <c r="BS90" i="9" s="1"/>
  <c r="BA89" i="9"/>
  <c r="CH90" i="9" s="1"/>
  <c r="AJ95" i="9"/>
  <c r="BQ96" i="9" s="1"/>
  <c r="AX95" i="9"/>
  <c r="CE96" i="9" s="1"/>
  <c r="AJ101" i="9"/>
  <c r="BQ102" i="9" s="1"/>
  <c r="AX101" i="9"/>
  <c r="CE102" i="9" s="1"/>
  <c r="AH103" i="9"/>
  <c r="BO104" i="9" s="1"/>
  <c r="AX103" i="9"/>
  <c r="CE104" i="9" s="1"/>
  <c r="AL104" i="9"/>
  <c r="BS105" i="9" s="1"/>
  <c r="BB104" i="9"/>
  <c r="CI105" i="9" s="1"/>
  <c r="AG108" i="9"/>
  <c r="BN109" i="9" s="1"/>
  <c r="AZ111" i="9"/>
  <c r="CG112" i="9" s="1"/>
  <c r="AH116" i="9"/>
  <c r="BO117" i="9" s="1"/>
  <c r="AM119" i="9"/>
  <c r="BT120" i="9" s="1"/>
  <c r="AW121" i="9"/>
  <c r="CD122" i="9" s="1"/>
  <c r="AY122" i="9"/>
  <c r="CF123" i="9" s="1"/>
  <c r="AV128" i="9"/>
  <c r="CC129" i="9" s="1"/>
  <c r="AT134" i="9"/>
  <c r="CA135" i="9" s="1"/>
  <c r="AJ136" i="9"/>
  <c r="BQ137" i="9" s="1"/>
  <c r="AP137" i="9"/>
  <c r="BW138" i="9" s="1"/>
  <c r="BR10" i="9"/>
  <c r="BR11" i="9"/>
  <c r="BU11" i="9"/>
  <c r="BY10" i="9"/>
  <c r="CC10" i="9"/>
  <c r="CC11" i="9"/>
  <c r="BQ10" i="9"/>
  <c r="BQ11" i="9"/>
  <c r="BQ8" i="9"/>
  <c r="BL11" i="9"/>
  <c r="BL10" i="9"/>
  <c r="CI11" i="9"/>
  <c r="CE8" i="9"/>
  <c r="CE11" i="9" s="1"/>
  <c r="CD8" i="9"/>
  <c r="CD10" i="9" s="1"/>
  <c r="CH10" i="9"/>
  <c r="CH11" i="9"/>
  <c r="BS8" i="9"/>
  <c r="BS11" i="9" s="1"/>
  <c r="CI8" i="9"/>
  <c r="CI10" i="9" s="1"/>
  <c r="BW8" i="9"/>
  <c r="BW10" i="9" s="1"/>
  <c r="CH8" i="9"/>
  <c r="BV8" i="9"/>
  <c r="BV11" i="9" s="1"/>
  <c r="CG8" i="9"/>
  <c r="CG11" i="9" s="1"/>
  <c r="BU8" i="9"/>
  <c r="BU10" i="9" s="1"/>
  <c r="CF8" i="9"/>
  <c r="CF10" i="9" s="1"/>
  <c r="BT8" i="9"/>
  <c r="BT11" i="9" s="1"/>
  <c r="CC8" i="9"/>
  <c r="CB8" i="9"/>
  <c r="CB10" i="9" s="1"/>
  <c r="BP8" i="9"/>
  <c r="BP10" i="9" s="1"/>
  <c r="CA8" i="9"/>
  <c r="CA10" i="9" s="1"/>
  <c r="BO8" i="9"/>
  <c r="BO10" i="9" s="1"/>
  <c r="BZ8" i="9"/>
  <c r="BZ10" i="9" s="1"/>
  <c r="BN8" i="9"/>
  <c r="BN10" i="9" s="1"/>
  <c r="BY8" i="9"/>
  <c r="BK8" i="9"/>
  <c r="BM8" i="9"/>
  <c r="BX8" i="9"/>
  <c r="BX11" i="9" s="1"/>
  <c r="BA19" i="9"/>
  <c r="CH20" i="9" s="1"/>
  <c r="AO19" i="9"/>
  <c r="BV20" i="9" s="1"/>
  <c r="AZ19" i="9"/>
  <c r="CG20" i="9" s="1"/>
  <c r="AN19" i="9"/>
  <c r="BU20" i="9" s="1"/>
  <c r="AY19" i="9"/>
  <c r="CF20" i="9" s="1"/>
  <c r="AM19" i="9"/>
  <c r="BT20" i="9" s="1"/>
  <c r="AW19" i="9"/>
  <c r="CD20" i="9" s="1"/>
  <c r="AK19" i="9"/>
  <c r="BR20" i="9" s="1"/>
  <c r="AV19" i="9"/>
  <c r="CC20" i="9" s="1"/>
  <c r="AJ19" i="9"/>
  <c r="BQ20" i="9" s="1"/>
  <c r="BB19" i="9"/>
  <c r="CI20" i="9" s="1"/>
  <c r="AP19" i="9"/>
  <c r="BW20" i="9" s="1"/>
  <c r="AD19" i="9"/>
  <c r="BK20" i="9" s="1"/>
  <c r="AX19" i="9"/>
  <c r="CE20" i="9" s="1"/>
  <c r="AT25" i="9"/>
  <c r="CA26" i="9" s="1"/>
  <c r="BA37" i="9"/>
  <c r="CH38" i="9" s="1"/>
  <c r="AO37" i="9"/>
  <c r="BV38" i="9" s="1"/>
  <c r="AZ37" i="9"/>
  <c r="CG38" i="9" s="1"/>
  <c r="AN37" i="9"/>
  <c r="BU38" i="9" s="1"/>
  <c r="AY37" i="9"/>
  <c r="CF38" i="9" s="1"/>
  <c r="AM37" i="9"/>
  <c r="BT38" i="9" s="1"/>
  <c r="AW37" i="9"/>
  <c r="CD38" i="9" s="1"/>
  <c r="AK37" i="9"/>
  <c r="BR38" i="9" s="1"/>
  <c r="AV37" i="9"/>
  <c r="CC38" i="9" s="1"/>
  <c r="AJ37" i="9"/>
  <c r="BQ38" i="9" s="1"/>
  <c r="AU37" i="9"/>
  <c r="CB38" i="9" s="1"/>
  <c r="AI37" i="9"/>
  <c r="BP38" i="9" s="1"/>
  <c r="BB37" i="9"/>
  <c r="CI38" i="9" s="1"/>
  <c r="AP37" i="9"/>
  <c r="BW38" i="9" s="1"/>
  <c r="AD37" i="9"/>
  <c r="BK38" i="9" s="1"/>
  <c r="AE37" i="9"/>
  <c r="BL38" i="9" s="1"/>
  <c r="AX54" i="9"/>
  <c r="CE55" i="9" s="1"/>
  <c r="AL54" i="9"/>
  <c r="BS55" i="9" s="1"/>
  <c r="AV54" i="9"/>
  <c r="CC55" i="9" s="1"/>
  <c r="AJ54" i="9"/>
  <c r="BQ55" i="9" s="1"/>
  <c r="AU54" i="9"/>
  <c r="CB55" i="9" s="1"/>
  <c r="AI54" i="9"/>
  <c r="BP55" i="9" s="1"/>
  <c r="AR54" i="9"/>
  <c r="BY55" i="9" s="1"/>
  <c r="AF54" i="9"/>
  <c r="BM55" i="9" s="1"/>
  <c r="AP54" i="9"/>
  <c r="BW55" i="9" s="1"/>
  <c r="AO54" i="9"/>
  <c r="BV55" i="9" s="1"/>
  <c r="AN54" i="9"/>
  <c r="BU55" i="9" s="1"/>
  <c r="BB54" i="9"/>
  <c r="CI55" i="9" s="1"/>
  <c r="AK54" i="9"/>
  <c r="BR55" i="9" s="1"/>
  <c r="BA54" i="9"/>
  <c r="CH55" i="9" s="1"/>
  <c r="AH54" i="9"/>
  <c r="BO55" i="9" s="1"/>
  <c r="AZ54" i="9"/>
  <c r="CG55" i="9" s="1"/>
  <c r="AG54" i="9"/>
  <c r="BN55" i="9" s="1"/>
  <c r="AS54" i="9"/>
  <c r="BZ55" i="9" s="1"/>
  <c r="AQ54" i="9"/>
  <c r="BX55" i="9" s="1"/>
  <c r="AT54" i="9"/>
  <c r="CA55" i="9" s="1"/>
  <c r="AY83" i="9"/>
  <c r="CF84" i="9" s="1"/>
  <c r="AM83" i="9"/>
  <c r="BT84" i="9" s="1"/>
  <c r="AX83" i="9"/>
  <c r="CE84" i="9" s="1"/>
  <c r="AL83" i="9"/>
  <c r="BS84" i="9" s="1"/>
  <c r="AW83" i="9"/>
  <c r="CD84" i="9" s="1"/>
  <c r="AK83" i="9"/>
  <c r="BR84" i="9" s="1"/>
  <c r="AV83" i="9"/>
  <c r="CC84" i="9" s="1"/>
  <c r="AJ83" i="9"/>
  <c r="BQ84" i="9" s="1"/>
  <c r="AU83" i="9"/>
  <c r="CB84" i="9" s="1"/>
  <c r="AI83" i="9"/>
  <c r="BP84" i="9" s="1"/>
  <c r="AH83" i="9"/>
  <c r="BO84" i="9" s="1"/>
  <c r="BB83" i="9"/>
  <c r="CI84" i="9" s="1"/>
  <c r="AG83" i="9"/>
  <c r="BN84" i="9" s="1"/>
  <c r="AZ83" i="9"/>
  <c r="CG84" i="9" s="1"/>
  <c r="AE83" i="9"/>
  <c r="BL84" i="9" s="1"/>
  <c r="AT83" i="9"/>
  <c r="CA84" i="9" s="1"/>
  <c r="AD83" i="9"/>
  <c r="BK84" i="9" s="1"/>
  <c r="AQ83" i="9"/>
  <c r="BX84" i="9" s="1"/>
  <c r="BA83" i="9"/>
  <c r="CH84" i="9" s="1"/>
  <c r="AS83" i="9"/>
  <c r="BZ84" i="9" s="1"/>
  <c r="AR83" i="9"/>
  <c r="BY84" i="9" s="1"/>
  <c r="AF83" i="9"/>
  <c r="BM84" i="9" s="1"/>
  <c r="AQ13" i="9"/>
  <c r="BX14" i="9" s="1"/>
  <c r="AR16" i="9"/>
  <c r="BY17" i="9" s="1"/>
  <c r="AE19" i="9"/>
  <c r="BL20" i="9" s="1"/>
  <c r="AL22" i="9"/>
  <c r="BS23" i="9" s="1"/>
  <c r="AF37" i="9"/>
  <c r="BM38" i="9" s="1"/>
  <c r="AW54" i="9"/>
  <c r="CD55" i="9" s="1"/>
  <c r="AX60" i="9"/>
  <c r="CE61" i="9" s="1"/>
  <c r="AL60" i="9"/>
  <c r="BS61" i="9" s="1"/>
  <c r="AV60" i="9"/>
  <c r="CC61" i="9" s="1"/>
  <c r="AJ60" i="9"/>
  <c r="BQ61" i="9" s="1"/>
  <c r="AU60" i="9"/>
  <c r="CB61" i="9" s="1"/>
  <c r="AI60" i="9"/>
  <c r="BP61" i="9" s="1"/>
  <c r="AR60" i="9"/>
  <c r="BY61" i="9" s="1"/>
  <c r="AF60" i="9"/>
  <c r="BM61" i="9" s="1"/>
  <c r="AS60" i="9"/>
  <c r="BZ61" i="9" s="1"/>
  <c r="AQ60" i="9"/>
  <c r="BX61" i="9" s="1"/>
  <c r="AP60" i="9"/>
  <c r="BW61" i="9" s="1"/>
  <c r="AN60" i="9"/>
  <c r="BU61" i="9" s="1"/>
  <c r="AM60" i="9"/>
  <c r="BT61" i="9" s="1"/>
  <c r="BB60" i="9"/>
  <c r="CI61" i="9" s="1"/>
  <c r="AK60" i="9"/>
  <c r="BR61" i="9" s="1"/>
  <c r="AW60" i="9"/>
  <c r="CD61" i="9" s="1"/>
  <c r="AD60" i="9"/>
  <c r="BK61" i="9" s="1"/>
  <c r="AT60" i="9"/>
  <c r="CA61" i="9" s="1"/>
  <c r="AH60" i="9"/>
  <c r="BO61" i="9" s="1"/>
  <c r="BA25" i="9"/>
  <c r="CH26" i="9" s="1"/>
  <c r="AO25" i="9"/>
  <c r="BV26" i="9" s="1"/>
  <c r="AN25" i="9"/>
  <c r="BU26" i="9" s="1"/>
  <c r="AZ25" i="9"/>
  <c r="CG26" i="9" s="1"/>
  <c r="AY25" i="9"/>
  <c r="CF26" i="9" s="1"/>
  <c r="AM25" i="9"/>
  <c r="BT26" i="9" s="1"/>
  <c r="AW25" i="9"/>
  <c r="CD26" i="9" s="1"/>
  <c r="AK25" i="9"/>
  <c r="BR26" i="9" s="1"/>
  <c r="AV25" i="9"/>
  <c r="CC26" i="9" s="1"/>
  <c r="AJ25" i="9"/>
  <c r="BQ26" i="9" s="1"/>
  <c r="BB25" i="9"/>
  <c r="CI26" i="9" s="1"/>
  <c r="AP25" i="9"/>
  <c r="BW26" i="9" s="1"/>
  <c r="AD25" i="9"/>
  <c r="BK26" i="9" s="1"/>
  <c r="AF25" i="9"/>
  <c r="BM26" i="9" s="1"/>
  <c r="BA31" i="9"/>
  <c r="CH32" i="9" s="1"/>
  <c r="AO31" i="9"/>
  <c r="BV32" i="9" s="1"/>
  <c r="AN31" i="9"/>
  <c r="BU32" i="9" s="1"/>
  <c r="AZ31" i="9"/>
  <c r="CG32" i="9" s="1"/>
  <c r="AY31" i="9"/>
  <c r="CF32" i="9" s="1"/>
  <c r="AM31" i="9"/>
  <c r="BT32" i="9" s="1"/>
  <c r="AW31" i="9"/>
  <c r="CD32" i="9" s="1"/>
  <c r="AK31" i="9"/>
  <c r="BR32" i="9" s="1"/>
  <c r="AV31" i="9"/>
  <c r="CC32" i="9" s="1"/>
  <c r="AJ31" i="9"/>
  <c r="BQ32" i="9" s="1"/>
  <c r="AI31" i="9"/>
  <c r="BP32" i="9" s="1"/>
  <c r="AU31" i="9"/>
  <c r="CB32" i="9" s="1"/>
  <c r="BB31" i="9"/>
  <c r="CI32" i="9" s="1"/>
  <c r="AP31" i="9"/>
  <c r="BW32" i="9" s="1"/>
  <c r="AD31" i="9"/>
  <c r="BK32" i="9" s="1"/>
  <c r="AE31" i="9"/>
  <c r="BL32" i="9" s="1"/>
  <c r="AL37" i="9"/>
  <c r="BS38" i="9" s="1"/>
  <c r="BA46" i="9"/>
  <c r="CH47" i="9" s="1"/>
  <c r="AO46" i="9"/>
  <c r="BV47" i="9" s="1"/>
  <c r="AZ46" i="9"/>
  <c r="CG47" i="9" s="1"/>
  <c r="AN46" i="9"/>
  <c r="BU47" i="9" s="1"/>
  <c r="AY46" i="9"/>
  <c r="CF47" i="9" s="1"/>
  <c r="AM46" i="9"/>
  <c r="BT47" i="9" s="1"/>
  <c r="AW46" i="9"/>
  <c r="CD47" i="9" s="1"/>
  <c r="AK46" i="9"/>
  <c r="BR47" i="9" s="1"/>
  <c r="AU46" i="9"/>
  <c r="CB47" i="9" s="1"/>
  <c r="AV46" i="9"/>
  <c r="CC47" i="9" s="1"/>
  <c r="AJ46" i="9"/>
  <c r="BQ47" i="9" s="1"/>
  <c r="AI46" i="9"/>
  <c r="BP47" i="9" s="1"/>
  <c r="BB46" i="9"/>
  <c r="CI47" i="9" s="1"/>
  <c r="AP46" i="9"/>
  <c r="BW47" i="9" s="1"/>
  <c r="AD46" i="9"/>
  <c r="BK47" i="9" s="1"/>
  <c r="AH19" i="9"/>
  <c r="BO20" i="9" s="1"/>
  <c r="AU13" i="9"/>
  <c r="CB14" i="9" s="1"/>
  <c r="AE16" i="9"/>
  <c r="BL17" i="9" s="1"/>
  <c r="AX16" i="9"/>
  <c r="CE17" i="9" s="1"/>
  <c r="AI19" i="9"/>
  <c r="BP20" i="9" s="1"/>
  <c r="AG25" i="9"/>
  <c r="BN26" i="9" s="1"/>
  <c r="AF31" i="9"/>
  <c r="BM32" i="9" s="1"/>
  <c r="AQ37" i="9"/>
  <c r="BX38" i="9" s="1"/>
  <c r="BA40" i="9"/>
  <c r="CH41" i="9" s="1"/>
  <c r="AO40" i="9"/>
  <c r="BV41" i="9" s="1"/>
  <c r="AZ40" i="9"/>
  <c r="CG41" i="9" s="1"/>
  <c r="AN40" i="9"/>
  <c r="BU41" i="9" s="1"/>
  <c r="AY40" i="9"/>
  <c r="CF41" i="9" s="1"/>
  <c r="AM40" i="9"/>
  <c r="BT41" i="9" s="1"/>
  <c r="AW40" i="9"/>
  <c r="CD41" i="9" s="1"/>
  <c r="AK40" i="9"/>
  <c r="BR41" i="9" s="1"/>
  <c r="AV40" i="9"/>
  <c r="CC41" i="9" s="1"/>
  <c r="AJ40" i="9"/>
  <c r="BQ41" i="9" s="1"/>
  <c r="AI40" i="9"/>
  <c r="BP41" i="9" s="1"/>
  <c r="AU40" i="9"/>
  <c r="CB41" i="9" s="1"/>
  <c r="BB40" i="9"/>
  <c r="CI41" i="9" s="1"/>
  <c r="AP40" i="9"/>
  <c r="BW41" i="9" s="1"/>
  <c r="AD40" i="9"/>
  <c r="BK41" i="9" s="1"/>
  <c r="AE40" i="9"/>
  <c r="BL41" i="9" s="1"/>
  <c r="AG46" i="9"/>
  <c r="BN47" i="9" s="1"/>
  <c r="BA60" i="9"/>
  <c r="CH61" i="9" s="1"/>
  <c r="AT70" i="9"/>
  <c r="CA71" i="9" s="1"/>
  <c r="AH70" i="9"/>
  <c r="BO71" i="9" s="1"/>
  <c r="AU70" i="9"/>
  <c r="CB71" i="9" s="1"/>
  <c r="AG70" i="9"/>
  <c r="BN71" i="9" s="1"/>
  <c r="AS70" i="9"/>
  <c r="BZ71" i="9" s="1"/>
  <c r="AF70" i="9"/>
  <c r="BM71" i="9" s="1"/>
  <c r="AR70" i="9"/>
  <c r="BY71" i="9" s="1"/>
  <c r="AE70" i="9"/>
  <c r="BL71" i="9" s="1"/>
  <c r="AP70" i="9"/>
  <c r="BW71" i="9" s="1"/>
  <c r="BB70" i="9"/>
  <c r="CI71" i="9" s="1"/>
  <c r="AO70" i="9"/>
  <c r="BV71" i="9" s="1"/>
  <c r="AY70" i="9"/>
  <c r="CF71" i="9" s="1"/>
  <c r="AL70" i="9"/>
  <c r="BS71" i="9" s="1"/>
  <c r="AK70" i="9"/>
  <c r="BR71" i="9" s="1"/>
  <c r="AJ70" i="9"/>
  <c r="BQ71" i="9" s="1"/>
  <c r="AI70" i="9"/>
  <c r="BP71" i="9" s="1"/>
  <c r="BA70" i="9"/>
  <c r="CH71" i="9" s="1"/>
  <c r="AZ70" i="9"/>
  <c r="CG71" i="9" s="1"/>
  <c r="AX70" i="9"/>
  <c r="CE71" i="9" s="1"/>
  <c r="AN70" i="9"/>
  <c r="BU71" i="9" s="1"/>
  <c r="AM70" i="9"/>
  <c r="BT71" i="9" s="1"/>
  <c r="AT16" i="9"/>
  <c r="CA17" i="9" s="1"/>
  <c r="AE25" i="9"/>
  <c r="BL26" i="9" s="1"/>
  <c r="AE46" i="9"/>
  <c r="BL47" i="9" s="1"/>
  <c r="AU16" i="9"/>
  <c r="CB17" i="9" s="1"/>
  <c r="AE13" i="9"/>
  <c r="BL14" i="9" s="1"/>
  <c r="AX13" i="9"/>
  <c r="CE14" i="9" s="1"/>
  <c r="AL19" i="9"/>
  <c r="BS20" i="9" s="1"/>
  <c r="AH25" i="9"/>
  <c r="BO26" i="9" s="1"/>
  <c r="AG31" i="9"/>
  <c r="BN32" i="9" s="1"/>
  <c r="AR37" i="9"/>
  <c r="BY38" i="9" s="1"/>
  <c r="AH46" i="9"/>
  <c r="BO47" i="9" s="1"/>
  <c r="AG55" i="9"/>
  <c r="BN56" i="9" s="1"/>
  <c r="AD70" i="9"/>
  <c r="BK71" i="9" s="1"/>
  <c r="AI74" i="9"/>
  <c r="BP75" i="9" s="1"/>
  <c r="BA16" i="9"/>
  <c r="CH17" i="9" s="1"/>
  <c r="AO16" i="9"/>
  <c r="BV17" i="9" s="1"/>
  <c r="AN16" i="9"/>
  <c r="BU17" i="9" s="1"/>
  <c r="AY16" i="9"/>
  <c r="CF17" i="9" s="1"/>
  <c r="AW16" i="9"/>
  <c r="CD17" i="9" s="1"/>
  <c r="AK16" i="9"/>
  <c r="BR17" i="9" s="1"/>
  <c r="AV16" i="9"/>
  <c r="CC17" i="9" s="1"/>
  <c r="AJ16" i="9"/>
  <c r="BQ17" i="9" s="1"/>
  <c r="BB16" i="9"/>
  <c r="CI17" i="9" s="1"/>
  <c r="AP16" i="9"/>
  <c r="BW17" i="9" s="1"/>
  <c r="AD16" i="9"/>
  <c r="BK17" i="9" s="1"/>
  <c r="AZ16" i="9"/>
  <c r="CG17" i="9" s="1"/>
  <c r="AF13" i="9"/>
  <c r="BM14" i="9" s="1"/>
  <c r="AY13" i="9"/>
  <c r="CF14" i="9" s="1"/>
  <c r="AG16" i="9"/>
  <c r="BN17" i="9" s="1"/>
  <c r="AQ19" i="9"/>
  <c r="BX20" i="9" s="1"/>
  <c r="BA22" i="9"/>
  <c r="CH23" i="9" s="1"/>
  <c r="AO22" i="9"/>
  <c r="BV23" i="9" s="1"/>
  <c r="AZ22" i="9"/>
  <c r="CG23" i="9" s="1"/>
  <c r="AN22" i="9"/>
  <c r="BU23" i="9" s="1"/>
  <c r="AY22" i="9"/>
  <c r="CF23" i="9" s="1"/>
  <c r="AM22" i="9"/>
  <c r="BT23" i="9" s="1"/>
  <c r="AW22" i="9"/>
  <c r="CD23" i="9" s="1"/>
  <c r="AK22" i="9"/>
  <c r="BR23" i="9" s="1"/>
  <c r="AV22" i="9"/>
  <c r="CC23" i="9" s="1"/>
  <c r="AJ22" i="9"/>
  <c r="BQ23" i="9" s="1"/>
  <c r="BB22" i="9"/>
  <c r="CI23" i="9" s="1"/>
  <c r="AP22" i="9"/>
  <c r="BW23" i="9" s="1"/>
  <c r="AD22" i="9"/>
  <c r="BK23" i="9" s="1"/>
  <c r="AX22" i="9"/>
  <c r="CE23" i="9" s="1"/>
  <c r="AI25" i="9"/>
  <c r="BP26" i="9" s="1"/>
  <c r="AH31" i="9"/>
  <c r="BO32" i="9" s="1"/>
  <c r="BA34" i="9"/>
  <c r="CH35" i="9" s="1"/>
  <c r="AO34" i="9"/>
  <c r="BV35" i="9" s="1"/>
  <c r="AZ34" i="9"/>
  <c r="CG35" i="9" s="1"/>
  <c r="AN34" i="9"/>
  <c r="BU35" i="9" s="1"/>
  <c r="AY34" i="9"/>
  <c r="CF35" i="9" s="1"/>
  <c r="AM34" i="9"/>
  <c r="BT35" i="9" s="1"/>
  <c r="AW34" i="9"/>
  <c r="CD35" i="9" s="1"/>
  <c r="AK34" i="9"/>
  <c r="BR35" i="9" s="1"/>
  <c r="AU34" i="9"/>
  <c r="CB35" i="9" s="1"/>
  <c r="AV34" i="9"/>
  <c r="CC35" i="9" s="1"/>
  <c r="AJ34" i="9"/>
  <c r="BQ35" i="9" s="1"/>
  <c r="AI34" i="9"/>
  <c r="BP35" i="9" s="1"/>
  <c r="BB34" i="9"/>
  <c r="CI35" i="9" s="1"/>
  <c r="AP34" i="9"/>
  <c r="BW35" i="9" s="1"/>
  <c r="AD34" i="9"/>
  <c r="BK35" i="9" s="1"/>
  <c r="AE34" i="9"/>
  <c r="BL35" i="9" s="1"/>
  <c r="AS37" i="9"/>
  <c r="BZ38" i="9" s="1"/>
  <c r="AG40" i="9"/>
  <c r="BN41" i="9" s="1"/>
  <c r="AL46" i="9"/>
  <c r="BS47" i="9" s="1"/>
  <c r="BB49" i="9"/>
  <c r="CI50" i="9" s="1"/>
  <c r="AP49" i="9"/>
  <c r="BW50" i="9" s="1"/>
  <c r="AD49" i="9"/>
  <c r="BK50" i="9" s="1"/>
  <c r="AT49" i="9"/>
  <c r="CA50" i="9" s="1"/>
  <c r="AG49" i="9"/>
  <c r="BN50" i="9" s="1"/>
  <c r="AS49" i="9"/>
  <c r="BZ50" i="9" s="1"/>
  <c r="AF49" i="9"/>
  <c r="BM50" i="9" s="1"/>
  <c r="AR49" i="9"/>
  <c r="BY50" i="9" s="1"/>
  <c r="AE49" i="9"/>
  <c r="BL50" i="9" s="1"/>
  <c r="AO49" i="9"/>
  <c r="BV50" i="9" s="1"/>
  <c r="BA49" i="9"/>
  <c r="CH50" i="9" s="1"/>
  <c r="AN49" i="9"/>
  <c r="BU50" i="9" s="1"/>
  <c r="AZ49" i="9"/>
  <c r="CG50" i="9" s="1"/>
  <c r="AM49" i="9"/>
  <c r="BT50" i="9" s="1"/>
  <c r="AV49" i="9"/>
  <c r="CC50" i="9" s="1"/>
  <c r="AI49" i="9"/>
  <c r="BP50" i="9" s="1"/>
  <c r="AU49" i="9"/>
  <c r="CB50" i="9" s="1"/>
  <c r="AH49" i="9"/>
  <c r="BO50" i="9" s="1"/>
  <c r="AT50" i="9"/>
  <c r="CA51" i="9" s="1"/>
  <c r="AH50" i="9"/>
  <c r="BO51" i="9" s="1"/>
  <c r="BA50" i="9"/>
  <c r="CH51" i="9" s="1"/>
  <c r="AN50" i="9"/>
  <c r="BU51" i="9" s="1"/>
  <c r="AZ50" i="9"/>
  <c r="CG51" i="9" s="1"/>
  <c r="AM50" i="9"/>
  <c r="BT51" i="9" s="1"/>
  <c r="AY50" i="9"/>
  <c r="CF51" i="9" s="1"/>
  <c r="AL50" i="9"/>
  <c r="BS51" i="9" s="1"/>
  <c r="AW50" i="9"/>
  <c r="CD51" i="9" s="1"/>
  <c r="AJ50" i="9"/>
  <c r="BQ51" i="9" s="1"/>
  <c r="AV50" i="9"/>
  <c r="CC51" i="9" s="1"/>
  <c r="AI50" i="9"/>
  <c r="BP51" i="9" s="1"/>
  <c r="AU50" i="9"/>
  <c r="CB51" i="9" s="1"/>
  <c r="AG50" i="9"/>
  <c r="BN51" i="9" s="1"/>
  <c r="AP50" i="9"/>
  <c r="BW51" i="9" s="1"/>
  <c r="BB50" i="9"/>
  <c r="CI51" i="9" s="1"/>
  <c r="AO50" i="9"/>
  <c r="BV51" i="9" s="1"/>
  <c r="AE50" i="9"/>
  <c r="BL51" i="9" s="1"/>
  <c r="AQ70" i="9"/>
  <c r="BX71" i="9" s="1"/>
  <c r="AP74" i="9"/>
  <c r="BW75" i="9" s="1"/>
  <c r="AL25" i="9"/>
  <c r="BS26" i="9" s="1"/>
  <c r="AL31" i="9"/>
  <c r="BS32" i="9" s="1"/>
  <c r="AT37" i="9"/>
  <c r="CA38" i="9" s="1"/>
  <c r="AQ46" i="9"/>
  <c r="BX47" i="9" s="1"/>
  <c r="BB55" i="9"/>
  <c r="CI56" i="9" s="1"/>
  <c r="AP55" i="9"/>
  <c r="BW56" i="9" s="1"/>
  <c r="AD55" i="9"/>
  <c r="BK56" i="9" s="1"/>
  <c r="AZ55" i="9"/>
  <c r="CG56" i="9" s="1"/>
  <c r="AN55" i="9"/>
  <c r="BU56" i="9" s="1"/>
  <c r="AY55" i="9"/>
  <c r="CF56" i="9" s="1"/>
  <c r="AM55" i="9"/>
  <c r="BT56" i="9" s="1"/>
  <c r="AV55" i="9"/>
  <c r="CC56" i="9" s="1"/>
  <c r="AJ55" i="9"/>
  <c r="BQ56" i="9" s="1"/>
  <c r="AT55" i="9"/>
  <c r="CA56" i="9" s="1"/>
  <c r="AS55" i="9"/>
  <c r="BZ56" i="9" s="1"/>
  <c r="AR55" i="9"/>
  <c r="BY56" i="9" s="1"/>
  <c r="AO55" i="9"/>
  <c r="BV56" i="9" s="1"/>
  <c r="AL55" i="9"/>
  <c r="BS56" i="9" s="1"/>
  <c r="AK55" i="9"/>
  <c r="BR56" i="9" s="1"/>
  <c r="AW55" i="9"/>
  <c r="CD56" i="9" s="1"/>
  <c r="AF55" i="9"/>
  <c r="BM56" i="9" s="1"/>
  <c r="AU55" i="9"/>
  <c r="CB56" i="9" s="1"/>
  <c r="AE55" i="9"/>
  <c r="BL56" i="9" s="1"/>
  <c r="AI55" i="9"/>
  <c r="BP56" i="9" s="1"/>
  <c r="AV70" i="9"/>
  <c r="CC71" i="9" s="1"/>
  <c r="AN83" i="9"/>
  <c r="BU84" i="9" s="1"/>
  <c r="AQ115" i="9"/>
  <c r="BX116" i="9" s="1"/>
  <c r="AE115" i="9"/>
  <c r="BL116" i="9" s="1"/>
  <c r="BA115" i="9"/>
  <c r="CH116" i="9" s="1"/>
  <c r="AO115" i="9"/>
  <c r="BV116" i="9" s="1"/>
  <c r="AZ115" i="9"/>
  <c r="CG116" i="9" s="1"/>
  <c r="AN115" i="9"/>
  <c r="BU116" i="9" s="1"/>
  <c r="AY115" i="9"/>
  <c r="CF116" i="9" s="1"/>
  <c r="AM115" i="9"/>
  <c r="BT116" i="9" s="1"/>
  <c r="AX115" i="9"/>
  <c r="CE116" i="9" s="1"/>
  <c r="AL115" i="9"/>
  <c r="BS116" i="9" s="1"/>
  <c r="AT115" i="9"/>
  <c r="CA116" i="9" s="1"/>
  <c r="AH115" i="9"/>
  <c r="BO116" i="9" s="1"/>
  <c r="AF115" i="9"/>
  <c r="BM116" i="9" s="1"/>
  <c r="BB115" i="9"/>
  <c r="CI116" i="9" s="1"/>
  <c r="AD115" i="9"/>
  <c r="BK116" i="9" s="1"/>
  <c r="AV115" i="9"/>
  <c r="CC116" i="9" s="1"/>
  <c r="AP115" i="9"/>
  <c r="BW116" i="9" s="1"/>
  <c r="AR115" i="9"/>
  <c r="BY116" i="9" s="1"/>
  <c r="AK115" i="9"/>
  <c r="BR116" i="9" s="1"/>
  <c r="AJ115" i="9"/>
  <c r="BQ116" i="9" s="1"/>
  <c r="AI115" i="9"/>
  <c r="BP116" i="9" s="1"/>
  <c r="AG115" i="9"/>
  <c r="BN116" i="9" s="1"/>
  <c r="AW115" i="9"/>
  <c r="CD116" i="9" s="1"/>
  <c r="AU115" i="9"/>
  <c r="CB116" i="9" s="1"/>
  <c r="AS115" i="9"/>
  <c r="BZ116" i="9" s="1"/>
  <c r="AH16" i="9"/>
  <c r="BO17" i="9" s="1"/>
  <c r="AR19" i="9"/>
  <c r="BY20" i="9" s="1"/>
  <c r="AW12" i="9"/>
  <c r="CD13" i="9" s="1"/>
  <c r="AK12" i="9"/>
  <c r="BR13" i="9" s="1"/>
  <c r="AS12" i="9"/>
  <c r="BZ13" i="9" s="1"/>
  <c r="AG12" i="9"/>
  <c r="BN13" i="9" s="1"/>
  <c r="AR12" i="9"/>
  <c r="BY13" i="9" s="1"/>
  <c r="AF12" i="9"/>
  <c r="AX12" i="9"/>
  <c r="CE13" i="9" s="1"/>
  <c r="AL12" i="9"/>
  <c r="BS13" i="9" s="1"/>
  <c r="AV12" i="9"/>
  <c r="CC13" i="9" s="1"/>
  <c r="AJ12" i="9"/>
  <c r="BQ13" i="9" s="1"/>
  <c r="AU12" i="9"/>
  <c r="CB13" i="9" s="1"/>
  <c r="AI16" i="9"/>
  <c r="BP17" i="9" s="1"/>
  <c r="AS19" i="9"/>
  <c r="BZ20" i="9" s="1"/>
  <c r="AF22" i="9"/>
  <c r="BM23" i="9" s="1"/>
  <c r="AQ25" i="9"/>
  <c r="BX26" i="9" s="1"/>
  <c r="BA28" i="9"/>
  <c r="CH29" i="9" s="1"/>
  <c r="AO28" i="9"/>
  <c r="BV29" i="9" s="1"/>
  <c r="AN28" i="9"/>
  <c r="BU29" i="9" s="1"/>
  <c r="AZ28" i="9"/>
  <c r="CG29" i="9" s="1"/>
  <c r="AY28" i="9"/>
  <c r="CF29" i="9" s="1"/>
  <c r="AM28" i="9"/>
  <c r="BT29" i="9" s="1"/>
  <c r="AW28" i="9"/>
  <c r="CD29" i="9" s="1"/>
  <c r="AK28" i="9"/>
  <c r="BR29" i="9" s="1"/>
  <c r="AV28" i="9"/>
  <c r="CC29" i="9" s="1"/>
  <c r="AJ28" i="9"/>
  <c r="BQ29" i="9" s="1"/>
  <c r="BB28" i="9"/>
  <c r="CI29" i="9" s="1"/>
  <c r="AP28" i="9"/>
  <c r="BW29" i="9" s="1"/>
  <c r="AD28" i="9"/>
  <c r="BK29" i="9" s="1"/>
  <c r="AX28" i="9"/>
  <c r="CE29" i="9" s="1"/>
  <c r="AQ31" i="9"/>
  <c r="BX32" i="9" s="1"/>
  <c r="AG34" i="9"/>
  <c r="BN35" i="9" s="1"/>
  <c r="AX37" i="9"/>
  <c r="CE38" i="9" s="1"/>
  <c r="AL40" i="9"/>
  <c r="BS41" i="9" s="1"/>
  <c r="AR46" i="9"/>
  <c r="BY47" i="9" s="1"/>
  <c r="AK49" i="9"/>
  <c r="BR50" i="9" s="1"/>
  <c r="AK50" i="9"/>
  <c r="BR51" i="9" s="1"/>
  <c r="AD54" i="9"/>
  <c r="BK55" i="9" s="1"/>
  <c r="AQ55" i="9"/>
  <c r="BX56" i="9" s="1"/>
  <c r="AW70" i="9"/>
  <c r="CD71" i="9" s="1"/>
  <c r="AO83" i="9"/>
  <c r="BV84" i="9" s="1"/>
  <c r="AX25" i="9"/>
  <c r="CE26" i="9" s="1"/>
  <c r="AG19" i="9"/>
  <c r="BN20" i="9" s="1"/>
  <c r="AH37" i="9"/>
  <c r="BO38" i="9" s="1"/>
  <c r="BA13" i="9"/>
  <c r="CH14" i="9" s="1"/>
  <c r="AO13" i="9"/>
  <c r="BV14" i="9" s="1"/>
  <c r="AZ13" i="9"/>
  <c r="CG14" i="9" s="1"/>
  <c r="AN13" i="9"/>
  <c r="BU14" i="9" s="1"/>
  <c r="AW13" i="9"/>
  <c r="CD14" i="9" s="1"/>
  <c r="AK13" i="9"/>
  <c r="BR14" i="9" s="1"/>
  <c r="AJ13" i="9"/>
  <c r="BQ14" i="9" s="1"/>
  <c r="AV13" i="9"/>
  <c r="CC14" i="9" s="1"/>
  <c r="BB13" i="9"/>
  <c r="CI14" i="9" s="1"/>
  <c r="AP13" i="9"/>
  <c r="BW14" i="9" s="1"/>
  <c r="AD13" i="9"/>
  <c r="BK14" i="9" s="1"/>
  <c r="AI13" i="9"/>
  <c r="BP14" i="9" s="1"/>
  <c r="AL16" i="9"/>
  <c r="BS17" i="9" s="1"/>
  <c r="AT19" i="9"/>
  <c r="CA20" i="9" s="1"/>
  <c r="AG22" i="9"/>
  <c r="BN23" i="9" s="1"/>
  <c r="AR25" i="9"/>
  <c r="BY26" i="9" s="1"/>
  <c r="AR31" i="9"/>
  <c r="BY32" i="9" s="1"/>
  <c r="AH34" i="9"/>
  <c r="BO35" i="9" s="1"/>
  <c r="AQ40" i="9"/>
  <c r="BX41" i="9" s="1"/>
  <c r="BA43" i="9"/>
  <c r="CH44" i="9" s="1"/>
  <c r="AO43" i="9"/>
  <c r="BV44" i="9" s="1"/>
  <c r="AZ43" i="9"/>
  <c r="CG44" i="9" s="1"/>
  <c r="AN43" i="9"/>
  <c r="BU44" i="9" s="1"/>
  <c r="AY43" i="9"/>
  <c r="CF44" i="9" s="1"/>
  <c r="AM43" i="9"/>
  <c r="BT44" i="9" s="1"/>
  <c r="AW43" i="9"/>
  <c r="CD44" i="9" s="1"/>
  <c r="AK43" i="9"/>
  <c r="BR44" i="9" s="1"/>
  <c r="AV43" i="9"/>
  <c r="CC44" i="9" s="1"/>
  <c r="AJ43" i="9"/>
  <c r="BQ44" i="9" s="1"/>
  <c r="AU43" i="9"/>
  <c r="CB44" i="9" s="1"/>
  <c r="AI43" i="9"/>
  <c r="BP44" i="9" s="1"/>
  <c r="BB43" i="9"/>
  <c r="CI44" i="9" s="1"/>
  <c r="AP43" i="9"/>
  <c r="BW44" i="9" s="1"/>
  <c r="AD43" i="9"/>
  <c r="BK44" i="9" s="1"/>
  <c r="AE43" i="9"/>
  <c r="BL44" i="9" s="1"/>
  <c r="AS46" i="9"/>
  <c r="BZ47" i="9" s="1"/>
  <c r="AL49" i="9"/>
  <c r="BS50" i="9" s="1"/>
  <c r="AQ50" i="9"/>
  <c r="BX51" i="9" s="1"/>
  <c r="AE54" i="9"/>
  <c r="BL55" i="9" s="1"/>
  <c r="AX55" i="9"/>
  <c r="CE56" i="9" s="1"/>
  <c r="AT59" i="9"/>
  <c r="CA60" i="9" s="1"/>
  <c r="AH59" i="9"/>
  <c r="BO60" i="9" s="1"/>
  <c r="AR59" i="9"/>
  <c r="BY60" i="9" s="1"/>
  <c r="AF59" i="9"/>
  <c r="BM60" i="9" s="1"/>
  <c r="AQ59" i="9"/>
  <c r="BX60" i="9" s="1"/>
  <c r="AE59" i="9"/>
  <c r="AZ59" i="9"/>
  <c r="CG60" i="9" s="1"/>
  <c r="AN59" i="9"/>
  <c r="AP59" i="9"/>
  <c r="BW60" i="9" s="1"/>
  <c r="AO59" i="9"/>
  <c r="BV60" i="9" s="1"/>
  <c r="AM59" i="9"/>
  <c r="BT60" i="9" s="1"/>
  <c r="BB59" i="9"/>
  <c r="CI60" i="9" s="1"/>
  <c r="AK59" i="9"/>
  <c r="BR60" i="9" s="1"/>
  <c r="BA59" i="9"/>
  <c r="CH60" i="9" s="1"/>
  <c r="AJ59" i="9"/>
  <c r="BQ60" i="9" s="1"/>
  <c r="AY59" i="9"/>
  <c r="CF60" i="9" s="1"/>
  <c r="AI59" i="9"/>
  <c r="BP60" i="9" s="1"/>
  <c r="AU59" i="9"/>
  <c r="CB60" i="9" s="1"/>
  <c r="AS59" i="9"/>
  <c r="BZ60" i="9" s="1"/>
  <c r="AP83" i="9"/>
  <c r="BW84" i="9" s="1"/>
  <c r="AU19" i="9"/>
  <c r="CB20" i="9" s="1"/>
  <c r="AS25" i="9"/>
  <c r="BZ26" i="9" s="1"/>
  <c r="AT46" i="9"/>
  <c r="CA47" i="9" s="1"/>
  <c r="AM54" i="9"/>
  <c r="BT55" i="9" s="1"/>
  <c r="AY74" i="9"/>
  <c r="CF75" i="9" s="1"/>
  <c r="AM74" i="9"/>
  <c r="BT75" i="9" s="1"/>
  <c r="AX74" i="9"/>
  <c r="CE75" i="9" s="1"/>
  <c r="AL74" i="9"/>
  <c r="BS75" i="9" s="1"/>
  <c r="AW74" i="9"/>
  <c r="CD75" i="9" s="1"/>
  <c r="AK74" i="9"/>
  <c r="BR75" i="9" s="1"/>
  <c r="AV74" i="9"/>
  <c r="CC75" i="9" s="1"/>
  <c r="AJ74" i="9"/>
  <c r="BQ75" i="9" s="1"/>
  <c r="AS74" i="9"/>
  <c r="BZ75" i="9" s="1"/>
  <c r="AR74" i="9"/>
  <c r="BY75" i="9" s="1"/>
  <c r="AQ74" i="9"/>
  <c r="BX75" i="9" s="1"/>
  <c r="AO74" i="9"/>
  <c r="BV75" i="9" s="1"/>
  <c r="AN74" i="9"/>
  <c r="BU75" i="9" s="1"/>
  <c r="BA74" i="9"/>
  <c r="CH75" i="9" s="1"/>
  <c r="AG74" i="9"/>
  <c r="BN75" i="9" s="1"/>
  <c r="AE74" i="9"/>
  <c r="BL75" i="9" s="1"/>
  <c r="AD74" i="9"/>
  <c r="BK75" i="9" s="1"/>
  <c r="BB74" i="9"/>
  <c r="CI75" i="9" s="1"/>
  <c r="AZ74" i="9"/>
  <c r="CG75" i="9" s="1"/>
  <c r="AU74" i="9"/>
  <c r="CB75" i="9" s="1"/>
  <c r="AH74" i="9"/>
  <c r="BO75" i="9" s="1"/>
  <c r="AF74" i="9"/>
  <c r="BM75" i="9" s="1"/>
  <c r="AH51" i="9"/>
  <c r="BO52" i="9" s="1"/>
  <c r="BB61" i="9"/>
  <c r="CI62" i="9" s="1"/>
  <c r="AP61" i="9"/>
  <c r="BW62" i="9" s="1"/>
  <c r="AD61" i="9"/>
  <c r="BK62" i="9" s="1"/>
  <c r="AZ61" i="9"/>
  <c r="CG62" i="9" s="1"/>
  <c r="AN61" i="9"/>
  <c r="BU62" i="9" s="1"/>
  <c r="AY61" i="9"/>
  <c r="CF62" i="9" s="1"/>
  <c r="AM61" i="9"/>
  <c r="BT62" i="9" s="1"/>
  <c r="AV61" i="9"/>
  <c r="CC62" i="9" s="1"/>
  <c r="AJ61" i="9"/>
  <c r="BQ62" i="9" s="1"/>
  <c r="AG61" i="9"/>
  <c r="BN62" i="9" s="1"/>
  <c r="AX61" i="9"/>
  <c r="CE62" i="9" s="1"/>
  <c r="AR64" i="9"/>
  <c r="BY65" i="9" s="1"/>
  <c r="AF64" i="9"/>
  <c r="BM65" i="9" s="1"/>
  <c r="AQ64" i="9"/>
  <c r="BX65" i="9" s="1"/>
  <c r="AE64" i="9"/>
  <c r="BL65" i="9" s="1"/>
  <c r="BB64" i="9"/>
  <c r="CI65" i="9" s="1"/>
  <c r="AP64" i="9"/>
  <c r="BW65" i="9" s="1"/>
  <c r="AD64" i="9"/>
  <c r="BK65" i="9" s="1"/>
  <c r="AZ64" i="9"/>
  <c r="CG65" i="9" s="1"/>
  <c r="AN64" i="9"/>
  <c r="BU65" i="9" s="1"/>
  <c r="AY64" i="9"/>
  <c r="CF65" i="9" s="1"/>
  <c r="AM64" i="9"/>
  <c r="BT65" i="9" s="1"/>
  <c r="AV64" i="9"/>
  <c r="CC65" i="9" s="1"/>
  <c r="AJ64" i="9"/>
  <c r="BQ65" i="9" s="1"/>
  <c r="AS64" i="9"/>
  <c r="BZ65" i="9" s="1"/>
  <c r="AQ84" i="9"/>
  <c r="BX85" i="9" s="1"/>
  <c r="AE84" i="9"/>
  <c r="BL85" i="9" s="1"/>
  <c r="BB84" i="9"/>
  <c r="CI85" i="9" s="1"/>
  <c r="AP84" i="9"/>
  <c r="BW85" i="9" s="1"/>
  <c r="AD84" i="9"/>
  <c r="BK85" i="9" s="1"/>
  <c r="BA84" i="9"/>
  <c r="CH85" i="9" s="1"/>
  <c r="AO84" i="9"/>
  <c r="BV85" i="9" s="1"/>
  <c r="AZ84" i="9"/>
  <c r="CG85" i="9" s="1"/>
  <c r="AN84" i="9"/>
  <c r="BU85" i="9" s="1"/>
  <c r="AY84" i="9"/>
  <c r="CF85" i="9" s="1"/>
  <c r="AM84" i="9"/>
  <c r="BT85" i="9" s="1"/>
  <c r="AS84" i="9"/>
  <c r="BZ85" i="9" s="1"/>
  <c r="AR84" i="9"/>
  <c r="BY85" i="9" s="1"/>
  <c r="AL84" i="9"/>
  <c r="BS85" i="9" s="1"/>
  <c r="AJ84" i="9"/>
  <c r="BQ85" i="9" s="1"/>
  <c r="AI84" i="9"/>
  <c r="BP85" i="9" s="1"/>
  <c r="AW84" i="9"/>
  <c r="CD85" i="9" s="1"/>
  <c r="AF84" i="9"/>
  <c r="BM85" i="9" s="1"/>
  <c r="AH84" i="9"/>
  <c r="BO85" i="9" s="1"/>
  <c r="AX51" i="9"/>
  <c r="CE52" i="9" s="1"/>
  <c r="AL51" i="9"/>
  <c r="BS52" i="9" s="1"/>
  <c r="AV51" i="9"/>
  <c r="CC52" i="9" s="1"/>
  <c r="AI51" i="9"/>
  <c r="BP52" i="9" s="1"/>
  <c r="AW51" i="9"/>
  <c r="CD52" i="9" s="1"/>
  <c r="AR67" i="9"/>
  <c r="BY68" i="9" s="1"/>
  <c r="AF67" i="9"/>
  <c r="BM68" i="9" s="1"/>
  <c r="AQ67" i="9"/>
  <c r="BX68" i="9" s="1"/>
  <c r="AE67" i="9"/>
  <c r="BL68" i="9" s="1"/>
  <c r="BB67" i="9"/>
  <c r="CI68" i="9" s="1"/>
  <c r="AP67" i="9"/>
  <c r="BW68" i="9" s="1"/>
  <c r="AD67" i="9"/>
  <c r="BK68" i="9" s="1"/>
  <c r="AZ67" i="9"/>
  <c r="CG68" i="9" s="1"/>
  <c r="AN67" i="9"/>
  <c r="BU68" i="9" s="1"/>
  <c r="AY67" i="9"/>
  <c r="CF68" i="9" s="1"/>
  <c r="AM67" i="9"/>
  <c r="BT68" i="9" s="1"/>
  <c r="AV67" i="9"/>
  <c r="CC68" i="9" s="1"/>
  <c r="AJ67" i="9"/>
  <c r="BQ68" i="9" s="1"/>
  <c r="AS67" i="9"/>
  <c r="BZ68" i="9" s="1"/>
  <c r="AQ96" i="9"/>
  <c r="BX97" i="9" s="1"/>
  <c r="AE96" i="9"/>
  <c r="AW96" i="9"/>
  <c r="CD97" i="9" s="1"/>
  <c r="AK96" i="9"/>
  <c r="BR97" i="9" s="1"/>
  <c r="AY96" i="9"/>
  <c r="CF97" i="9" s="1"/>
  <c r="AJ96" i="9"/>
  <c r="BQ97" i="9" s="1"/>
  <c r="AX96" i="9"/>
  <c r="CE97" i="9" s="1"/>
  <c r="AI96" i="9"/>
  <c r="BP97" i="9" s="1"/>
  <c r="AV96" i="9"/>
  <c r="CC97" i="9" s="1"/>
  <c r="AH96" i="9"/>
  <c r="BO97" i="9" s="1"/>
  <c r="AU96" i="9"/>
  <c r="CB97" i="9" s="1"/>
  <c r="AG96" i="9"/>
  <c r="BN97" i="9" s="1"/>
  <c r="AT96" i="9"/>
  <c r="CA97" i="9" s="1"/>
  <c r="AF96" i="9"/>
  <c r="BM97" i="9" s="1"/>
  <c r="AR96" i="9"/>
  <c r="BY97" i="9" s="1"/>
  <c r="AZ96" i="9"/>
  <c r="CG97" i="9" s="1"/>
  <c r="AS96" i="9"/>
  <c r="BZ97" i="9" s="1"/>
  <c r="AP96" i="9"/>
  <c r="BW97" i="9" s="1"/>
  <c r="AO96" i="9"/>
  <c r="BV97" i="9" s="1"/>
  <c r="AN96" i="9"/>
  <c r="BU97" i="9" s="1"/>
  <c r="AM96" i="9"/>
  <c r="BT97" i="9" s="1"/>
  <c r="AN51" i="9"/>
  <c r="BU52" i="9" s="1"/>
  <c r="BB51" i="9"/>
  <c r="CI52" i="9" s="1"/>
  <c r="AV65" i="9"/>
  <c r="CC66" i="9" s="1"/>
  <c r="AJ65" i="9"/>
  <c r="BQ66" i="9" s="1"/>
  <c r="AU65" i="9"/>
  <c r="CB66" i="9" s="1"/>
  <c r="AI65" i="9"/>
  <c r="BP66" i="9" s="1"/>
  <c r="AT65" i="9"/>
  <c r="CA66" i="9" s="1"/>
  <c r="AH65" i="9"/>
  <c r="BO66" i="9" s="1"/>
  <c r="AR65" i="9"/>
  <c r="BY66" i="9" s="1"/>
  <c r="AF65" i="9"/>
  <c r="BM66" i="9" s="1"/>
  <c r="AQ65" i="9"/>
  <c r="BX66" i="9" s="1"/>
  <c r="AE65" i="9"/>
  <c r="BL66" i="9" s="1"/>
  <c r="AZ65" i="9"/>
  <c r="CG66" i="9" s="1"/>
  <c r="AN65" i="9"/>
  <c r="BU66" i="9" s="1"/>
  <c r="AS65" i="9"/>
  <c r="BZ66" i="9" s="1"/>
  <c r="AX67" i="9"/>
  <c r="CE68" i="9" s="1"/>
  <c r="BA96" i="9"/>
  <c r="CH97" i="9" s="1"/>
  <c r="AY114" i="9"/>
  <c r="CF115" i="9" s="1"/>
  <c r="AM114" i="9"/>
  <c r="BT115" i="9" s="1"/>
  <c r="AW114" i="9"/>
  <c r="CD115" i="9" s="1"/>
  <c r="AK114" i="9"/>
  <c r="BR115" i="9" s="1"/>
  <c r="AV114" i="9"/>
  <c r="CC115" i="9" s="1"/>
  <c r="AU114" i="9"/>
  <c r="CB115" i="9" s="1"/>
  <c r="AT114" i="9"/>
  <c r="CA115" i="9" s="1"/>
  <c r="AH114" i="9"/>
  <c r="BO115" i="9" s="1"/>
  <c r="BB114" i="9"/>
  <c r="CI115" i="9" s="1"/>
  <c r="AP114" i="9"/>
  <c r="BW115" i="9" s="1"/>
  <c r="AD114" i="9"/>
  <c r="BK115" i="9" s="1"/>
  <c r="AQ114" i="9"/>
  <c r="BX115" i="9" s="1"/>
  <c r="AO114" i="9"/>
  <c r="BV115" i="9" s="1"/>
  <c r="AL114" i="9"/>
  <c r="BS115" i="9" s="1"/>
  <c r="BA114" i="9"/>
  <c r="CH115" i="9" s="1"/>
  <c r="AF114" i="9"/>
  <c r="BM115" i="9" s="1"/>
  <c r="AS114" i="9"/>
  <c r="BZ115" i="9" s="1"/>
  <c r="AR114" i="9"/>
  <c r="BY115" i="9" s="1"/>
  <c r="AN114" i="9"/>
  <c r="BU115" i="9" s="1"/>
  <c r="AJ114" i="9"/>
  <c r="BQ115" i="9" s="1"/>
  <c r="AI114" i="9"/>
  <c r="BP115" i="9" s="1"/>
  <c r="AE114" i="9"/>
  <c r="BL115" i="9" s="1"/>
  <c r="AZ114" i="9"/>
  <c r="CG115" i="9" s="1"/>
  <c r="AX114" i="9"/>
  <c r="CE115" i="9" s="1"/>
  <c r="AO51" i="9"/>
  <c r="BV52" i="9" s="1"/>
  <c r="AQ61" i="9"/>
  <c r="BX62" i="9" s="1"/>
  <c r="AG64" i="9"/>
  <c r="BN65" i="9" s="1"/>
  <c r="AW65" i="9"/>
  <c r="CD66" i="9" s="1"/>
  <c r="AV68" i="9"/>
  <c r="CC69" i="9" s="1"/>
  <c r="AJ68" i="9"/>
  <c r="BQ69" i="9" s="1"/>
  <c r="AU68" i="9"/>
  <c r="CB69" i="9" s="1"/>
  <c r="AI68" i="9"/>
  <c r="BP69" i="9" s="1"/>
  <c r="AT68" i="9"/>
  <c r="CA69" i="9" s="1"/>
  <c r="AH68" i="9"/>
  <c r="BO69" i="9" s="1"/>
  <c r="AR68" i="9"/>
  <c r="BY69" i="9" s="1"/>
  <c r="AF68" i="9"/>
  <c r="BM69" i="9" s="1"/>
  <c r="AQ68" i="9"/>
  <c r="BX69" i="9" s="1"/>
  <c r="AE68" i="9"/>
  <c r="BL69" i="9" s="1"/>
  <c r="AZ68" i="9"/>
  <c r="CG69" i="9" s="1"/>
  <c r="AN68" i="9"/>
  <c r="BU69" i="9" s="1"/>
  <c r="BA67" i="9"/>
  <c r="CH68" i="9" s="1"/>
  <c r="AS68" i="9"/>
  <c r="BZ69" i="9" s="1"/>
  <c r="AY80" i="9"/>
  <c r="CF81" i="9" s="1"/>
  <c r="AM80" i="9"/>
  <c r="BT81" i="9" s="1"/>
  <c r="AX80" i="9"/>
  <c r="CE81" i="9" s="1"/>
  <c r="AL80" i="9"/>
  <c r="BS81" i="9" s="1"/>
  <c r="AW80" i="9"/>
  <c r="CD81" i="9" s="1"/>
  <c r="AK80" i="9"/>
  <c r="BR81" i="9" s="1"/>
  <c r="AV80" i="9"/>
  <c r="CC81" i="9" s="1"/>
  <c r="AJ80" i="9"/>
  <c r="BQ81" i="9" s="1"/>
  <c r="AS80" i="9"/>
  <c r="BZ81" i="9" s="1"/>
  <c r="AR80" i="9"/>
  <c r="BY81" i="9" s="1"/>
  <c r="AQ80" i="9"/>
  <c r="BX81" i="9" s="1"/>
  <c r="AO80" i="9"/>
  <c r="BV81" i="9" s="1"/>
  <c r="AN80" i="9"/>
  <c r="BU81" i="9" s="1"/>
  <c r="BA80" i="9"/>
  <c r="CH81" i="9" s="1"/>
  <c r="AG80" i="9"/>
  <c r="AH80" i="9"/>
  <c r="BO81" i="9" s="1"/>
  <c r="BB96" i="9"/>
  <c r="CI97" i="9" s="1"/>
  <c r="AO14" i="9"/>
  <c r="BV15" i="9" s="1"/>
  <c r="BA14" i="9"/>
  <c r="CH15" i="9" s="1"/>
  <c r="AG15" i="9"/>
  <c r="AS15" i="9"/>
  <c r="BZ16" i="9" s="1"/>
  <c r="AO17" i="9"/>
  <c r="BV18" i="9" s="1"/>
  <c r="BA17" i="9"/>
  <c r="CH18" i="9" s="1"/>
  <c r="AG18" i="9"/>
  <c r="AS18" i="9"/>
  <c r="BZ19" i="9" s="1"/>
  <c r="AO20" i="9"/>
  <c r="BV21" i="9" s="1"/>
  <c r="BA20" i="9"/>
  <c r="CH21" i="9" s="1"/>
  <c r="AG21" i="9"/>
  <c r="AS21" i="9"/>
  <c r="BZ22" i="9" s="1"/>
  <c r="AO23" i="9"/>
  <c r="BV24" i="9" s="1"/>
  <c r="BA23" i="9"/>
  <c r="CH24" i="9" s="1"/>
  <c r="AG24" i="9"/>
  <c r="BN25" i="9" s="1"/>
  <c r="AS24" i="9"/>
  <c r="BZ25" i="9" s="1"/>
  <c r="AO26" i="9"/>
  <c r="BA26" i="9"/>
  <c r="CH27" i="9" s="1"/>
  <c r="AG27" i="9"/>
  <c r="AS27" i="9"/>
  <c r="BZ28" i="9" s="1"/>
  <c r="AO29" i="9"/>
  <c r="BV30" i="9" s="1"/>
  <c r="BA29" i="9"/>
  <c r="CH30" i="9" s="1"/>
  <c r="AG30" i="9"/>
  <c r="AS30" i="9"/>
  <c r="BZ31" i="9" s="1"/>
  <c r="AO32" i="9"/>
  <c r="BV33" i="9" s="1"/>
  <c r="BA32" i="9"/>
  <c r="CH33" i="9" s="1"/>
  <c r="AG33" i="9"/>
  <c r="AS33" i="9"/>
  <c r="BZ34" i="9" s="1"/>
  <c r="AG36" i="9"/>
  <c r="AS36" i="9"/>
  <c r="BZ37" i="9" s="1"/>
  <c r="AG39" i="9"/>
  <c r="AS39" i="9"/>
  <c r="BZ40" i="9" s="1"/>
  <c r="AG42" i="9"/>
  <c r="BN43" i="9" s="1"/>
  <c r="AS42" i="9"/>
  <c r="BZ43" i="9" s="1"/>
  <c r="AG45" i="9"/>
  <c r="AS45" i="9"/>
  <c r="BZ46" i="9" s="1"/>
  <c r="AX48" i="9"/>
  <c r="CE49" i="9" s="1"/>
  <c r="AL48" i="9"/>
  <c r="BS49" i="9" s="1"/>
  <c r="AH48" i="9"/>
  <c r="BO49" i="9" s="1"/>
  <c r="AU48" i="9"/>
  <c r="CB49" i="9" s="1"/>
  <c r="BB52" i="9"/>
  <c r="CI53" i="9" s="1"/>
  <c r="AP52" i="9"/>
  <c r="BW53" i="9" s="1"/>
  <c r="AD52" i="9"/>
  <c r="BK53" i="9" s="1"/>
  <c r="AZ52" i="9"/>
  <c r="CG53" i="9" s="1"/>
  <c r="AN52" i="9"/>
  <c r="BU53" i="9" s="1"/>
  <c r="AP51" i="9"/>
  <c r="BW52" i="9" s="1"/>
  <c r="AL52" i="9"/>
  <c r="BS53" i="9" s="1"/>
  <c r="BA52" i="9"/>
  <c r="CH53" i="9" s="1"/>
  <c r="BB58" i="9"/>
  <c r="CI59" i="9" s="1"/>
  <c r="AP58" i="9"/>
  <c r="BW59" i="9" s="1"/>
  <c r="AD58" i="9"/>
  <c r="BK59" i="9" s="1"/>
  <c r="AZ58" i="9"/>
  <c r="CG59" i="9" s="1"/>
  <c r="AN58" i="9"/>
  <c r="BU59" i="9" s="1"/>
  <c r="AY58" i="9"/>
  <c r="CF59" i="9" s="1"/>
  <c r="AM58" i="9"/>
  <c r="BT59" i="9" s="1"/>
  <c r="AV58" i="9"/>
  <c r="CC59" i="9" s="1"/>
  <c r="AJ58" i="9"/>
  <c r="BQ59" i="9" s="1"/>
  <c r="AG58" i="9"/>
  <c r="BN59" i="9" s="1"/>
  <c r="AX58" i="9"/>
  <c r="CE59" i="9" s="1"/>
  <c r="AR61" i="9"/>
  <c r="BY62" i="9" s="1"/>
  <c r="AZ63" i="9"/>
  <c r="CG64" i="9" s="1"/>
  <c r="AN63" i="9"/>
  <c r="BU64" i="9" s="1"/>
  <c r="AY63" i="9"/>
  <c r="CF64" i="9" s="1"/>
  <c r="AM63" i="9"/>
  <c r="BT64" i="9" s="1"/>
  <c r="AX63" i="9"/>
  <c r="CE64" i="9" s="1"/>
  <c r="AL63" i="9"/>
  <c r="BS64" i="9" s="1"/>
  <c r="AV63" i="9"/>
  <c r="CC64" i="9" s="1"/>
  <c r="AJ63" i="9"/>
  <c r="BQ64" i="9" s="1"/>
  <c r="AU63" i="9"/>
  <c r="CB64" i="9" s="1"/>
  <c r="AI63" i="9"/>
  <c r="BP64" i="9" s="1"/>
  <c r="AR63" i="9"/>
  <c r="BY64" i="9" s="1"/>
  <c r="AF63" i="9"/>
  <c r="AP63" i="9"/>
  <c r="BW64" i="9" s="1"/>
  <c r="AH64" i="9"/>
  <c r="BO65" i="9" s="1"/>
  <c r="AX65" i="9"/>
  <c r="CE66" i="9" s="1"/>
  <c r="AG67" i="9"/>
  <c r="BN68" i="9" s="1"/>
  <c r="AW68" i="9"/>
  <c r="CD69" i="9" s="1"/>
  <c r="AK69" i="9"/>
  <c r="BR70" i="9" s="1"/>
  <c r="AQ78" i="9"/>
  <c r="BX79" i="9" s="1"/>
  <c r="AE78" i="9"/>
  <c r="BL79" i="9" s="1"/>
  <c r="BB78" i="9"/>
  <c r="CI79" i="9" s="1"/>
  <c r="AP78" i="9"/>
  <c r="BW79" i="9" s="1"/>
  <c r="AD78" i="9"/>
  <c r="BK79" i="9" s="1"/>
  <c r="BA78" i="9"/>
  <c r="CH79" i="9" s="1"/>
  <c r="AO78" i="9"/>
  <c r="BV79" i="9" s="1"/>
  <c r="AZ78" i="9"/>
  <c r="CG79" i="9" s="1"/>
  <c r="AN78" i="9"/>
  <c r="BU79" i="9" s="1"/>
  <c r="AL78" i="9"/>
  <c r="BS79" i="9" s="1"/>
  <c r="AK78" i="9"/>
  <c r="BR79" i="9" s="1"/>
  <c r="AJ78" i="9"/>
  <c r="BQ79" i="9" s="1"/>
  <c r="AX78" i="9"/>
  <c r="CE79" i="9" s="1"/>
  <c r="AH78" i="9"/>
  <c r="BO79" i="9" s="1"/>
  <c r="AW78" i="9"/>
  <c r="CD79" i="9" s="1"/>
  <c r="AG78" i="9"/>
  <c r="BN79" i="9" s="1"/>
  <c r="AT78" i="9"/>
  <c r="CA79" i="9" s="1"/>
  <c r="AF78" i="9"/>
  <c r="BM79" i="9" s="1"/>
  <c r="AI80" i="9"/>
  <c r="BP81" i="9" s="1"/>
  <c r="AP80" i="9"/>
  <c r="BW81" i="9" s="1"/>
  <c r="AE51" i="9"/>
  <c r="BL52" i="9" s="1"/>
  <c r="AR51" i="9"/>
  <c r="BY52" i="9" s="1"/>
  <c r="AX57" i="9"/>
  <c r="CE58" i="9" s="1"/>
  <c r="AL57" i="9"/>
  <c r="BS58" i="9" s="1"/>
  <c r="AV57" i="9"/>
  <c r="CC58" i="9" s="1"/>
  <c r="AJ57" i="9"/>
  <c r="BQ58" i="9" s="1"/>
  <c r="AU57" i="9"/>
  <c r="CB58" i="9" s="1"/>
  <c r="AI57" i="9"/>
  <c r="BP58" i="9" s="1"/>
  <c r="AR57" i="9"/>
  <c r="BY58" i="9" s="1"/>
  <c r="AF57" i="9"/>
  <c r="BM58" i="9" s="1"/>
  <c r="AE57" i="9"/>
  <c r="BL58" i="9" s="1"/>
  <c r="AY57" i="9"/>
  <c r="CF58" i="9" s="1"/>
  <c r="AV62" i="9"/>
  <c r="CC63" i="9" s="1"/>
  <c r="AU62" i="9"/>
  <c r="CB63" i="9" s="1"/>
  <c r="AI62" i="9"/>
  <c r="BP63" i="9" s="1"/>
  <c r="AT62" i="9"/>
  <c r="CA63" i="9" s="1"/>
  <c r="AH62" i="9"/>
  <c r="BO63" i="9" s="1"/>
  <c r="AR62" i="9"/>
  <c r="BY63" i="9" s="1"/>
  <c r="AF62" i="9"/>
  <c r="BM63" i="9" s="1"/>
  <c r="AQ62" i="9"/>
  <c r="BX63" i="9" s="1"/>
  <c r="AE62" i="9"/>
  <c r="AZ62" i="9"/>
  <c r="CG63" i="9" s="1"/>
  <c r="AN62" i="9"/>
  <c r="BU63" i="9" s="1"/>
  <c r="AT61" i="9"/>
  <c r="CA62" i="9" s="1"/>
  <c r="AG62" i="9"/>
  <c r="BN63" i="9" s="1"/>
  <c r="BB62" i="9"/>
  <c r="CI63" i="9" s="1"/>
  <c r="AK64" i="9"/>
  <c r="BR65" i="9" s="1"/>
  <c r="AZ66" i="9"/>
  <c r="CG67" i="9" s="1"/>
  <c r="AN66" i="9"/>
  <c r="BU67" i="9" s="1"/>
  <c r="AY66" i="9"/>
  <c r="CF67" i="9" s="1"/>
  <c r="AM66" i="9"/>
  <c r="BT67" i="9" s="1"/>
  <c r="AX66" i="9"/>
  <c r="CE67" i="9" s="1"/>
  <c r="AL66" i="9"/>
  <c r="BS67" i="9" s="1"/>
  <c r="AV66" i="9"/>
  <c r="CC67" i="9" s="1"/>
  <c r="AJ66" i="9"/>
  <c r="BQ67" i="9" s="1"/>
  <c r="AU66" i="9"/>
  <c r="CB67" i="9" s="1"/>
  <c r="AI66" i="9"/>
  <c r="BP67" i="9" s="1"/>
  <c r="AR66" i="9"/>
  <c r="AF66" i="9"/>
  <c r="BA65" i="9"/>
  <c r="CH66" i="9" s="1"/>
  <c r="AQ66" i="9"/>
  <c r="BX67" i="9" s="1"/>
  <c r="AI67" i="9"/>
  <c r="BP68" i="9" s="1"/>
  <c r="AY68" i="9"/>
  <c r="CF69" i="9" s="1"/>
  <c r="AT80" i="9"/>
  <c r="CA81" i="9" s="1"/>
  <c r="AR102" i="9"/>
  <c r="BY103" i="9" s="1"/>
  <c r="AF102" i="9"/>
  <c r="BM103" i="9" s="1"/>
  <c r="AQ102" i="9"/>
  <c r="BX103" i="9" s="1"/>
  <c r="AE102" i="9"/>
  <c r="BL103" i="9" s="1"/>
  <c r="BA102" i="9"/>
  <c r="CH103" i="9" s="1"/>
  <c r="AO102" i="9"/>
  <c r="BV103" i="9" s="1"/>
  <c r="AW102" i="9"/>
  <c r="CD103" i="9" s="1"/>
  <c r="AK102" i="9"/>
  <c r="BR103" i="9" s="1"/>
  <c r="AN102" i="9"/>
  <c r="BU103" i="9" s="1"/>
  <c r="AM102" i="9"/>
  <c r="BT103" i="9" s="1"/>
  <c r="AL102" i="9"/>
  <c r="BS103" i="9" s="1"/>
  <c r="BB102" i="9"/>
  <c r="CI103" i="9" s="1"/>
  <c r="AJ102" i="9"/>
  <c r="BQ103" i="9" s="1"/>
  <c r="AZ102" i="9"/>
  <c r="CG103" i="9" s="1"/>
  <c r="AI102" i="9"/>
  <c r="BP103" i="9" s="1"/>
  <c r="AX102" i="9"/>
  <c r="CE103" i="9" s="1"/>
  <c r="AG102" i="9"/>
  <c r="BN103" i="9" s="1"/>
  <c r="AY102" i="9"/>
  <c r="CF103" i="9" s="1"/>
  <c r="AV102" i="9"/>
  <c r="CC103" i="9" s="1"/>
  <c r="AU102" i="9"/>
  <c r="CB103" i="9" s="1"/>
  <c r="AT102" i="9"/>
  <c r="CA103" i="9" s="1"/>
  <c r="AS102" i="9"/>
  <c r="BZ103" i="9" s="1"/>
  <c r="AD102" i="9"/>
  <c r="BK103" i="9" s="1"/>
  <c r="AF51" i="9"/>
  <c r="BM52" i="9" s="1"/>
  <c r="AS51" i="9"/>
  <c r="BZ52" i="9" s="1"/>
  <c r="AG57" i="9"/>
  <c r="BN58" i="9" s="1"/>
  <c r="AZ57" i="9"/>
  <c r="CG58" i="9" s="1"/>
  <c r="AE61" i="9"/>
  <c r="BL62" i="9" s="1"/>
  <c r="AU61" i="9"/>
  <c r="CB62" i="9" s="1"/>
  <c r="AJ62" i="9"/>
  <c r="BQ63" i="9" s="1"/>
  <c r="AL64" i="9"/>
  <c r="BS65" i="9" s="1"/>
  <c r="AD65" i="9"/>
  <c r="BK66" i="9" s="1"/>
  <c r="BB65" i="9"/>
  <c r="CI66" i="9" s="1"/>
  <c r="AS66" i="9"/>
  <c r="BZ67" i="9" s="1"/>
  <c r="AK67" i="9"/>
  <c r="BR68" i="9" s="1"/>
  <c r="BB69" i="9"/>
  <c r="CI70" i="9" s="1"/>
  <c r="AZ69" i="9"/>
  <c r="CG70" i="9" s="1"/>
  <c r="AN69" i="9"/>
  <c r="BU70" i="9" s="1"/>
  <c r="AY69" i="9"/>
  <c r="CF70" i="9" s="1"/>
  <c r="AM69" i="9"/>
  <c r="BT70" i="9" s="1"/>
  <c r="AX69" i="9"/>
  <c r="CE70" i="9" s="1"/>
  <c r="AL69" i="9"/>
  <c r="BS70" i="9" s="1"/>
  <c r="AV69" i="9"/>
  <c r="CC70" i="9" s="1"/>
  <c r="AJ69" i="9"/>
  <c r="BQ70" i="9" s="1"/>
  <c r="AU69" i="9"/>
  <c r="CB70" i="9" s="1"/>
  <c r="AI69" i="9"/>
  <c r="BP70" i="9" s="1"/>
  <c r="AR69" i="9"/>
  <c r="BY70" i="9" s="1"/>
  <c r="AF69" i="9"/>
  <c r="BM70" i="9" s="1"/>
  <c r="BA68" i="9"/>
  <c r="CH69" i="9" s="1"/>
  <c r="AQ69" i="9"/>
  <c r="BX70" i="9" s="1"/>
  <c r="AY77" i="9"/>
  <c r="CF78" i="9" s="1"/>
  <c r="AM77" i="9"/>
  <c r="BT78" i="9" s="1"/>
  <c r="AX77" i="9"/>
  <c r="CE78" i="9" s="1"/>
  <c r="AL77" i="9"/>
  <c r="BS78" i="9" s="1"/>
  <c r="AW77" i="9"/>
  <c r="CD78" i="9" s="1"/>
  <c r="AK77" i="9"/>
  <c r="BR78" i="9" s="1"/>
  <c r="AV77" i="9"/>
  <c r="CC78" i="9" s="1"/>
  <c r="AJ77" i="9"/>
  <c r="BQ78" i="9" s="1"/>
  <c r="AI77" i="9"/>
  <c r="BP78" i="9" s="1"/>
  <c r="BB77" i="9"/>
  <c r="CI78" i="9" s="1"/>
  <c r="AH77" i="9"/>
  <c r="BO78" i="9" s="1"/>
  <c r="BA77" i="9"/>
  <c r="CH78" i="9" s="1"/>
  <c r="AG77" i="9"/>
  <c r="BN78" i="9" s="1"/>
  <c r="AU77" i="9"/>
  <c r="CB78" i="9" s="1"/>
  <c r="AE77" i="9"/>
  <c r="BL78" i="9" s="1"/>
  <c r="AT77" i="9"/>
  <c r="CA78" i="9" s="1"/>
  <c r="AD77" i="9"/>
  <c r="BK78" i="9" s="1"/>
  <c r="AQ77" i="9"/>
  <c r="BX78" i="9" s="1"/>
  <c r="AO77" i="9"/>
  <c r="BV78" i="9" s="1"/>
  <c r="AU80" i="9"/>
  <c r="CB81" i="9" s="1"/>
  <c r="AG14" i="9"/>
  <c r="AK15" i="9"/>
  <c r="AG17" i="9"/>
  <c r="AK18" i="9"/>
  <c r="BR19" i="9" s="1"/>
  <c r="AG20" i="9"/>
  <c r="AK21" i="9"/>
  <c r="BR22" i="9" s="1"/>
  <c r="AG23" i="9"/>
  <c r="AK24" i="9"/>
  <c r="BR25" i="9" s="1"/>
  <c r="AG26" i="9"/>
  <c r="AK27" i="9"/>
  <c r="BR28" i="9" s="1"/>
  <c r="AG29" i="9"/>
  <c r="AK30" i="9"/>
  <c r="BR31" i="9" s="1"/>
  <c r="AG32" i="9"/>
  <c r="AK33" i="9"/>
  <c r="AG35" i="9"/>
  <c r="AK36" i="9"/>
  <c r="BR37" i="9" s="1"/>
  <c r="AG38" i="9"/>
  <c r="AK39" i="9"/>
  <c r="BR40" i="9" s="1"/>
  <c r="AG41" i="9"/>
  <c r="BE41" i="9" s="1"/>
  <c r="AK42" i="9"/>
  <c r="AG44" i="9"/>
  <c r="AK45" i="9"/>
  <c r="BR46" i="9" s="1"/>
  <c r="AG47" i="9"/>
  <c r="AS47" i="9"/>
  <c r="BZ48" i="9" s="1"/>
  <c r="AM48" i="9"/>
  <c r="BT49" i="9" s="1"/>
  <c r="AZ48" i="9"/>
  <c r="CG49" i="9" s="1"/>
  <c r="AG51" i="9"/>
  <c r="BN52" i="9" s="1"/>
  <c r="AT51" i="9"/>
  <c r="CA52" i="9" s="1"/>
  <c r="AT53" i="9"/>
  <c r="CA54" i="9" s="1"/>
  <c r="AH53" i="9"/>
  <c r="BO54" i="9" s="1"/>
  <c r="AR53" i="9"/>
  <c r="BY54" i="9" s="1"/>
  <c r="AF53" i="9"/>
  <c r="AQ53" i="9"/>
  <c r="BX54" i="9" s="1"/>
  <c r="AZ53" i="9"/>
  <c r="CG54" i="9" s="1"/>
  <c r="AR52" i="9"/>
  <c r="BY53" i="9" s="1"/>
  <c r="AN53" i="9"/>
  <c r="BU54" i="9" s="1"/>
  <c r="AT56" i="9"/>
  <c r="CA57" i="9" s="1"/>
  <c r="AH56" i="9"/>
  <c r="BO57" i="9" s="1"/>
  <c r="AR56" i="9"/>
  <c r="BY57" i="9" s="1"/>
  <c r="AF56" i="9"/>
  <c r="AQ56" i="9"/>
  <c r="BX57" i="9" s="1"/>
  <c r="AE56" i="9"/>
  <c r="AZ56" i="9"/>
  <c r="CG57" i="9" s="1"/>
  <c r="AN56" i="9"/>
  <c r="BU57" i="9" s="1"/>
  <c r="AG56" i="9"/>
  <c r="BN57" i="9" s="1"/>
  <c r="AX56" i="9"/>
  <c r="CE57" i="9" s="1"/>
  <c r="AH57" i="9"/>
  <c r="BO58" i="9" s="1"/>
  <c r="BA57" i="9"/>
  <c r="CH58" i="9" s="1"/>
  <c r="AL58" i="9"/>
  <c r="BS59" i="9" s="1"/>
  <c r="AF61" i="9"/>
  <c r="BM62" i="9" s="1"/>
  <c r="AW61" i="9"/>
  <c r="CD62" i="9" s="1"/>
  <c r="AK62" i="9"/>
  <c r="BR63" i="9" s="1"/>
  <c r="AW63" i="9"/>
  <c r="CD64" i="9" s="1"/>
  <c r="AO64" i="9"/>
  <c r="BV65" i="9" s="1"/>
  <c r="AG65" i="9"/>
  <c r="BN66" i="9" s="1"/>
  <c r="AT66" i="9"/>
  <c r="CA67" i="9" s="1"/>
  <c r="AL67" i="9"/>
  <c r="BS68" i="9" s="1"/>
  <c r="AD68" i="9"/>
  <c r="BK69" i="9" s="1"/>
  <c r="BB68" i="9"/>
  <c r="CI69" i="9" s="1"/>
  <c r="AS69" i="9"/>
  <c r="BZ70" i="9" s="1"/>
  <c r="BB72" i="9"/>
  <c r="CI73" i="9" s="1"/>
  <c r="AP72" i="9"/>
  <c r="BW73" i="9" s="1"/>
  <c r="AD72" i="9"/>
  <c r="BK73" i="9" s="1"/>
  <c r="AU72" i="9"/>
  <c r="CB73" i="9" s="1"/>
  <c r="AH72" i="9"/>
  <c r="BO73" i="9" s="1"/>
  <c r="AT72" i="9"/>
  <c r="CA73" i="9" s="1"/>
  <c r="AG72" i="9"/>
  <c r="BN73" i="9" s="1"/>
  <c r="AS72" i="9"/>
  <c r="BZ73" i="9" s="1"/>
  <c r="AF72" i="9"/>
  <c r="BM73" i="9" s="1"/>
  <c r="AQ72" i="9"/>
  <c r="BX73" i="9" s="1"/>
  <c r="AO72" i="9"/>
  <c r="BV73" i="9" s="1"/>
  <c r="AY72" i="9"/>
  <c r="CF73" i="9" s="1"/>
  <c r="AL72" i="9"/>
  <c r="BS73" i="9" s="1"/>
  <c r="BA72" i="9"/>
  <c r="CH73" i="9" s="1"/>
  <c r="AP77" i="9"/>
  <c r="BW78" i="9" s="1"/>
  <c r="AS78" i="9"/>
  <c r="BZ79" i="9" s="1"/>
  <c r="AZ80" i="9"/>
  <c r="CG81" i="9" s="1"/>
  <c r="AG84" i="9"/>
  <c r="BN85" i="9" s="1"/>
  <c r="AH102" i="9"/>
  <c r="BO103" i="9" s="1"/>
  <c r="AJ75" i="9"/>
  <c r="BQ76" i="9" s="1"/>
  <c r="AJ81" i="9"/>
  <c r="BQ82" i="9" s="1"/>
  <c r="AM75" i="9"/>
  <c r="BT76" i="9" s="1"/>
  <c r="AM81" i="9"/>
  <c r="BT82" i="9" s="1"/>
  <c r="AX71" i="9"/>
  <c r="CE72" i="9" s="1"/>
  <c r="AL71" i="9"/>
  <c r="BS72" i="9" s="1"/>
  <c r="AI71" i="9"/>
  <c r="AV71" i="9"/>
  <c r="CC72" i="9" s="1"/>
  <c r="AU73" i="9"/>
  <c r="CB74" i="9" s="1"/>
  <c r="AI73" i="9"/>
  <c r="BP74" i="9" s="1"/>
  <c r="AT73" i="9"/>
  <c r="CA74" i="9" s="1"/>
  <c r="AH73" i="9"/>
  <c r="AS73" i="9"/>
  <c r="BZ74" i="9" s="1"/>
  <c r="AR73" i="9"/>
  <c r="BY74" i="9" s="1"/>
  <c r="AL73" i="9"/>
  <c r="BS74" i="9" s="1"/>
  <c r="BB73" i="9"/>
  <c r="CI74" i="9" s="1"/>
  <c r="AR75" i="9"/>
  <c r="BY76" i="9" s="1"/>
  <c r="AR81" i="9"/>
  <c r="BY82" i="9" s="1"/>
  <c r="AE86" i="9"/>
  <c r="AZ86" i="9"/>
  <c r="CG87" i="9" s="1"/>
  <c r="AD88" i="9"/>
  <c r="BK89" i="9" s="1"/>
  <c r="AQ100" i="9"/>
  <c r="BX101" i="9" s="1"/>
  <c r="AQ112" i="9"/>
  <c r="BX113" i="9" s="1"/>
  <c r="AE112" i="9"/>
  <c r="BL113" i="9" s="1"/>
  <c r="AX112" i="9"/>
  <c r="CE113" i="9" s="1"/>
  <c r="AL112" i="9"/>
  <c r="BS113" i="9" s="1"/>
  <c r="AT112" i="9"/>
  <c r="CA113" i="9" s="1"/>
  <c r="AH112" i="9"/>
  <c r="BO113" i="9" s="1"/>
  <c r="AO112" i="9"/>
  <c r="BV113" i="9" s="1"/>
  <c r="AN112" i="9"/>
  <c r="BU113" i="9" s="1"/>
  <c r="BA112" i="9"/>
  <c r="CH113" i="9" s="1"/>
  <c r="AK112" i="9"/>
  <c r="BR113" i="9" s="1"/>
  <c r="AV112" i="9"/>
  <c r="CC113" i="9" s="1"/>
  <c r="AF112" i="9"/>
  <c r="BM113" i="9" s="1"/>
  <c r="AI112" i="9"/>
  <c r="BP113" i="9" s="1"/>
  <c r="AG112" i="9"/>
  <c r="BN113" i="9" s="1"/>
  <c r="BB112" i="9"/>
  <c r="CI113" i="9" s="1"/>
  <c r="AD112" i="9"/>
  <c r="BK113" i="9" s="1"/>
  <c r="AZ112" i="9"/>
  <c r="CG113" i="9" s="1"/>
  <c r="AY112" i="9"/>
  <c r="CF113" i="9" s="1"/>
  <c r="AU112" i="9"/>
  <c r="CB113" i="9" s="1"/>
  <c r="AK88" i="9"/>
  <c r="BR89" i="9" s="1"/>
  <c r="AK71" i="9"/>
  <c r="BR72" i="9" s="1"/>
  <c r="AY71" i="9"/>
  <c r="AN73" i="9"/>
  <c r="BU74" i="9" s="1"/>
  <c r="AT75" i="9"/>
  <c r="CA76" i="9" s="1"/>
  <c r="AT81" i="9"/>
  <c r="CA82" i="9" s="1"/>
  <c r="AV100" i="9"/>
  <c r="CC101" i="9" s="1"/>
  <c r="AJ100" i="9"/>
  <c r="BQ101" i="9" s="1"/>
  <c r="AU100" i="9"/>
  <c r="CB101" i="9" s="1"/>
  <c r="AI100" i="9"/>
  <c r="BP101" i="9" s="1"/>
  <c r="AS100" i="9"/>
  <c r="BZ101" i="9" s="1"/>
  <c r="BA100" i="9"/>
  <c r="CH101" i="9" s="1"/>
  <c r="AO100" i="9"/>
  <c r="BV101" i="9" s="1"/>
  <c r="AN100" i="9"/>
  <c r="BU101" i="9" s="1"/>
  <c r="AM100" i="9"/>
  <c r="BT101" i="9" s="1"/>
  <c r="AL100" i="9"/>
  <c r="BS101" i="9" s="1"/>
  <c r="BB100" i="9"/>
  <c r="CI101" i="9" s="1"/>
  <c r="AK100" i="9"/>
  <c r="BR101" i="9" s="1"/>
  <c r="AZ100" i="9"/>
  <c r="CG101" i="9" s="1"/>
  <c r="AH100" i="9"/>
  <c r="BO101" i="9" s="1"/>
  <c r="AX100" i="9"/>
  <c r="CE101" i="9" s="1"/>
  <c r="AF100" i="9"/>
  <c r="AT100" i="9"/>
  <c r="CA101" i="9" s="1"/>
  <c r="AJ112" i="9"/>
  <c r="BQ113" i="9" s="1"/>
  <c r="AY86" i="9"/>
  <c r="CF87" i="9" s="1"/>
  <c r="AM86" i="9"/>
  <c r="BT87" i="9" s="1"/>
  <c r="AS86" i="9"/>
  <c r="BZ87" i="9" s="1"/>
  <c r="AG86" i="9"/>
  <c r="BN87" i="9" s="1"/>
  <c r="AQ86" i="9"/>
  <c r="BX87" i="9" s="1"/>
  <c r="AP86" i="9"/>
  <c r="BW87" i="9" s="1"/>
  <c r="AO86" i="9"/>
  <c r="BV87" i="9" s="1"/>
  <c r="BB86" i="9"/>
  <c r="CI87" i="9" s="1"/>
  <c r="AN86" i="9"/>
  <c r="BA86" i="9"/>
  <c r="CH87" i="9" s="1"/>
  <c r="AL86" i="9"/>
  <c r="BS87" i="9" s="1"/>
  <c r="AI86" i="9"/>
  <c r="BP87" i="9" s="1"/>
  <c r="AW100" i="9"/>
  <c r="CD101" i="9" s="1"/>
  <c r="AT105" i="9"/>
  <c r="CA106" i="9" s="1"/>
  <c r="AH105" i="9"/>
  <c r="BO106" i="9" s="1"/>
  <c r="AS105" i="9"/>
  <c r="AF105" i="9"/>
  <c r="BM106" i="9" s="1"/>
  <c r="AR105" i="9"/>
  <c r="BY106" i="9" s="1"/>
  <c r="AE105" i="9"/>
  <c r="AP105" i="9"/>
  <c r="BW106" i="9" s="1"/>
  <c r="AY105" i="9"/>
  <c r="CF106" i="9" s="1"/>
  <c r="AL105" i="9"/>
  <c r="BS106" i="9" s="1"/>
  <c r="AU105" i="9"/>
  <c r="CB106" i="9" s="1"/>
  <c r="AQ105" i="9"/>
  <c r="BX106" i="9" s="1"/>
  <c r="AO105" i="9"/>
  <c r="BV106" i="9" s="1"/>
  <c r="AN105" i="9"/>
  <c r="BU106" i="9" s="1"/>
  <c r="AM105" i="9"/>
  <c r="BT106" i="9" s="1"/>
  <c r="BB105" i="9"/>
  <c r="CI106" i="9" s="1"/>
  <c r="AJ105" i="9"/>
  <c r="BQ106" i="9" s="1"/>
  <c r="AG105" i="9"/>
  <c r="AM112" i="9"/>
  <c r="BT113" i="9" s="1"/>
  <c r="AQ75" i="9"/>
  <c r="BX76" i="9" s="1"/>
  <c r="AE75" i="9"/>
  <c r="BL76" i="9" s="1"/>
  <c r="BB75" i="9"/>
  <c r="CI76" i="9" s="1"/>
  <c r="AP75" i="9"/>
  <c r="BW76" i="9" s="1"/>
  <c r="AD75" i="9"/>
  <c r="BK76" i="9" s="1"/>
  <c r="BA75" i="9"/>
  <c r="CH76" i="9" s="1"/>
  <c r="AO75" i="9"/>
  <c r="BV76" i="9" s="1"/>
  <c r="AZ75" i="9"/>
  <c r="CG76" i="9" s="1"/>
  <c r="AN75" i="9"/>
  <c r="BU76" i="9" s="1"/>
  <c r="AF75" i="9"/>
  <c r="BM76" i="9" s="1"/>
  <c r="AV75" i="9"/>
  <c r="CC76" i="9" s="1"/>
  <c r="AQ81" i="9"/>
  <c r="BX82" i="9" s="1"/>
  <c r="AE81" i="9"/>
  <c r="BL82" i="9" s="1"/>
  <c r="BB81" i="9"/>
  <c r="CI82" i="9" s="1"/>
  <c r="AP81" i="9"/>
  <c r="BW82" i="9" s="1"/>
  <c r="AD81" i="9"/>
  <c r="BK82" i="9" s="1"/>
  <c r="BA81" i="9"/>
  <c r="CH82" i="9" s="1"/>
  <c r="AO81" i="9"/>
  <c r="BV82" i="9" s="1"/>
  <c r="AZ81" i="9"/>
  <c r="CG82" i="9" s="1"/>
  <c r="AN81" i="9"/>
  <c r="BU82" i="9" s="1"/>
  <c r="AF81" i="9"/>
  <c r="BM82" i="9" s="1"/>
  <c r="AV81" i="9"/>
  <c r="CC82" i="9" s="1"/>
  <c r="AJ86" i="9"/>
  <c r="BQ87" i="9" s="1"/>
  <c r="AU88" i="9"/>
  <c r="CB89" i="9" s="1"/>
  <c r="AI88" i="9"/>
  <c r="BP89" i="9" s="1"/>
  <c r="BA88" i="9"/>
  <c r="CH89" i="9" s="1"/>
  <c r="AO88" i="9"/>
  <c r="BV89" i="9" s="1"/>
  <c r="AX88" i="9"/>
  <c r="CE89" i="9" s="1"/>
  <c r="AJ88" i="9"/>
  <c r="BQ89" i="9" s="1"/>
  <c r="AW88" i="9"/>
  <c r="CD89" i="9" s="1"/>
  <c r="AH88" i="9"/>
  <c r="BO89" i="9" s="1"/>
  <c r="AV88" i="9"/>
  <c r="CC89" i="9" s="1"/>
  <c r="AG88" i="9"/>
  <c r="BN89" i="9" s="1"/>
  <c r="AT88" i="9"/>
  <c r="CA89" i="9" s="1"/>
  <c r="AF88" i="9"/>
  <c r="BM89" i="9" s="1"/>
  <c r="AS88" i="9"/>
  <c r="BZ89" i="9" s="1"/>
  <c r="AE88" i="9"/>
  <c r="BL89" i="9" s="1"/>
  <c r="AN88" i="9"/>
  <c r="BU89" i="9" s="1"/>
  <c r="AY100" i="9"/>
  <c r="CF101" i="9" s="1"/>
  <c r="AI105" i="9"/>
  <c r="BP106" i="9" s="1"/>
  <c r="AP112" i="9"/>
  <c r="BW113" i="9" s="1"/>
  <c r="AY132" i="9"/>
  <c r="CF133" i="9" s="1"/>
  <c r="AM132" i="9"/>
  <c r="BT133" i="9" s="1"/>
  <c r="AX132" i="9"/>
  <c r="CE133" i="9" s="1"/>
  <c r="AL132" i="9"/>
  <c r="BS133" i="9" s="1"/>
  <c r="AW132" i="9"/>
  <c r="CD133" i="9" s="1"/>
  <c r="AK132" i="9"/>
  <c r="BR133" i="9" s="1"/>
  <c r="AV132" i="9"/>
  <c r="CC133" i="9" s="1"/>
  <c r="AJ132" i="9"/>
  <c r="BQ133" i="9" s="1"/>
  <c r="AU132" i="9"/>
  <c r="CB133" i="9" s="1"/>
  <c r="AI132" i="9"/>
  <c r="BP133" i="9" s="1"/>
  <c r="AT132" i="9"/>
  <c r="CA133" i="9" s="1"/>
  <c r="AH132" i="9"/>
  <c r="BO133" i="9" s="1"/>
  <c r="BB132" i="9"/>
  <c r="CI133" i="9" s="1"/>
  <c r="AP132" i="9"/>
  <c r="BW133" i="9" s="1"/>
  <c r="AD132" i="9"/>
  <c r="BK133" i="9" s="1"/>
  <c r="BA132" i="9"/>
  <c r="CH133" i="9" s="1"/>
  <c r="AZ132" i="9"/>
  <c r="CG133" i="9" s="1"/>
  <c r="AN132" i="9"/>
  <c r="BU133" i="9" s="1"/>
  <c r="AS132" i="9"/>
  <c r="BZ133" i="9" s="1"/>
  <c r="AR132" i="9"/>
  <c r="BY133" i="9" s="1"/>
  <c r="AQ132" i="9"/>
  <c r="BX133" i="9" s="1"/>
  <c r="AE132" i="9"/>
  <c r="BL133" i="9" s="1"/>
  <c r="AO132" i="9"/>
  <c r="BV133" i="9" s="1"/>
  <c r="AG132" i="9"/>
  <c r="BN133" i="9" s="1"/>
  <c r="AF132" i="9"/>
  <c r="BM133" i="9" s="1"/>
  <c r="AQ93" i="9"/>
  <c r="BX94" i="9" s="1"/>
  <c r="AE93" i="9"/>
  <c r="BL94" i="9" s="1"/>
  <c r="AW93" i="9"/>
  <c r="CD94" i="9" s="1"/>
  <c r="AK93" i="9"/>
  <c r="BR94" i="9" s="1"/>
  <c r="AN93" i="9"/>
  <c r="BU94" i="9" s="1"/>
  <c r="BB93" i="9"/>
  <c r="CI94" i="9" s="1"/>
  <c r="AU97" i="9"/>
  <c r="CB98" i="9" s="1"/>
  <c r="AI97" i="9"/>
  <c r="BP98" i="9" s="1"/>
  <c r="BA97" i="9"/>
  <c r="CH98" i="9" s="1"/>
  <c r="AO97" i="9"/>
  <c r="BV98" i="9" s="1"/>
  <c r="AM97" i="9"/>
  <c r="BT98" i="9" s="1"/>
  <c r="BB97" i="9"/>
  <c r="CI98" i="9" s="1"/>
  <c r="AP93" i="9"/>
  <c r="BW94" i="9" s="1"/>
  <c r="AP97" i="9"/>
  <c r="BW98" i="9" s="1"/>
  <c r="AY126" i="9"/>
  <c r="CF127" i="9" s="1"/>
  <c r="AM126" i="9"/>
  <c r="BT127" i="9" s="1"/>
  <c r="AX126" i="9"/>
  <c r="CE127" i="9" s="1"/>
  <c r="AL126" i="9"/>
  <c r="BS127" i="9" s="1"/>
  <c r="AW126" i="9"/>
  <c r="CD127" i="9" s="1"/>
  <c r="AK126" i="9"/>
  <c r="BR127" i="9" s="1"/>
  <c r="AV126" i="9"/>
  <c r="CC127" i="9" s="1"/>
  <c r="AJ126" i="9"/>
  <c r="BQ127" i="9" s="1"/>
  <c r="AU126" i="9"/>
  <c r="CB127" i="9" s="1"/>
  <c r="AI126" i="9"/>
  <c r="BP127" i="9" s="1"/>
  <c r="AT126" i="9"/>
  <c r="CA127" i="9" s="1"/>
  <c r="AH126" i="9"/>
  <c r="BO127" i="9" s="1"/>
  <c r="BB126" i="9"/>
  <c r="CI127" i="9" s="1"/>
  <c r="AP126" i="9"/>
  <c r="BW127" i="9" s="1"/>
  <c r="AD126" i="9"/>
  <c r="BK127" i="9" s="1"/>
  <c r="AG126" i="9"/>
  <c r="BN127" i="9" s="1"/>
  <c r="AF126" i="9"/>
  <c r="BM127" i="9" s="1"/>
  <c r="AE126" i="9"/>
  <c r="BL127" i="9" s="1"/>
  <c r="AS126" i="9"/>
  <c r="BZ127" i="9" s="1"/>
  <c r="AY135" i="9"/>
  <c r="CF136" i="9" s="1"/>
  <c r="AM135" i="9"/>
  <c r="BT136" i="9" s="1"/>
  <c r="AX135" i="9"/>
  <c r="CE136" i="9" s="1"/>
  <c r="AL135" i="9"/>
  <c r="BS136" i="9" s="1"/>
  <c r="AW135" i="9"/>
  <c r="CD136" i="9" s="1"/>
  <c r="AK135" i="9"/>
  <c r="BR136" i="9" s="1"/>
  <c r="AV135" i="9"/>
  <c r="CC136" i="9" s="1"/>
  <c r="AJ135" i="9"/>
  <c r="BQ136" i="9" s="1"/>
  <c r="AU135" i="9"/>
  <c r="CB136" i="9" s="1"/>
  <c r="AI135" i="9"/>
  <c r="BP136" i="9" s="1"/>
  <c r="AT135" i="9"/>
  <c r="CA136" i="9" s="1"/>
  <c r="AH135" i="9"/>
  <c r="BO136" i="9" s="1"/>
  <c r="BB135" i="9"/>
  <c r="CI136" i="9" s="1"/>
  <c r="AP135" i="9"/>
  <c r="BW136" i="9" s="1"/>
  <c r="AD135" i="9"/>
  <c r="BK136" i="9" s="1"/>
  <c r="BA135" i="9"/>
  <c r="CH136" i="9" s="1"/>
  <c r="AO135" i="9"/>
  <c r="BV136" i="9" s="1"/>
  <c r="AZ135" i="9"/>
  <c r="CG136" i="9" s="1"/>
  <c r="AN135" i="9"/>
  <c r="BU136" i="9" s="1"/>
  <c r="AS135" i="9"/>
  <c r="BZ136" i="9" s="1"/>
  <c r="AR135" i="9"/>
  <c r="BY136" i="9" s="1"/>
  <c r="AE135" i="9"/>
  <c r="BL136" i="9" s="1"/>
  <c r="AF76" i="9"/>
  <c r="AR76" i="9"/>
  <c r="BY77" i="9" s="1"/>
  <c r="AF79" i="9"/>
  <c r="AR79" i="9"/>
  <c r="BY80" i="9" s="1"/>
  <c r="AF82" i="9"/>
  <c r="AR82" i="9"/>
  <c r="BY83" i="9" s="1"/>
  <c r="AF85" i="9"/>
  <c r="BM86" i="9" s="1"/>
  <c r="AR85" i="9"/>
  <c r="BY86" i="9" s="1"/>
  <c r="AJ87" i="9"/>
  <c r="BQ88" i="9" s="1"/>
  <c r="AY87" i="9"/>
  <c r="CF88" i="9" s="1"/>
  <c r="AQ90" i="9"/>
  <c r="BX91" i="9" s="1"/>
  <c r="AE90" i="9"/>
  <c r="AW90" i="9"/>
  <c r="CD91" i="9" s="1"/>
  <c r="AK90" i="9"/>
  <c r="BR91" i="9" s="1"/>
  <c r="AN90" i="9"/>
  <c r="BU91" i="9" s="1"/>
  <c r="BB90" i="9"/>
  <c r="CI91" i="9" s="1"/>
  <c r="AJ91" i="9"/>
  <c r="BQ92" i="9" s="1"/>
  <c r="AX91" i="9"/>
  <c r="CE92" i="9" s="1"/>
  <c r="AU94" i="9"/>
  <c r="CB95" i="9" s="1"/>
  <c r="AI94" i="9"/>
  <c r="BA94" i="9"/>
  <c r="CH95" i="9" s="1"/>
  <c r="AO94" i="9"/>
  <c r="BV95" i="9" s="1"/>
  <c r="AR93" i="9"/>
  <c r="BY94" i="9" s="1"/>
  <c r="AM94" i="9"/>
  <c r="BT95" i="9" s="1"/>
  <c r="BB94" i="9"/>
  <c r="CI95" i="9" s="1"/>
  <c r="AQ97" i="9"/>
  <c r="BX98" i="9" s="1"/>
  <c r="AL99" i="9"/>
  <c r="BS100" i="9" s="1"/>
  <c r="BA99" i="9"/>
  <c r="CH100" i="9" s="1"/>
  <c r="AI108" i="9"/>
  <c r="BP109" i="9" s="1"/>
  <c r="AY110" i="9"/>
  <c r="CF111" i="9" s="1"/>
  <c r="AU113" i="9"/>
  <c r="CB114" i="9" s="1"/>
  <c r="AI113" i="9"/>
  <c r="BP114" i="9" s="1"/>
  <c r="BB113" i="9"/>
  <c r="CI114" i="9" s="1"/>
  <c r="AP113" i="9"/>
  <c r="BW114" i="9" s="1"/>
  <c r="AD113" i="9"/>
  <c r="BK114" i="9" s="1"/>
  <c r="AX113" i="9"/>
  <c r="CE114" i="9" s="1"/>
  <c r="AL113" i="9"/>
  <c r="BS114" i="9" s="1"/>
  <c r="AN113" i="9"/>
  <c r="BU114" i="9" s="1"/>
  <c r="AM113" i="9"/>
  <c r="BT114" i="9" s="1"/>
  <c r="AZ113" i="9"/>
  <c r="CG114" i="9" s="1"/>
  <c r="AJ113" i="9"/>
  <c r="BQ114" i="9" s="1"/>
  <c r="AT113" i="9"/>
  <c r="CA114" i="9" s="1"/>
  <c r="AE113" i="9"/>
  <c r="BL114" i="9" s="1"/>
  <c r="AR113" i="9"/>
  <c r="BY114" i="9" s="1"/>
  <c r="AY129" i="9"/>
  <c r="CF130" i="9" s="1"/>
  <c r="AM129" i="9"/>
  <c r="BT130" i="9" s="1"/>
  <c r="AX129" i="9"/>
  <c r="CE130" i="9" s="1"/>
  <c r="AL129" i="9"/>
  <c r="BS130" i="9" s="1"/>
  <c r="AW129" i="9"/>
  <c r="CD130" i="9" s="1"/>
  <c r="AK129" i="9"/>
  <c r="BR130" i="9" s="1"/>
  <c r="AV129" i="9"/>
  <c r="CC130" i="9" s="1"/>
  <c r="AJ129" i="9"/>
  <c r="BQ130" i="9" s="1"/>
  <c r="AU129" i="9"/>
  <c r="CB130" i="9" s="1"/>
  <c r="AI129" i="9"/>
  <c r="BP130" i="9" s="1"/>
  <c r="AT129" i="9"/>
  <c r="CA130" i="9" s="1"/>
  <c r="AH129" i="9"/>
  <c r="BO130" i="9" s="1"/>
  <c r="BB129" i="9"/>
  <c r="CI130" i="9" s="1"/>
  <c r="AP129" i="9"/>
  <c r="BW130" i="9" s="1"/>
  <c r="AD129" i="9"/>
  <c r="BK130" i="9" s="1"/>
  <c r="AO129" i="9"/>
  <c r="BV130" i="9" s="1"/>
  <c r="AN129" i="9"/>
  <c r="BU130" i="9" s="1"/>
  <c r="AG129" i="9"/>
  <c r="BN130" i="9" s="1"/>
  <c r="AF129" i="9"/>
  <c r="BM130" i="9" s="1"/>
  <c r="BA129" i="9"/>
  <c r="CH130" i="9" s="1"/>
  <c r="AQ133" i="9"/>
  <c r="BX134" i="9" s="1"/>
  <c r="AE133" i="9"/>
  <c r="BL134" i="9" s="1"/>
  <c r="BB133" i="9"/>
  <c r="CI134" i="9" s="1"/>
  <c r="AP133" i="9"/>
  <c r="BW134" i="9" s="1"/>
  <c r="AD133" i="9"/>
  <c r="BK134" i="9" s="1"/>
  <c r="BA133" i="9"/>
  <c r="CH134" i="9" s="1"/>
  <c r="AO133" i="9"/>
  <c r="BV134" i="9" s="1"/>
  <c r="AZ133" i="9"/>
  <c r="CG134" i="9" s="1"/>
  <c r="AN133" i="9"/>
  <c r="BU134" i="9" s="1"/>
  <c r="AY133" i="9"/>
  <c r="CF134" i="9" s="1"/>
  <c r="AM133" i="9"/>
  <c r="BT134" i="9" s="1"/>
  <c r="AX133" i="9"/>
  <c r="CE134" i="9" s="1"/>
  <c r="AL133" i="9"/>
  <c r="BS134" i="9" s="1"/>
  <c r="AT133" i="9"/>
  <c r="CA134" i="9" s="1"/>
  <c r="AH133" i="9"/>
  <c r="BO134" i="9" s="1"/>
  <c r="AS133" i="9"/>
  <c r="BZ134" i="9" s="1"/>
  <c r="AG133" i="9"/>
  <c r="BN134" i="9" s="1"/>
  <c r="AR133" i="9"/>
  <c r="BY134" i="9" s="1"/>
  <c r="AF133" i="9"/>
  <c r="BM134" i="9" s="1"/>
  <c r="AW133" i="9"/>
  <c r="CD134" i="9" s="1"/>
  <c r="AV133" i="9"/>
  <c r="CC134" i="9" s="1"/>
  <c r="AI133" i="9"/>
  <c r="BP134" i="9" s="1"/>
  <c r="AG76" i="9"/>
  <c r="BN77" i="9" s="1"/>
  <c r="AS76" i="9"/>
  <c r="BZ77" i="9" s="1"/>
  <c r="AG79" i="9"/>
  <c r="AS79" i="9"/>
  <c r="BZ80" i="9" s="1"/>
  <c r="AG82" i="9"/>
  <c r="BN83" i="9" s="1"/>
  <c r="AS82" i="9"/>
  <c r="BZ83" i="9" s="1"/>
  <c r="AG85" i="9"/>
  <c r="BN86" i="9" s="1"/>
  <c r="AS85" i="9"/>
  <c r="BZ86" i="9" s="1"/>
  <c r="AL87" i="9"/>
  <c r="BS88" i="9" s="1"/>
  <c r="AZ87" i="9"/>
  <c r="CG88" i="9" s="1"/>
  <c r="AO90" i="9"/>
  <c r="BV91" i="9" s="1"/>
  <c r="AK91" i="9"/>
  <c r="BR92" i="9" s="1"/>
  <c r="AY91" i="9"/>
  <c r="CF92" i="9" s="1"/>
  <c r="AD93" i="9"/>
  <c r="BK94" i="9" s="1"/>
  <c r="AS93" i="9"/>
  <c r="BZ94" i="9" s="1"/>
  <c r="AN94" i="9"/>
  <c r="BU95" i="9" s="1"/>
  <c r="AD97" i="9"/>
  <c r="BK98" i="9" s="1"/>
  <c r="AR97" i="9"/>
  <c r="BY98" i="9" s="1"/>
  <c r="AM99" i="9"/>
  <c r="BT100" i="9" s="1"/>
  <c r="BB99" i="9"/>
  <c r="CI100" i="9" s="1"/>
  <c r="AJ108" i="9"/>
  <c r="BQ109" i="9" s="1"/>
  <c r="AY111" i="9"/>
  <c r="CF112" i="9" s="1"/>
  <c r="AM111" i="9"/>
  <c r="BT112" i="9" s="1"/>
  <c r="AT111" i="9"/>
  <c r="CA112" i="9" s="1"/>
  <c r="AH111" i="9"/>
  <c r="BO112" i="9" s="1"/>
  <c r="BB111" i="9"/>
  <c r="CI112" i="9" s="1"/>
  <c r="AP111" i="9"/>
  <c r="BW112" i="9" s="1"/>
  <c r="AD111" i="9"/>
  <c r="BK112" i="9" s="1"/>
  <c r="AQ111" i="9"/>
  <c r="BX112" i="9" s="1"/>
  <c r="AO111" i="9"/>
  <c r="BV112" i="9" s="1"/>
  <c r="AL111" i="9"/>
  <c r="BS112" i="9" s="1"/>
  <c r="AW111" i="9"/>
  <c r="CD112" i="9" s="1"/>
  <c r="AG111" i="9"/>
  <c r="BN112" i="9" s="1"/>
  <c r="AZ110" i="9"/>
  <c r="CG111" i="9" s="1"/>
  <c r="AR111" i="9"/>
  <c r="BY112" i="9" s="1"/>
  <c r="AS113" i="9"/>
  <c r="BZ114" i="9" s="1"/>
  <c r="AH76" i="9"/>
  <c r="BO77" i="9" s="1"/>
  <c r="AT76" i="9"/>
  <c r="CA77" i="9" s="1"/>
  <c r="AH79" i="9"/>
  <c r="BO80" i="9" s="1"/>
  <c r="AT79" i="9"/>
  <c r="CA80" i="9" s="1"/>
  <c r="AH82" i="9"/>
  <c r="BO83" i="9" s="1"/>
  <c r="AT82" i="9"/>
  <c r="CA83" i="9" s="1"/>
  <c r="AH85" i="9"/>
  <c r="AT85" i="9"/>
  <c r="CA86" i="9" s="1"/>
  <c r="AM87" i="9"/>
  <c r="BT88" i="9" s="1"/>
  <c r="AP90" i="9"/>
  <c r="BW91" i="9" s="1"/>
  <c r="AL91" i="9"/>
  <c r="BS92" i="9" s="1"/>
  <c r="AF93" i="9"/>
  <c r="BM94" i="9" s="1"/>
  <c r="AT93" i="9"/>
  <c r="CA94" i="9" s="1"/>
  <c r="AP94" i="9"/>
  <c r="BW95" i="9" s="1"/>
  <c r="AE97" i="9"/>
  <c r="BL98" i="9" s="1"/>
  <c r="AS97" i="9"/>
  <c r="BZ98" i="9" s="1"/>
  <c r="AU107" i="9"/>
  <c r="CB108" i="9" s="1"/>
  <c r="AI107" i="9"/>
  <c r="BP108" i="9" s="1"/>
  <c r="BB107" i="9"/>
  <c r="CI108" i="9" s="1"/>
  <c r="AP107" i="9"/>
  <c r="BW108" i="9" s="1"/>
  <c r="AD107" i="9"/>
  <c r="BK108" i="9" s="1"/>
  <c r="AX107" i="9"/>
  <c r="CE108" i="9" s="1"/>
  <c r="AJ107" i="9"/>
  <c r="BQ108" i="9" s="1"/>
  <c r="AW107" i="9"/>
  <c r="CD108" i="9" s="1"/>
  <c r="AH107" i="9"/>
  <c r="BO108" i="9" s="1"/>
  <c r="AT107" i="9"/>
  <c r="CA108" i="9" s="1"/>
  <c r="AF107" i="9"/>
  <c r="BM108" i="9" s="1"/>
  <c r="AO107" i="9"/>
  <c r="BV108" i="9" s="1"/>
  <c r="AY107" i="9"/>
  <c r="CF108" i="9" s="1"/>
  <c r="AE110" i="9"/>
  <c r="BL111" i="9" s="1"/>
  <c r="AS111" i="9"/>
  <c r="BZ112" i="9" s="1"/>
  <c r="AV113" i="9"/>
  <c r="CC114" i="9" s="1"/>
  <c r="AQ118" i="9"/>
  <c r="BX119" i="9" s="1"/>
  <c r="AE118" i="9"/>
  <c r="BL119" i="9" s="1"/>
  <c r="BA118" i="9"/>
  <c r="CH119" i="9" s="1"/>
  <c r="AO118" i="9"/>
  <c r="BV119" i="9" s="1"/>
  <c r="AZ118" i="9"/>
  <c r="CG119" i="9" s="1"/>
  <c r="AN118" i="9"/>
  <c r="BU119" i="9" s="1"/>
  <c r="AY118" i="9"/>
  <c r="CF119" i="9" s="1"/>
  <c r="AM118" i="9"/>
  <c r="BT119" i="9" s="1"/>
  <c r="AX118" i="9"/>
  <c r="CE119" i="9" s="1"/>
  <c r="AL118" i="9"/>
  <c r="BS119" i="9" s="1"/>
  <c r="AT118" i="9"/>
  <c r="CA119" i="9" s="1"/>
  <c r="AH118" i="9"/>
  <c r="BO119" i="9" s="1"/>
  <c r="AV118" i="9"/>
  <c r="CC119" i="9" s="1"/>
  <c r="AU118" i="9"/>
  <c r="CB119" i="9" s="1"/>
  <c r="AS118" i="9"/>
  <c r="BZ119" i="9" s="1"/>
  <c r="AR118" i="9"/>
  <c r="BY119" i="9" s="1"/>
  <c r="AI118" i="9"/>
  <c r="BP119" i="9" s="1"/>
  <c r="AF118" i="9"/>
  <c r="AY120" i="9"/>
  <c r="CF121" i="9" s="1"/>
  <c r="AM120" i="9"/>
  <c r="BT121" i="9" s="1"/>
  <c r="AW120" i="9"/>
  <c r="CD121" i="9" s="1"/>
  <c r="AK120" i="9"/>
  <c r="BR121" i="9" s="1"/>
  <c r="AV120" i="9"/>
  <c r="CC121" i="9" s="1"/>
  <c r="AJ120" i="9"/>
  <c r="BQ121" i="9" s="1"/>
  <c r="AU120" i="9"/>
  <c r="CB121" i="9" s="1"/>
  <c r="AI120" i="9"/>
  <c r="BP121" i="9" s="1"/>
  <c r="AT120" i="9"/>
  <c r="CA121" i="9" s="1"/>
  <c r="AH120" i="9"/>
  <c r="BO121" i="9" s="1"/>
  <c r="BB120" i="9"/>
  <c r="CI121" i="9" s="1"/>
  <c r="AP120" i="9"/>
  <c r="BW121" i="9" s="1"/>
  <c r="AD120" i="9"/>
  <c r="BK121" i="9" s="1"/>
  <c r="AE120" i="9"/>
  <c r="BL121" i="9" s="1"/>
  <c r="BA120" i="9"/>
  <c r="CH121" i="9" s="1"/>
  <c r="AZ120" i="9"/>
  <c r="CG121" i="9" s="1"/>
  <c r="AX120" i="9"/>
  <c r="CE121" i="9" s="1"/>
  <c r="AO120" i="9"/>
  <c r="BV121" i="9" s="1"/>
  <c r="AY123" i="9"/>
  <c r="CF124" i="9" s="1"/>
  <c r="AM123" i="9"/>
  <c r="BT124" i="9" s="1"/>
  <c r="AX123" i="9"/>
  <c r="CE124" i="9" s="1"/>
  <c r="AL123" i="9"/>
  <c r="BS124" i="9" s="1"/>
  <c r="AW123" i="9"/>
  <c r="CD124" i="9" s="1"/>
  <c r="AK123" i="9"/>
  <c r="BR124" i="9" s="1"/>
  <c r="AV123" i="9"/>
  <c r="CC124" i="9" s="1"/>
  <c r="AJ123" i="9"/>
  <c r="BQ124" i="9" s="1"/>
  <c r="AU123" i="9"/>
  <c r="CB124" i="9" s="1"/>
  <c r="AI123" i="9"/>
  <c r="BP124" i="9" s="1"/>
  <c r="AT123" i="9"/>
  <c r="CA124" i="9" s="1"/>
  <c r="AH123" i="9"/>
  <c r="BO124" i="9" s="1"/>
  <c r="BB123" i="9"/>
  <c r="CI124" i="9" s="1"/>
  <c r="AP123" i="9"/>
  <c r="BW124" i="9" s="1"/>
  <c r="AD123" i="9"/>
  <c r="BK124" i="9" s="1"/>
  <c r="AE123" i="9"/>
  <c r="BL124" i="9" s="1"/>
  <c r="BA123" i="9"/>
  <c r="CH124" i="9" s="1"/>
  <c r="AQ123" i="9"/>
  <c r="BX124" i="9" s="1"/>
  <c r="AF135" i="9"/>
  <c r="BM136" i="9" s="1"/>
  <c r="AI76" i="9"/>
  <c r="BP77" i="9" s="1"/>
  <c r="AI79" i="9"/>
  <c r="BP80" i="9" s="1"/>
  <c r="AI82" i="9"/>
  <c r="BP83" i="9" s="1"/>
  <c r="AI85" i="9"/>
  <c r="BP86" i="9" s="1"/>
  <c r="AU85" i="9"/>
  <c r="CB86" i="9" s="1"/>
  <c r="AQ87" i="9"/>
  <c r="BX88" i="9" s="1"/>
  <c r="AE87" i="9"/>
  <c r="AW87" i="9"/>
  <c r="CD88" i="9" s="1"/>
  <c r="AK87" i="9"/>
  <c r="BR88" i="9" s="1"/>
  <c r="AN87" i="9"/>
  <c r="BU88" i="9" s="1"/>
  <c r="BB87" i="9"/>
  <c r="CI88" i="9" s="1"/>
  <c r="AU91" i="9"/>
  <c r="CB92" i="9" s="1"/>
  <c r="AI91" i="9"/>
  <c r="BA91" i="9"/>
  <c r="CH92" i="9" s="1"/>
  <c r="AO91" i="9"/>
  <c r="AR90" i="9"/>
  <c r="BY91" i="9" s="1"/>
  <c r="AM91" i="9"/>
  <c r="BT92" i="9" s="1"/>
  <c r="BB91" i="9"/>
  <c r="CI92" i="9" s="1"/>
  <c r="AG93" i="9"/>
  <c r="BN94" i="9" s="1"/>
  <c r="AU93" i="9"/>
  <c r="CB94" i="9" s="1"/>
  <c r="AQ94" i="9"/>
  <c r="BX95" i="9" s="1"/>
  <c r="AF97" i="9"/>
  <c r="BM98" i="9" s="1"/>
  <c r="AT97" i="9"/>
  <c r="CA98" i="9" s="1"/>
  <c r="AR99" i="9"/>
  <c r="BY100" i="9" s="1"/>
  <c r="AF99" i="9"/>
  <c r="BM100" i="9" s="1"/>
  <c r="AQ99" i="9"/>
  <c r="BX100" i="9" s="1"/>
  <c r="AE99" i="9"/>
  <c r="AW99" i="9"/>
  <c r="CD100" i="9" s="1"/>
  <c r="AK99" i="9"/>
  <c r="BR100" i="9" s="1"/>
  <c r="AO99" i="9"/>
  <c r="BV100" i="9" s="1"/>
  <c r="AY108" i="9"/>
  <c r="CF109" i="9" s="1"/>
  <c r="AM108" i="9"/>
  <c r="BT109" i="9" s="1"/>
  <c r="AT108" i="9"/>
  <c r="CA109" i="9" s="1"/>
  <c r="AH108" i="9"/>
  <c r="BO109" i="9" s="1"/>
  <c r="AU108" i="9"/>
  <c r="CB109" i="9" s="1"/>
  <c r="AF108" i="9"/>
  <c r="BM109" i="9" s="1"/>
  <c r="AS108" i="9"/>
  <c r="BZ109" i="9" s="1"/>
  <c r="AE108" i="9"/>
  <c r="AQ108" i="9"/>
  <c r="BX109" i="9" s="1"/>
  <c r="BA108" i="9"/>
  <c r="CH109" i="9" s="1"/>
  <c r="AL108" i="9"/>
  <c r="AN108" i="9"/>
  <c r="BU109" i="9" s="1"/>
  <c r="AU110" i="9"/>
  <c r="CB111" i="9" s="1"/>
  <c r="AI110" i="9"/>
  <c r="BP111" i="9" s="1"/>
  <c r="BB110" i="9"/>
  <c r="CI111" i="9" s="1"/>
  <c r="AP110" i="9"/>
  <c r="BW111" i="9" s="1"/>
  <c r="AD110" i="9"/>
  <c r="BK111" i="9" s="1"/>
  <c r="AX110" i="9"/>
  <c r="CE111" i="9" s="1"/>
  <c r="AL110" i="9"/>
  <c r="BS111" i="9" s="1"/>
  <c r="AQ110" i="9"/>
  <c r="BX111" i="9" s="1"/>
  <c r="AO110" i="9"/>
  <c r="BV111" i="9" s="1"/>
  <c r="AM110" i="9"/>
  <c r="BT111" i="9" s="1"/>
  <c r="AW110" i="9"/>
  <c r="CD111" i="9" s="1"/>
  <c r="AG110" i="9"/>
  <c r="BN111" i="9" s="1"/>
  <c r="AF110" i="9"/>
  <c r="BM111" i="9" s="1"/>
  <c r="AU111" i="9"/>
  <c r="CB112" i="9" s="1"/>
  <c r="AW113" i="9"/>
  <c r="CD114" i="9" s="1"/>
  <c r="AN126" i="9"/>
  <c r="BU127" i="9" s="1"/>
  <c r="AQ130" i="9"/>
  <c r="BX131" i="9" s="1"/>
  <c r="AE130" i="9"/>
  <c r="BL131" i="9" s="1"/>
  <c r="BB130" i="9"/>
  <c r="CI131" i="9" s="1"/>
  <c r="AP130" i="9"/>
  <c r="BW131" i="9" s="1"/>
  <c r="AD130" i="9"/>
  <c r="BK131" i="9" s="1"/>
  <c r="BA130" i="9"/>
  <c r="CH131" i="9" s="1"/>
  <c r="AO130" i="9"/>
  <c r="BV131" i="9" s="1"/>
  <c r="AZ130" i="9"/>
  <c r="CG131" i="9" s="1"/>
  <c r="AN130" i="9"/>
  <c r="BU131" i="9" s="1"/>
  <c r="AY130" i="9"/>
  <c r="CF131" i="9" s="1"/>
  <c r="AM130" i="9"/>
  <c r="BT131" i="9" s="1"/>
  <c r="AX130" i="9"/>
  <c r="CE131" i="9" s="1"/>
  <c r="AL130" i="9"/>
  <c r="BS131" i="9" s="1"/>
  <c r="AT130" i="9"/>
  <c r="CA131" i="9" s="1"/>
  <c r="AH130" i="9"/>
  <c r="BO131" i="9" s="1"/>
  <c r="AG130" i="9"/>
  <c r="BN131" i="9" s="1"/>
  <c r="AF130" i="9"/>
  <c r="BM131" i="9" s="1"/>
  <c r="AS130" i="9"/>
  <c r="BZ131" i="9" s="1"/>
  <c r="AJ130" i="9"/>
  <c r="BQ131" i="9" s="1"/>
  <c r="AG135" i="9"/>
  <c r="BN136" i="9" s="1"/>
  <c r="AG89" i="9"/>
  <c r="BN90" i="9" s="1"/>
  <c r="AS89" i="9"/>
  <c r="BZ90" i="9" s="1"/>
  <c r="AG92" i="9"/>
  <c r="AS92" i="9"/>
  <c r="BZ93" i="9" s="1"/>
  <c r="AG95" i="9"/>
  <c r="AS95" i="9"/>
  <c r="BZ96" i="9" s="1"/>
  <c r="AG98" i="9"/>
  <c r="AS98" i="9"/>
  <c r="BZ99" i="9" s="1"/>
  <c r="AG101" i="9"/>
  <c r="AS101" i="9"/>
  <c r="BZ102" i="9" s="1"/>
  <c r="AO103" i="9"/>
  <c r="BV104" i="9" s="1"/>
  <c r="BA103" i="9"/>
  <c r="CH104" i="9" s="1"/>
  <c r="AG104" i="9"/>
  <c r="BN105" i="9" s="1"/>
  <c r="AS104" i="9"/>
  <c r="BZ105" i="9" s="1"/>
  <c r="AY117" i="9"/>
  <c r="CF118" i="9" s="1"/>
  <c r="AM117" i="9"/>
  <c r="BT118" i="9" s="1"/>
  <c r="AW117" i="9"/>
  <c r="CD118" i="9" s="1"/>
  <c r="AK117" i="9"/>
  <c r="BR118" i="9" s="1"/>
  <c r="AV117" i="9"/>
  <c r="CC118" i="9" s="1"/>
  <c r="AJ117" i="9"/>
  <c r="BQ118" i="9" s="1"/>
  <c r="AU117" i="9"/>
  <c r="CB118" i="9" s="1"/>
  <c r="AI117" i="9"/>
  <c r="BP118" i="9" s="1"/>
  <c r="AT117" i="9"/>
  <c r="CA118" i="9" s="1"/>
  <c r="AH117" i="9"/>
  <c r="BO118" i="9" s="1"/>
  <c r="BB117" i="9"/>
  <c r="CI118" i="9" s="1"/>
  <c r="AP117" i="9"/>
  <c r="BW118" i="9" s="1"/>
  <c r="AD117" i="9"/>
  <c r="BK118" i="9" s="1"/>
  <c r="AS117" i="9"/>
  <c r="BZ118" i="9" s="1"/>
  <c r="AF121" i="9"/>
  <c r="BM122" i="9" s="1"/>
  <c r="AI124" i="9"/>
  <c r="BP125" i="9" s="1"/>
  <c r="AG103" i="9"/>
  <c r="AS103" i="9"/>
  <c r="BZ104" i="9" s="1"/>
  <c r="AK104" i="9"/>
  <c r="AW104" i="9"/>
  <c r="CD105" i="9" s="1"/>
  <c r="AQ106" i="9"/>
  <c r="BX107" i="9" s="1"/>
  <c r="AX106" i="9"/>
  <c r="CE107" i="9" s="1"/>
  <c r="AL106" i="9"/>
  <c r="BS107" i="9" s="1"/>
  <c r="AI106" i="9"/>
  <c r="AW106" i="9"/>
  <c r="CD107" i="9" s="1"/>
  <c r="AQ109" i="9"/>
  <c r="BX110" i="9" s="1"/>
  <c r="AE109" i="9"/>
  <c r="AX109" i="9"/>
  <c r="CE110" i="9" s="1"/>
  <c r="AL109" i="9"/>
  <c r="BS110" i="9" s="1"/>
  <c r="AT109" i="9"/>
  <c r="CA110" i="9" s="1"/>
  <c r="AH109" i="9"/>
  <c r="BO110" i="9" s="1"/>
  <c r="AN109" i="9"/>
  <c r="BU110" i="9" s="1"/>
  <c r="AE117" i="9"/>
  <c r="BL118" i="9" s="1"/>
  <c r="AK121" i="9"/>
  <c r="BR122" i="9" s="1"/>
  <c r="AS124" i="9"/>
  <c r="BZ125" i="9" s="1"/>
  <c r="AQ127" i="9"/>
  <c r="BX128" i="9" s="1"/>
  <c r="AE127" i="9"/>
  <c r="BL128" i="9" s="1"/>
  <c r="BB127" i="9"/>
  <c r="CI128" i="9" s="1"/>
  <c r="AP127" i="9"/>
  <c r="BW128" i="9" s="1"/>
  <c r="AD127" i="9"/>
  <c r="BK128" i="9" s="1"/>
  <c r="BA127" i="9"/>
  <c r="CH128" i="9" s="1"/>
  <c r="AO127" i="9"/>
  <c r="BV128" i="9" s="1"/>
  <c r="AZ127" i="9"/>
  <c r="CG128" i="9" s="1"/>
  <c r="AN127" i="9"/>
  <c r="BU128" i="9" s="1"/>
  <c r="AY127" i="9"/>
  <c r="CF128" i="9" s="1"/>
  <c r="AM127" i="9"/>
  <c r="BT128" i="9" s="1"/>
  <c r="AX127" i="9"/>
  <c r="CE128" i="9" s="1"/>
  <c r="AL127" i="9"/>
  <c r="BS128" i="9" s="1"/>
  <c r="AT127" i="9"/>
  <c r="CA128" i="9" s="1"/>
  <c r="AH127" i="9"/>
  <c r="BO128" i="9" s="1"/>
  <c r="AV127" i="9"/>
  <c r="CC128" i="9" s="1"/>
  <c r="AM89" i="9"/>
  <c r="BT90" i="9" s="1"/>
  <c r="AM92" i="9"/>
  <c r="BT93" i="9" s="1"/>
  <c r="AM95" i="9"/>
  <c r="AM98" i="9"/>
  <c r="BT99" i="9" s="1"/>
  <c r="AM101" i="9"/>
  <c r="BT102" i="9" s="1"/>
  <c r="AI103" i="9"/>
  <c r="AM104" i="9"/>
  <c r="BT105" i="9" s="1"/>
  <c r="AG117" i="9"/>
  <c r="BN118" i="9" s="1"/>
  <c r="AQ121" i="9"/>
  <c r="BX122" i="9" s="1"/>
  <c r="AE121" i="9"/>
  <c r="BL122" i="9" s="1"/>
  <c r="BB121" i="9"/>
  <c r="CI122" i="9" s="1"/>
  <c r="AP121" i="9"/>
  <c r="BW122" i="9" s="1"/>
  <c r="AD121" i="9"/>
  <c r="BK122" i="9" s="1"/>
  <c r="BA121" i="9"/>
  <c r="CH122" i="9" s="1"/>
  <c r="AO121" i="9"/>
  <c r="BV122" i="9" s="1"/>
  <c r="AZ121" i="9"/>
  <c r="CG122" i="9" s="1"/>
  <c r="AN121" i="9"/>
  <c r="BU122" i="9" s="1"/>
  <c r="AY121" i="9"/>
  <c r="CF122" i="9" s="1"/>
  <c r="AM121" i="9"/>
  <c r="BT122" i="9" s="1"/>
  <c r="AX121" i="9"/>
  <c r="CE122" i="9" s="1"/>
  <c r="AL121" i="9"/>
  <c r="BS122" i="9" s="1"/>
  <c r="AT121" i="9"/>
  <c r="CA122" i="9" s="1"/>
  <c r="AH121" i="9"/>
  <c r="BO122" i="9" s="1"/>
  <c r="AS121" i="9"/>
  <c r="BZ122" i="9" s="1"/>
  <c r="AQ124" i="9"/>
  <c r="BX125" i="9" s="1"/>
  <c r="AE124" i="9"/>
  <c r="BL125" i="9" s="1"/>
  <c r="BB124" i="9"/>
  <c r="CI125" i="9" s="1"/>
  <c r="AP124" i="9"/>
  <c r="BW125" i="9" s="1"/>
  <c r="AD124" i="9"/>
  <c r="BK125" i="9" s="1"/>
  <c r="BA124" i="9"/>
  <c r="CH125" i="9" s="1"/>
  <c r="AO124" i="9"/>
  <c r="BV125" i="9" s="1"/>
  <c r="AZ124" i="9"/>
  <c r="CG125" i="9" s="1"/>
  <c r="AN124" i="9"/>
  <c r="BU125" i="9" s="1"/>
  <c r="AY124" i="9"/>
  <c r="CF125" i="9" s="1"/>
  <c r="AM124" i="9"/>
  <c r="BT125" i="9" s="1"/>
  <c r="AX124" i="9"/>
  <c r="CE125" i="9" s="1"/>
  <c r="AL124" i="9"/>
  <c r="BS125" i="9" s="1"/>
  <c r="AT124" i="9"/>
  <c r="CA125" i="9" s="1"/>
  <c r="AH124" i="9"/>
  <c r="BO125" i="9" s="1"/>
  <c r="AV124" i="9"/>
  <c r="CC125" i="9" s="1"/>
  <c r="AL117" i="9"/>
  <c r="BS118" i="9" s="1"/>
  <c r="AU121" i="9"/>
  <c r="CB122" i="9" s="1"/>
  <c r="AW124" i="9"/>
  <c r="CD125" i="9" s="1"/>
  <c r="AF136" i="9"/>
  <c r="BM137" i="9" s="1"/>
  <c r="AR136" i="9"/>
  <c r="BY137" i="9" s="1"/>
  <c r="AG136" i="9"/>
  <c r="BN137" i="9" s="1"/>
  <c r="AS136" i="9"/>
  <c r="BZ137" i="9" s="1"/>
  <c r="AL116" i="9"/>
  <c r="BS117" i="9" s="1"/>
  <c r="AX116" i="9"/>
  <c r="CE117" i="9" s="1"/>
  <c r="AL119" i="9"/>
  <c r="BS120" i="9" s="1"/>
  <c r="AX119" i="9"/>
  <c r="CE120" i="9" s="1"/>
  <c r="AL122" i="9"/>
  <c r="BS123" i="9" s="1"/>
  <c r="AX122" i="9"/>
  <c r="CE123" i="9" s="1"/>
  <c r="AL125" i="9"/>
  <c r="BS126" i="9" s="1"/>
  <c r="AX125" i="9"/>
  <c r="CE126" i="9" s="1"/>
  <c r="AL128" i="9"/>
  <c r="BS129" i="9" s="1"/>
  <c r="AX128" i="9"/>
  <c r="CE129" i="9" s="1"/>
  <c r="AL131" i="9"/>
  <c r="BS132" i="9" s="1"/>
  <c r="AX131" i="9"/>
  <c r="CE132" i="9" s="1"/>
  <c r="AL134" i="9"/>
  <c r="BS135" i="9" s="1"/>
  <c r="AX134" i="9"/>
  <c r="CE135" i="9" s="1"/>
  <c r="AH136" i="9"/>
  <c r="BO137" i="9" s="1"/>
  <c r="AT136" i="9"/>
  <c r="CA137" i="9" s="1"/>
  <c r="AM137" i="9"/>
  <c r="BT138" i="9" s="1"/>
  <c r="AY137" i="9"/>
  <c r="CF138" i="9" s="1"/>
  <c r="AD116" i="9"/>
  <c r="BK117" i="9" s="1"/>
  <c r="AP116" i="9"/>
  <c r="BW117" i="9" s="1"/>
  <c r="BB116" i="9"/>
  <c r="CI117" i="9" s="1"/>
  <c r="AD119" i="9"/>
  <c r="BK120" i="9" s="1"/>
  <c r="AP119" i="9"/>
  <c r="BW120" i="9" s="1"/>
  <c r="BB119" i="9"/>
  <c r="CI120" i="9" s="1"/>
  <c r="AD122" i="9"/>
  <c r="BK123" i="9" s="1"/>
  <c r="AP122" i="9"/>
  <c r="BW123" i="9" s="1"/>
  <c r="BB122" i="9"/>
  <c r="CI123" i="9" s="1"/>
  <c r="AD125" i="9"/>
  <c r="BK126" i="9" s="1"/>
  <c r="AP125" i="9"/>
  <c r="BW126" i="9" s="1"/>
  <c r="BB125" i="9"/>
  <c r="CI126" i="9" s="1"/>
  <c r="AD128" i="9"/>
  <c r="BK129" i="9" s="1"/>
  <c r="AP128" i="9"/>
  <c r="BW129" i="9" s="1"/>
  <c r="BB128" i="9"/>
  <c r="CI129" i="9" s="1"/>
  <c r="AD131" i="9"/>
  <c r="BK132" i="9" s="1"/>
  <c r="AP131" i="9"/>
  <c r="BW132" i="9" s="1"/>
  <c r="BB131" i="9"/>
  <c r="CI132" i="9" s="1"/>
  <c r="AD134" i="9"/>
  <c r="BK135" i="9" s="1"/>
  <c r="AP134" i="9"/>
  <c r="BW135" i="9" s="1"/>
  <c r="BB134" i="9"/>
  <c r="CI135" i="9" s="1"/>
  <c r="AL136" i="9"/>
  <c r="BS137" i="9" s="1"/>
  <c r="AX136" i="9"/>
  <c r="CE137" i="9" s="1"/>
  <c r="AE137" i="9"/>
  <c r="AQ137" i="9"/>
  <c r="BX138" i="9" s="1"/>
  <c r="AE116" i="9"/>
  <c r="BL117" i="9" s="1"/>
  <c r="AQ116" i="9"/>
  <c r="BX117" i="9" s="1"/>
  <c r="AE119" i="9"/>
  <c r="BL120" i="9" s="1"/>
  <c r="AQ119" i="9"/>
  <c r="BX120" i="9" s="1"/>
  <c r="AE122" i="9"/>
  <c r="BL123" i="9" s="1"/>
  <c r="AQ122" i="9"/>
  <c r="BX123" i="9" s="1"/>
  <c r="AE125" i="9"/>
  <c r="BL126" i="9" s="1"/>
  <c r="AQ125" i="9"/>
  <c r="BX126" i="9" s="1"/>
  <c r="AE128" i="9"/>
  <c r="BL129" i="9" s="1"/>
  <c r="AQ128" i="9"/>
  <c r="BX129" i="9" s="1"/>
  <c r="AE131" i="9"/>
  <c r="BL132" i="9" s="1"/>
  <c r="AQ131" i="9"/>
  <c r="BX132" i="9" s="1"/>
  <c r="AE134" i="9"/>
  <c r="BL135" i="9" s="1"/>
  <c r="AQ134" i="9"/>
  <c r="BX135" i="9" s="1"/>
  <c r="AM136" i="9"/>
  <c r="BT137" i="9" s="1"/>
  <c r="AY136" i="9"/>
  <c r="CF137" i="9" s="1"/>
  <c r="AF137" i="9"/>
  <c r="AR137" i="9"/>
  <c r="BY138" i="9" s="1"/>
  <c r="AF116" i="9"/>
  <c r="BM117" i="9" s="1"/>
  <c r="AR116" i="9"/>
  <c r="BY117" i="9" s="1"/>
  <c r="AF119" i="9"/>
  <c r="BM120" i="9" s="1"/>
  <c r="AR119" i="9"/>
  <c r="BY120" i="9" s="1"/>
  <c r="AF122" i="9"/>
  <c r="BM123" i="9" s="1"/>
  <c r="AR122" i="9"/>
  <c r="BY123" i="9" s="1"/>
  <c r="AF125" i="9"/>
  <c r="BM126" i="9" s="1"/>
  <c r="AR125" i="9"/>
  <c r="BY126" i="9" s="1"/>
  <c r="AF128" i="9"/>
  <c r="BM129" i="9" s="1"/>
  <c r="AR128" i="9"/>
  <c r="BY129" i="9" s="1"/>
  <c r="AF131" i="9"/>
  <c r="BM132" i="9" s="1"/>
  <c r="AR131" i="9"/>
  <c r="BY132" i="9" s="1"/>
  <c r="AF134" i="9"/>
  <c r="BM135" i="9" s="1"/>
  <c r="AR134" i="9"/>
  <c r="BY135" i="9" s="1"/>
  <c r="AN136" i="9"/>
  <c r="BU137" i="9" s="1"/>
  <c r="AZ136" i="9"/>
  <c r="CG137" i="9" s="1"/>
  <c r="AG137" i="9"/>
  <c r="BN138" i="9" s="1"/>
  <c r="AS137" i="9"/>
  <c r="BZ138" i="9" s="1"/>
  <c r="AG116" i="9"/>
  <c r="BN117" i="9" s="1"/>
  <c r="AS116" i="9"/>
  <c r="BZ117" i="9" s="1"/>
  <c r="AG119" i="9"/>
  <c r="BN120" i="9" s="1"/>
  <c r="AS119" i="9"/>
  <c r="BZ120" i="9" s="1"/>
  <c r="AG122" i="9"/>
  <c r="BN123" i="9" s="1"/>
  <c r="AS122" i="9"/>
  <c r="BZ123" i="9" s="1"/>
  <c r="AG125" i="9"/>
  <c r="BN126" i="9" s="1"/>
  <c r="AS125" i="9"/>
  <c r="BZ126" i="9" s="1"/>
  <c r="AG128" i="9"/>
  <c r="BN129" i="9" s="1"/>
  <c r="AS128" i="9"/>
  <c r="BZ129" i="9" s="1"/>
  <c r="AG131" i="9"/>
  <c r="BN132" i="9" s="1"/>
  <c r="AS131" i="9"/>
  <c r="BZ132" i="9" s="1"/>
  <c r="AG134" i="9"/>
  <c r="BN135" i="9" s="1"/>
  <c r="AS134" i="9"/>
  <c r="BZ135" i="9" s="1"/>
  <c r="AO136" i="9"/>
  <c r="BV137" i="9" s="1"/>
  <c r="BA136" i="9"/>
  <c r="CH137" i="9" s="1"/>
  <c r="AH137" i="9"/>
  <c r="BO138" i="9" s="1"/>
  <c r="AT137" i="9"/>
  <c r="CA138" i="9" s="1"/>
  <c r="AD136" i="9"/>
  <c r="BK137" i="9" s="1"/>
  <c r="AP136" i="9"/>
  <c r="BW137" i="9" s="1"/>
  <c r="BB136" i="9"/>
  <c r="CI137" i="9" s="1"/>
  <c r="AI116" i="9"/>
  <c r="BP117" i="9" s="1"/>
  <c r="AI119" i="9"/>
  <c r="BP120" i="9" s="1"/>
  <c r="AI122" i="9"/>
  <c r="BP123" i="9" s="1"/>
  <c r="AI125" i="9"/>
  <c r="BP126" i="9" s="1"/>
  <c r="AI128" i="9"/>
  <c r="BP129" i="9" s="1"/>
  <c r="AI131" i="9"/>
  <c r="BP132" i="9" s="1"/>
  <c r="AI134" i="9"/>
  <c r="BP135" i="9" s="1"/>
  <c r="AE136" i="9"/>
  <c r="BL137" i="9" s="1"/>
  <c r="AJ137" i="9"/>
  <c r="CP125" i="9" l="1"/>
  <c r="CS125" i="9"/>
  <c r="CN125" i="9"/>
  <c r="CM125" i="9"/>
  <c r="CQ125" i="9"/>
  <c r="CT125" i="9"/>
  <c r="CM56" i="9"/>
  <c r="AD7" i="9"/>
  <c r="CT73" i="9"/>
  <c r="CQ96" i="9"/>
  <c r="CS122" i="9"/>
  <c r="CN122" i="9"/>
  <c r="CT122" i="9"/>
  <c r="CQ122" i="9"/>
  <c r="CP122" i="9"/>
  <c r="CM122" i="9"/>
  <c r="CT39" i="9"/>
  <c r="CS39" i="9"/>
  <c r="CQ39" i="9"/>
  <c r="CN39" i="9"/>
  <c r="CP39" i="9"/>
  <c r="CM39" i="9"/>
  <c r="CS124" i="9"/>
  <c r="CN124" i="9"/>
  <c r="CM124" i="9"/>
  <c r="CT124" i="9"/>
  <c r="CQ124" i="9"/>
  <c r="CP124" i="9"/>
  <c r="CQ89" i="9"/>
  <c r="CN89" i="9"/>
  <c r="CT89" i="9"/>
  <c r="CS89" i="9"/>
  <c r="CM89" i="9"/>
  <c r="CP89" i="9"/>
  <c r="CM18" i="9"/>
  <c r="CN18" i="9"/>
  <c r="CQ18" i="9"/>
  <c r="CT18" i="9"/>
  <c r="CS18" i="9"/>
  <c r="CP18" i="9"/>
  <c r="CP69" i="9"/>
  <c r="CS21" i="9"/>
  <c r="CT13" i="9"/>
  <c r="CQ92" i="9"/>
  <c r="CQ81" i="9"/>
  <c r="CN82" i="9"/>
  <c r="CM82" i="9"/>
  <c r="CT134" i="9"/>
  <c r="CN134" i="9"/>
  <c r="CS134" i="9"/>
  <c r="CQ134" i="9"/>
  <c r="CP134" i="9"/>
  <c r="CS51" i="9"/>
  <c r="CQ51" i="9"/>
  <c r="CM51" i="9"/>
  <c r="CT51" i="9"/>
  <c r="CP51" i="9"/>
  <c r="CN51" i="9"/>
  <c r="CS136" i="9"/>
  <c r="CT136" i="9"/>
  <c r="CQ136" i="9"/>
  <c r="CP136" i="9"/>
  <c r="CN136" i="9"/>
  <c r="CM136" i="9"/>
  <c r="CT101" i="9"/>
  <c r="CQ101" i="9"/>
  <c r="CN101" i="9"/>
  <c r="CP101" i="9"/>
  <c r="CS101" i="9"/>
  <c r="CM101" i="9"/>
  <c r="CP30" i="9"/>
  <c r="CN30" i="9"/>
  <c r="CS30" i="9"/>
  <c r="CM30" i="9"/>
  <c r="CT30" i="9"/>
  <c r="CQ30" i="9"/>
  <c r="CS94" i="9"/>
  <c r="AK7" i="9"/>
  <c r="AB7" i="9"/>
  <c r="CN25" i="9"/>
  <c r="CP73" i="9"/>
  <c r="CT97" i="9"/>
  <c r="CS119" i="9"/>
  <c r="CQ63" i="9"/>
  <c r="CP63" i="9"/>
  <c r="CM63" i="9"/>
  <c r="CS63" i="9"/>
  <c r="CN63" i="9"/>
  <c r="CT63" i="9"/>
  <c r="CM36" i="9"/>
  <c r="CP113" i="9"/>
  <c r="CN113" i="9"/>
  <c r="CT113" i="9"/>
  <c r="CQ113" i="9"/>
  <c r="CM113" i="9"/>
  <c r="CS113" i="9"/>
  <c r="CM42" i="9"/>
  <c r="CP42" i="9"/>
  <c r="CT42" i="9"/>
  <c r="CN42" i="9"/>
  <c r="CQ42" i="9"/>
  <c r="CS42" i="9"/>
  <c r="CT93" i="9"/>
  <c r="CS128" i="9"/>
  <c r="CT69" i="9"/>
  <c r="CT45" i="9"/>
  <c r="CM129" i="9"/>
  <c r="CN23" i="9"/>
  <c r="CN57" i="9"/>
  <c r="CP116" i="9"/>
  <c r="CS56" i="9"/>
  <c r="CN81" i="9"/>
  <c r="CM61" i="9"/>
  <c r="CP97" i="9"/>
  <c r="CN87" i="9"/>
  <c r="CT87" i="9"/>
  <c r="CS87" i="9"/>
  <c r="CM87" i="9"/>
  <c r="CQ87" i="9"/>
  <c r="CP87" i="9"/>
  <c r="CM28" i="9"/>
  <c r="CS28" i="9"/>
  <c r="CP28" i="9"/>
  <c r="CT28" i="9"/>
  <c r="CN28" i="9"/>
  <c r="CQ28" i="9"/>
  <c r="CS137" i="9"/>
  <c r="CT137" i="9"/>
  <c r="CQ137" i="9"/>
  <c r="CP137" i="9"/>
  <c r="CN137" i="9"/>
  <c r="CM137" i="9"/>
  <c r="CS66" i="9"/>
  <c r="CT66" i="9"/>
  <c r="CN66" i="9"/>
  <c r="CQ66" i="9"/>
  <c r="CM66" i="9"/>
  <c r="CP66" i="9"/>
  <c r="CS91" i="9"/>
  <c r="CN46" i="9"/>
  <c r="CQ131" i="9"/>
  <c r="CN47" i="9"/>
  <c r="CM131" i="9"/>
  <c r="CQ93" i="9"/>
  <c r="CQ120" i="9"/>
  <c r="U7" i="9"/>
  <c r="BM10" i="9"/>
  <c r="BN11" i="9"/>
  <c r="CG10" i="9"/>
  <c r="X7" i="9"/>
  <c r="CN60" i="9"/>
  <c r="CP71" i="9"/>
  <c r="CQ71" i="9"/>
  <c r="CT26" i="9"/>
  <c r="CQ26" i="9"/>
  <c r="CM26" i="9"/>
  <c r="CS26" i="9"/>
  <c r="CP26" i="9"/>
  <c r="CM99" i="9"/>
  <c r="CT99" i="9"/>
  <c r="CQ99" i="9"/>
  <c r="CN99" i="9"/>
  <c r="CS99" i="9"/>
  <c r="CP99" i="9"/>
  <c r="CT40" i="9"/>
  <c r="CP40" i="9"/>
  <c r="CN40" i="9"/>
  <c r="CQ40" i="9"/>
  <c r="CS40" i="9"/>
  <c r="CM40" i="9"/>
  <c r="CS78" i="9"/>
  <c r="CP78" i="9"/>
  <c r="CM78" i="9"/>
  <c r="CQ78" i="9"/>
  <c r="CT78" i="9"/>
  <c r="CN78" i="9"/>
  <c r="CM19" i="9"/>
  <c r="CT19" i="9"/>
  <c r="CS19" i="9"/>
  <c r="CN19" i="9"/>
  <c r="CP19" i="9"/>
  <c r="CQ19" i="9"/>
  <c r="CQ91" i="9"/>
  <c r="CS60" i="9"/>
  <c r="CM22" i="9"/>
  <c r="CP86" i="9"/>
  <c r="CM130" i="9"/>
  <c r="CN116" i="9"/>
  <c r="CQ95" i="9"/>
  <c r="AF7" i="9"/>
  <c r="BD47" i="9"/>
  <c r="AH7" i="9"/>
  <c r="AG7" i="9"/>
  <c r="CN97" i="9"/>
  <c r="CM24" i="9"/>
  <c r="CT38" i="9"/>
  <c r="CS38" i="9"/>
  <c r="CQ38" i="9"/>
  <c r="CP38" i="9"/>
  <c r="CM38" i="9"/>
  <c r="CP111" i="9"/>
  <c r="CS111" i="9"/>
  <c r="CN111" i="9"/>
  <c r="CT111" i="9"/>
  <c r="CQ111" i="9"/>
  <c r="CM111" i="9"/>
  <c r="CS52" i="9"/>
  <c r="CQ52" i="9"/>
  <c r="CT52" i="9"/>
  <c r="CP52" i="9"/>
  <c r="CN52" i="9"/>
  <c r="CM52" i="9"/>
  <c r="CN17" i="9"/>
  <c r="CP17" i="9"/>
  <c r="CS17" i="9"/>
  <c r="CM17" i="9"/>
  <c r="CT17" i="9"/>
  <c r="CQ17" i="9"/>
  <c r="CM90" i="9"/>
  <c r="CQ90" i="9"/>
  <c r="CN90" i="9"/>
  <c r="CS90" i="9"/>
  <c r="CP90" i="9"/>
  <c r="CT90" i="9"/>
  <c r="CP31" i="9"/>
  <c r="CN31" i="9"/>
  <c r="CT31" i="9"/>
  <c r="CQ31" i="9"/>
  <c r="CM31" i="9"/>
  <c r="CS31" i="9"/>
  <c r="CM91" i="9"/>
  <c r="CP82" i="9"/>
  <c r="CM84" i="9"/>
  <c r="CN86" i="9"/>
  <c r="CQ68" i="9"/>
  <c r="CS70" i="9"/>
  <c r="CP58" i="9"/>
  <c r="CM120" i="9"/>
  <c r="CN120" i="9"/>
  <c r="CQ75" i="9"/>
  <c r="CN75" i="9"/>
  <c r="CP75" i="9"/>
  <c r="CT75" i="9"/>
  <c r="CM75" i="9"/>
  <c r="CS75" i="9"/>
  <c r="AL7" i="9"/>
  <c r="W7" i="9"/>
  <c r="CM37" i="9"/>
  <c r="CP133" i="9"/>
  <c r="CS35" i="9"/>
  <c r="CS24" i="9"/>
  <c r="CS50" i="9"/>
  <c r="CQ50" i="9"/>
  <c r="CP50" i="9"/>
  <c r="CM50" i="9"/>
  <c r="CT50" i="9"/>
  <c r="CS123" i="9"/>
  <c r="CQ123" i="9"/>
  <c r="CP123" i="9"/>
  <c r="CN123" i="9"/>
  <c r="CM123" i="9"/>
  <c r="CT123" i="9"/>
  <c r="CS64" i="9"/>
  <c r="CQ64" i="9"/>
  <c r="CP64" i="9"/>
  <c r="CM64" i="9"/>
  <c r="CT64" i="9"/>
  <c r="CN64" i="9"/>
  <c r="CP29" i="9"/>
  <c r="CN29" i="9"/>
  <c r="CQ29" i="9"/>
  <c r="CM29" i="9"/>
  <c r="CS29" i="9"/>
  <c r="CT29" i="9"/>
  <c r="CT102" i="9"/>
  <c r="CQ102" i="9"/>
  <c r="CN102" i="9"/>
  <c r="CS102" i="9"/>
  <c r="CP102" i="9"/>
  <c r="CM102" i="9"/>
  <c r="CN43" i="9"/>
  <c r="CT43" i="9"/>
  <c r="CP43" i="9"/>
  <c r="CQ43" i="9"/>
  <c r="CM43" i="9"/>
  <c r="CS43" i="9"/>
  <c r="CQ47" i="9"/>
  <c r="CQ108" i="9"/>
  <c r="CN106" i="9"/>
  <c r="CS68" i="9"/>
  <c r="CT14" i="9"/>
  <c r="CS33" i="9"/>
  <c r="CN70" i="9"/>
  <c r="CN96" i="9"/>
  <c r="CP34" i="9"/>
  <c r="CQ32" i="9"/>
  <c r="CQ35" i="9"/>
  <c r="CN34" i="9"/>
  <c r="AE7" i="9"/>
  <c r="CN16" i="9"/>
  <c r="CP16" i="9"/>
  <c r="CT16" i="9"/>
  <c r="CS16" i="9"/>
  <c r="CM16" i="9"/>
  <c r="CQ16" i="9"/>
  <c r="CT54" i="9"/>
  <c r="CM54" i="9"/>
  <c r="CP54" i="9"/>
  <c r="CN54" i="9"/>
  <c r="CQ54" i="9"/>
  <c r="CS54" i="9"/>
  <c r="BE92" i="9"/>
  <c r="AI7" i="9"/>
  <c r="BV10" i="9"/>
  <c r="CQ62" i="9"/>
  <c r="CP62" i="9"/>
  <c r="CS62" i="9"/>
  <c r="CM62" i="9"/>
  <c r="CT62" i="9"/>
  <c r="CT135" i="9"/>
  <c r="CS135" i="9"/>
  <c r="CQ135" i="9"/>
  <c r="CP135" i="9"/>
  <c r="CN135" i="9"/>
  <c r="CM135" i="9"/>
  <c r="CQ76" i="9"/>
  <c r="CN76" i="9"/>
  <c r="CS76" i="9"/>
  <c r="CT76" i="9"/>
  <c r="CP76" i="9"/>
  <c r="CM76" i="9"/>
  <c r="CT41" i="9"/>
  <c r="CN41" i="9"/>
  <c r="CP41" i="9"/>
  <c r="CQ41" i="9"/>
  <c r="CS41" i="9"/>
  <c r="CM41" i="9"/>
  <c r="CS103" i="9"/>
  <c r="CQ114" i="9"/>
  <c r="CT114" i="9"/>
  <c r="CP114" i="9"/>
  <c r="CM114" i="9"/>
  <c r="CS114" i="9"/>
  <c r="CN114" i="9"/>
  <c r="CT55" i="9"/>
  <c r="CP55" i="9"/>
  <c r="CN55" i="9"/>
  <c r="CS55" i="9"/>
  <c r="CQ55" i="9"/>
  <c r="CM55" i="9"/>
  <c r="CN103" i="9"/>
  <c r="CQ14" i="9"/>
  <c r="CQ33" i="9"/>
  <c r="CQ118" i="9"/>
  <c r="CS72" i="9"/>
  <c r="CT32" i="9"/>
  <c r="CP117" i="9"/>
  <c r="CM59" i="9"/>
  <c r="O7" i="9"/>
  <c r="CS59" i="9"/>
  <c r="CT74" i="9"/>
  <c r="CS74" i="9"/>
  <c r="CM74" i="9"/>
  <c r="CP74" i="9"/>
  <c r="CQ74" i="9"/>
  <c r="CQ88" i="9"/>
  <c r="CN88" i="9"/>
  <c r="CT88" i="9"/>
  <c r="CS88" i="9"/>
  <c r="CP88" i="9"/>
  <c r="CM88" i="9"/>
  <c r="CT53" i="9"/>
  <c r="CS53" i="9"/>
  <c r="CN53" i="9"/>
  <c r="CP53" i="9"/>
  <c r="CQ53" i="9"/>
  <c r="CM53" i="9"/>
  <c r="CP126" i="9"/>
  <c r="CS126" i="9"/>
  <c r="CN126" i="9"/>
  <c r="CM126" i="9"/>
  <c r="CT126" i="9"/>
  <c r="CQ126" i="9"/>
  <c r="CT67" i="9"/>
  <c r="CM83" i="9"/>
  <c r="CN21" i="9"/>
  <c r="CN14" i="9"/>
  <c r="CS118" i="9"/>
  <c r="CT57" i="9"/>
  <c r="CQ59" i="9"/>
  <c r="CP22" i="9"/>
  <c r="CM58" i="9"/>
  <c r="AA7" i="9"/>
  <c r="CM134" i="9"/>
  <c r="CN98" i="9"/>
  <c r="CP98" i="9"/>
  <c r="CS98" i="9"/>
  <c r="CM98" i="9"/>
  <c r="CT98" i="9"/>
  <c r="CQ98" i="9"/>
  <c r="CN15" i="9"/>
  <c r="CP15" i="9"/>
  <c r="CQ15" i="9"/>
  <c r="CT15" i="9"/>
  <c r="CM15" i="9"/>
  <c r="CS15" i="9"/>
  <c r="CT100" i="9"/>
  <c r="CN100" i="9"/>
  <c r="CS100" i="9"/>
  <c r="CM100" i="9"/>
  <c r="CP100" i="9"/>
  <c r="CQ100" i="9"/>
  <c r="CS65" i="9"/>
  <c r="CQ65" i="9"/>
  <c r="CP65" i="9"/>
  <c r="CM65" i="9"/>
  <c r="CN65" i="9"/>
  <c r="CT65" i="9"/>
  <c r="CS138" i="9"/>
  <c r="CQ138" i="9"/>
  <c r="CP138" i="9"/>
  <c r="CN138" i="9"/>
  <c r="CT138" i="9"/>
  <c r="CM138" i="9"/>
  <c r="CS20" i="9"/>
  <c r="CS106" i="9"/>
  <c r="CM94" i="9"/>
  <c r="CN117" i="9"/>
  <c r="CS22" i="9"/>
  <c r="CS58" i="9"/>
  <c r="AM7" i="9"/>
  <c r="BD29" i="9"/>
  <c r="CP37" i="9"/>
  <c r="CQ36" i="9"/>
  <c r="CP110" i="9"/>
  <c r="CN110" i="9"/>
  <c r="CS110" i="9"/>
  <c r="CQ110" i="9"/>
  <c r="CT110" i="9"/>
  <c r="CM110" i="9"/>
  <c r="CP27" i="9"/>
  <c r="CN27" i="9"/>
  <c r="CM27" i="9"/>
  <c r="CS27" i="9"/>
  <c r="CQ27" i="9"/>
  <c r="CT27" i="9"/>
  <c r="CP112" i="9"/>
  <c r="CT112" i="9"/>
  <c r="CM112" i="9"/>
  <c r="CQ112" i="9"/>
  <c r="CS112" i="9"/>
  <c r="CN112" i="9"/>
  <c r="CP77" i="9"/>
  <c r="CM77" i="9"/>
  <c r="CQ77" i="9"/>
  <c r="CS77" i="9"/>
  <c r="CT77" i="9"/>
  <c r="CN77" i="9"/>
  <c r="CT115" i="9"/>
  <c r="CQ83" i="9"/>
  <c r="CS34" i="9"/>
  <c r="CS82" i="9"/>
  <c r="S7" i="9"/>
  <c r="BD103" i="9"/>
  <c r="BP104" i="9"/>
  <c r="BE108" i="9"/>
  <c r="BS109" i="9"/>
  <c r="BD105" i="9"/>
  <c r="BL106" i="9"/>
  <c r="BE73" i="9"/>
  <c r="BO74" i="9"/>
  <c r="BD41" i="9"/>
  <c r="BN42" i="9"/>
  <c r="BE23" i="9"/>
  <c r="BN24" i="9"/>
  <c r="BE33" i="9"/>
  <c r="BN34" i="9"/>
  <c r="BC15" i="9"/>
  <c r="BG15" i="9" s="1"/>
  <c r="BH15" i="9" s="1"/>
  <c r="BN16" i="9"/>
  <c r="BE42" i="9"/>
  <c r="BR43" i="9"/>
  <c r="BE137" i="9"/>
  <c r="BL138" i="9"/>
  <c r="BE85" i="9"/>
  <c r="BO86" i="9"/>
  <c r="BE105" i="9"/>
  <c r="BN106" i="9"/>
  <c r="BD56" i="9"/>
  <c r="BL57" i="9"/>
  <c r="BE59" i="9"/>
  <c r="BU60" i="9"/>
  <c r="Y7" i="9" s="1"/>
  <c r="BC33" i="9"/>
  <c r="BG33" i="9" s="1"/>
  <c r="BH33" i="9" s="1"/>
  <c r="CF11" i="9"/>
  <c r="BE104" i="9"/>
  <c r="BR105" i="9"/>
  <c r="BE101" i="9"/>
  <c r="BN102" i="9"/>
  <c r="BD99" i="9"/>
  <c r="BL100" i="9"/>
  <c r="BE91" i="9"/>
  <c r="BV92" i="9"/>
  <c r="BE38" i="9"/>
  <c r="BN39" i="9"/>
  <c r="BC20" i="9"/>
  <c r="BG20" i="9" s="1"/>
  <c r="BH20" i="9" s="1"/>
  <c r="BN21" i="9"/>
  <c r="BC12" i="9"/>
  <c r="BG12" i="9" s="1"/>
  <c r="BH12" i="9" s="1"/>
  <c r="BM13" i="9"/>
  <c r="BE95" i="9"/>
  <c r="BT96" i="9"/>
  <c r="BD108" i="9"/>
  <c r="BL109" i="9"/>
  <c r="BE94" i="9"/>
  <c r="BP95" i="9"/>
  <c r="BC105" i="9"/>
  <c r="BG105" i="9" s="1"/>
  <c r="BH105" i="9" s="1"/>
  <c r="BZ106" i="9"/>
  <c r="BC56" i="9"/>
  <c r="BG56" i="9" s="1"/>
  <c r="BH56" i="9" s="1"/>
  <c r="BM57" i="9"/>
  <c r="BE63" i="9"/>
  <c r="BM64" i="9"/>
  <c r="BD59" i="9"/>
  <c r="BL60" i="9"/>
  <c r="BC103" i="9"/>
  <c r="BG103" i="9" s="1"/>
  <c r="BH103" i="9" s="1"/>
  <c r="BN104" i="9"/>
  <c r="BE98" i="9"/>
  <c r="BN99" i="9"/>
  <c r="BC91" i="9"/>
  <c r="BG91" i="9" s="1"/>
  <c r="BH91" i="9" s="1"/>
  <c r="BP92" i="9"/>
  <c r="BC71" i="9"/>
  <c r="BG71" i="9" s="1"/>
  <c r="BH71" i="9" s="1"/>
  <c r="CF72" i="9"/>
  <c r="AJ7" i="9" s="1"/>
  <c r="BD35" i="9"/>
  <c r="BN36" i="9"/>
  <c r="BC17" i="9"/>
  <c r="BG17" i="9" s="1"/>
  <c r="BH17" i="9" s="1"/>
  <c r="BN18" i="9"/>
  <c r="BD62" i="9"/>
  <c r="BL63" i="9"/>
  <c r="BE45" i="9"/>
  <c r="BN46" i="9"/>
  <c r="BE30" i="9"/>
  <c r="BN31" i="9"/>
  <c r="BC21" i="9"/>
  <c r="BG21" i="9" s="1"/>
  <c r="BH21" i="9" s="1"/>
  <c r="BN22" i="9"/>
  <c r="BC92" i="9"/>
  <c r="BG92" i="9" s="1"/>
  <c r="BH92" i="9" s="1"/>
  <c r="BC96" i="9"/>
  <c r="BG96" i="9" s="1"/>
  <c r="BH96" i="9" s="1"/>
  <c r="BL97" i="9"/>
  <c r="BX10" i="9"/>
  <c r="BT10" i="9"/>
  <c r="CD11" i="9"/>
  <c r="BC66" i="9"/>
  <c r="BG66" i="9" s="1"/>
  <c r="BH66" i="9" s="1"/>
  <c r="BY67" i="9"/>
  <c r="AC7" i="9" s="1"/>
  <c r="BD86" i="9"/>
  <c r="BL87" i="9"/>
  <c r="BE71" i="9"/>
  <c r="BP72" i="9"/>
  <c r="T7" i="9" s="1"/>
  <c r="BD33" i="9"/>
  <c r="BR34" i="9"/>
  <c r="BD15" i="9"/>
  <c r="BR16" i="9"/>
  <c r="V7" i="9" s="1"/>
  <c r="BC45" i="9"/>
  <c r="BG45" i="9" s="1"/>
  <c r="BH45" i="9" s="1"/>
  <c r="BO11" i="9"/>
  <c r="BZ11" i="9"/>
  <c r="BC137" i="9"/>
  <c r="BG137" i="9" s="1"/>
  <c r="BH137" i="9" s="1"/>
  <c r="BQ138" i="9"/>
  <c r="BC109" i="9"/>
  <c r="BG109" i="9" s="1"/>
  <c r="BH109" i="9" s="1"/>
  <c r="BL110" i="9"/>
  <c r="BC95" i="9"/>
  <c r="BG95" i="9" s="1"/>
  <c r="BH95" i="9" s="1"/>
  <c r="BN96" i="9"/>
  <c r="BC118" i="9"/>
  <c r="BG118" i="9" s="1"/>
  <c r="BH118" i="9" s="1"/>
  <c r="BM119" i="9"/>
  <c r="BE79" i="9"/>
  <c r="BN80" i="9"/>
  <c r="BD82" i="9"/>
  <c r="BM83" i="9"/>
  <c r="BE32" i="9"/>
  <c r="BN33" i="9"/>
  <c r="BD14" i="9"/>
  <c r="BN15" i="9"/>
  <c r="BS10" i="9"/>
  <c r="BD53" i="9"/>
  <c r="BM54" i="9"/>
  <c r="BD137" i="9"/>
  <c r="BM138" i="9"/>
  <c r="BE80" i="9"/>
  <c r="BN81" i="9"/>
  <c r="BD30" i="9"/>
  <c r="BM11" i="9"/>
  <c r="CE10" i="9"/>
  <c r="BC90" i="9"/>
  <c r="BG90" i="9" s="1"/>
  <c r="BH90" i="9" s="1"/>
  <c r="BL91" i="9"/>
  <c r="BD92" i="9"/>
  <c r="BN93" i="9"/>
  <c r="BD79" i="9"/>
  <c r="BM80" i="9"/>
  <c r="BE47" i="9"/>
  <c r="BN48" i="9"/>
  <c r="BC29" i="9"/>
  <c r="BG29" i="9" s="1"/>
  <c r="BH29" i="9" s="1"/>
  <c r="BN30" i="9"/>
  <c r="BE39" i="9"/>
  <c r="BN40" i="9"/>
  <c r="BC27" i="9"/>
  <c r="BG27" i="9" s="1"/>
  <c r="BH27" i="9" s="1"/>
  <c r="BN28" i="9"/>
  <c r="BC18" i="9"/>
  <c r="BG18" i="9" s="1"/>
  <c r="BH18" i="9" s="1"/>
  <c r="BN19" i="9"/>
  <c r="BP11" i="9"/>
  <c r="CB11" i="9"/>
  <c r="BW11" i="9"/>
  <c r="BC106" i="9"/>
  <c r="BG106" i="9" s="1"/>
  <c r="BH106" i="9" s="1"/>
  <c r="BP107" i="9"/>
  <c r="BC100" i="9"/>
  <c r="BG100" i="9" s="1"/>
  <c r="BH100" i="9" s="1"/>
  <c r="BM101" i="9"/>
  <c r="BE14" i="9"/>
  <c r="CA11" i="9"/>
  <c r="BC87" i="9"/>
  <c r="BG87" i="9" s="1"/>
  <c r="BH87" i="9" s="1"/>
  <c r="BL88" i="9"/>
  <c r="BE89" i="9"/>
  <c r="BC76" i="9"/>
  <c r="BG76" i="9" s="1"/>
  <c r="BH76" i="9" s="1"/>
  <c r="BM77" i="9"/>
  <c r="BE86" i="9"/>
  <c r="BU87" i="9"/>
  <c r="BE44" i="9"/>
  <c r="BN45" i="9"/>
  <c r="BE26" i="9"/>
  <c r="BN27" i="9"/>
  <c r="BE66" i="9"/>
  <c r="BM67" i="9"/>
  <c r="BE36" i="9"/>
  <c r="BN37" i="9"/>
  <c r="BC26" i="9"/>
  <c r="BG26" i="9" s="1"/>
  <c r="BH26" i="9" s="1"/>
  <c r="BV27" i="9"/>
  <c r="Z7" i="9" s="1"/>
  <c r="BC42" i="9"/>
  <c r="BG42" i="9" s="1"/>
  <c r="BH42" i="9" s="1"/>
  <c r="BC79" i="9"/>
  <c r="BG79" i="9" s="1"/>
  <c r="BH79" i="9" s="1"/>
  <c r="BD95" i="9"/>
  <c r="BE125" i="9"/>
  <c r="BD125" i="9"/>
  <c r="BC125" i="9"/>
  <c r="BG125" i="9" s="1"/>
  <c r="BH125" i="9" s="1"/>
  <c r="BD107" i="9"/>
  <c r="BE107" i="9"/>
  <c r="BC107" i="9"/>
  <c r="BG107" i="9" s="1"/>
  <c r="BH107" i="9" s="1"/>
  <c r="BC104" i="9"/>
  <c r="BG104" i="9" s="1"/>
  <c r="BH104" i="9" s="1"/>
  <c r="BE52" i="9"/>
  <c r="BD52" i="9"/>
  <c r="BC52" i="9"/>
  <c r="BG52" i="9" s="1"/>
  <c r="BH52" i="9" s="1"/>
  <c r="BD67" i="9"/>
  <c r="BC67" i="9"/>
  <c r="BG67" i="9" s="1"/>
  <c r="BH67" i="9" s="1"/>
  <c r="BE67" i="9"/>
  <c r="BE35" i="9"/>
  <c r="BC115" i="9"/>
  <c r="BG115" i="9" s="1"/>
  <c r="BH115" i="9" s="1"/>
  <c r="BD115" i="9"/>
  <c r="BE115" i="9"/>
  <c r="BD20" i="9"/>
  <c r="BE16" i="9"/>
  <c r="BD16" i="9"/>
  <c r="BC16" i="9"/>
  <c r="BG16" i="9" s="1"/>
  <c r="BH16" i="9" s="1"/>
  <c r="BE46" i="9"/>
  <c r="BD46" i="9"/>
  <c r="BC46" i="9"/>
  <c r="BG46" i="9" s="1"/>
  <c r="BH46" i="9" s="1"/>
  <c r="BD60" i="9"/>
  <c r="BE60" i="9"/>
  <c r="BC60" i="9"/>
  <c r="BG60" i="9" s="1"/>
  <c r="BH60" i="9" s="1"/>
  <c r="BC124" i="9"/>
  <c r="BG124" i="9" s="1"/>
  <c r="BH124" i="9" s="1"/>
  <c r="BE124" i="9"/>
  <c r="BD124" i="9"/>
  <c r="BD104" i="9"/>
  <c r="BE103" i="9"/>
  <c r="BD28" i="9"/>
  <c r="BC28" i="9"/>
  <c r="BG28" i="9" s="1"/>
  <c r="BH28" i="9" s="1"/>
  <c r="BE28" i="9"/>
  <c r="BD66" i="9"/>
  <c r="BE34" i="9"/>
  <c r="BD34" i="9"/>
  <c r="BC34" i="9"/>
  <c r="BG34" i="9" s="1"/>
  <c r="BH34" i="9" s="1"/>
  <c r="BE20" i="9"/>
  <c r="BE29" i="9"/>
  <c r="BD36" i="9"/>
  <c r="BE19" i="9"/>
  <c r="BC19" i="9"/>
  <c r="BG19" i="9" s="1"/>
  <c r="BH19" i="9" s="1"/>
  <c r="BD19" i="9"/>
  <c r="BE88" i="9"/>
  <c r="BD88" i="9"/>
  <c r="BC88" i="9"/>
  <c r="BG88" i="9" s="1"/>
  <c r="BH88" i="9" s="1"/>
  <c r="BC36" i="9"/>
  <c r="BG36" i="9" s="1"/>
  <c r="BH36" i="9" s="1"/>
  <c r="BE126" i="9"/>
  <c r="BD126" i="9"/>
  <c r="BC126" i="9"/>
  <c r="BG126" i="9" s="1"/>
  <c r="BH126" i="9" s="1"/>
  <c r="BD91" i="9"/>
  <c r="BD17" i="9"/>
  <c r="BC133" i="9"/>
  <c r="BG133" i="9" s="1"/>
  <c r="BH133" i="9" s="1"/>
  <c r="BE133" i="9"/>
  <c r="BD133" i="9"/>
  <c r="BD90" i="9"/>
  <c r="BC98" i="9"/>
  <c r="BG98" i="9" s="1"/>
  <c r="BH98" i="9" s="1"/>
  <c r="BD100" i="9"/>
  <c r="BE58" i="9"/>
  <c r="BD58" i="9"/>
  <c r="BC58" i="9"/>
  <c r="BG58" i="9" s="1"/>
  <c r="BH58" i="9" s="1"/>
  <c r="BC48" i="9"/>
  <c r="BG48" i="9" s="1"/>
  <c r="BH48" i="9" s="1"/>
  <c r="BD48" i="9"/>
  <c r="BC24" i="9"/>
  <c r="BG24" i="9" s="1"/>
  <c r="BH24" i="9" s="1"/>
  <c r="BD42" i="9"/>
  <c r="BE27" i="9"/>
  <c r="BD54" i="9"/>
  <c r="BE54" i="9"/>
  <c r="BC54" i="9"/>
  <c r="BG54" i="9" s="1"/>
  <c r="BH54" i="9" s="1"/>
  <c r="BC32" i="9"/>
  <c r="BG32" i="9" s="1"/>
  <c r="BH32" i="9" s="1"/>
  <c r="BD39" i="9"/>
  <c r="BC23" i="9"/>
  <c r="BG23" i="9" s="1"/>
  <c r="BH23" i="9" s="1"/>
  <c r="BC30" i="9"/>
  <c r="BG30" i="9" s="1"/>
  <c r="BH30" i="9" s="1"/>
  <c r="BD45" i="9"/>
  <c r="BE15" i="9"/>
  <c r="BE17" i="9"/>
  <c r="BE129" i="9"/>
  <c r="BC129" i="9"/>
  <c r="BG129" i="9" s="1"/>
  <c r="BH129" i="9" s="1"/>
  <c r="BD129" i="9"/>
  <c r="BE134" i="9"/>
  <c r="BD134" i="9"/>
  <c r="BC134" i="9"/>
  <c r="BG134" i="9" s="1"/>
  <c r="BH134" i="9" s="1"/>
  <c r="BC39" i="9"/>
  <c r="BG39" i="9" s="1"/>
  <c r="BH39" i="9" s="1"/>
  <c r="BC121" i="9"/>
  <c r="BG121" i="9" s="1"/>
  <c r="BH121" i="9" s="1"/>
  <c r="BD121" i="9"/>
  <c r="BE121" i="9"/>
  <c r="BC127" i="9"/>
  <c r="BG127" i="9" s="1"/>
  <c r="BH127" i="9" s="1"/>
  <c r="BE127" i="9"/>
  <c r="BD127" i="9"/>
  <c r="BE97" i="9"/>
  <c r="BD97" i="9"/>
  <c r="BC97" i="9"/>
  <c r="BG97" i="9" s="1"/>
  <c r="BH97" i="9" s="1"/>
  <c r="BE90" i="9"/>
  <c r="BD98" i="9"/>
  <c r="BE100" i="9"/>
  <c r="BC101" i="9"/>
  <c r="BG101" i="9" s="1"/>
  <c r="BH101" i="9" s="1"/>
  <c r="BE57" i="9"/>
  <c r="BC80" i="9"/>
  <c r="BG80" i="9" s="1"/>
  <c r="BH80" i="9" s="1"/>
  <c r="BD32" i="9"/>
  <c r="BE70" i="9"/>
  <c r="BC70" i="9"/>
  <c r="BG70" i="9" s="1"/>
  <c r="BH70" i="9" s="1"/>
  <c r="BD70" i="9"/>
  <c r="BD23" i="9"/>
  <c r="BC59" i="9"/>
  <c r="BG59" i="9" s="1"/>
  <c r="BH59" i="9" s="1"/>
  <c r="BE48" i="9"/>
  <c r="BE131" i="9"/>
  <c r="BD131" i="9"/>
  <c r="BC131" i="9"/>
  <c r="BG131" i="9" s="1"/>
  <c r="BH131" i="9" s="1"/>
  <c r="BE119" i="9"/>
  <c r="BD119" i="9"/>
  <c r="BC119" i="9"/>
  <c r="BG119" i="9" s="1"/>
  <c r="BH119" i="9" s="1"/>
  <c r="BE110" i="9"/>
  <c r="BC110" i="9"/>
  <c r="BG110" i="9" s="1"/>
  <c r="BH110" i="9" s="1"/>
  <c r="BD110" i="9"/>
  <c r="BC120" i="9"/>
  <c r="BG120" i="9" s="1"/>
  <c r="BH120" i="9" s="1"/>
  <c r="BE120" i="9"/>
  <c r="BD120" i="9"/>
  <c r="BE111" i="9"/>
  <c r="BC111" i="9"/>
  <c r="BG111" i="9" s="1"/>
  <c r="BH111" i="9" s="1"/>
  <c r="BD111" i="9"/>
  <c r="BC85" i="9"/>
  <c r="BG85" i="9" s="1"/>
  <c r="BH85" i="9" s="1"/>
  <c r="BD132" i="9"/>
  <c r="BC132" i="9"/>
  <c r="BG132" i="9" s="1"/>
  <c r="BH132" i="9" s="1"/>
  <c r="BE132" i="9"/>
  <c r="BC75" i="9"/>
  <c r="BG75" i="9" s="1"/>
  <c r="BH75" i="9" s="1"/>
  <c r="BD75" i="9"/>
  <c r="BE75" i="9"/>
  <c r="BE99" i="9"/>
  <c r="BC47" i="9"/>
  <c r="BG47" i="9" s="1"/>
  <c r="BH47" i="9" s="1"/>
  <c r="BD101" i="9"/>
  <c r="BD69" i="9"/>
  <c r="BC69" i="9"/>
  <c r="BG69" i="9" s="1"/>
  <c r="BH69" i="9" s="1"/>
  <c r="BC84" i="9"/>
  <c r="BG84" i="9" s="1"/>
  <c r="BH84" i="9" s="1"/>
  <c r="BE84" i="9"/>
  <c r="BD84" i="9"/>
  <c r="BE43" i="9"/>
  <c r="BD43" i="9"/>
  <c r="BC43" i="9"/>
  <c r="BG43" i="9" s="1"/>
  <c r="BH43" i="9" s="1"/>
  <c r="BD80" i="9"/>
  <c r="BE55" i="9"/>
  <c r="BD55" i="9"/>
  <c r="BC55" i="9"/>
  <c r="BG55" i="9" s="1"/>
  <c r="BH55" i="9" s="1"/>
  <c r="BE49" i="9"/>
  <c r="BC49" i="9"/>
  <c r="BG49" i="9" s="1"/>
  <c r="BH49" i="9" s="1"/>
  <c r="BD49" i="9"/>
  <c r="BC38" i="9"/>
  <c r="BG38" i="9" s="1"/>
  <c r="BH38" i="9" s="1"/>
  <c r="BE69" i="9"/>
  <c r="BE53" i="9"/>
  <c r="BD18" i="9"/>
  <c r="BE114" i="9"/>
  <c r="BD114" i="9"/>
  <c r="BC114" i="9"/>
  <c r="BG114" i="9" s="1"/>
  <c r="BH114" i="9" s="1"/>
  <c r="BD27" i="9"/>
  <c r="BD26" i="9"/>
  <c r="BC81" i="9"/>
  <c r="BG81" i="9" s="1"/>
  <c r="BH81" i="9" s="1"/>
  <c r="BD81" i="9"/>
  <c r="BE81" i="9"/>
  <c r="BC99" i="9"/>
  <c r="BG99" i="9" s="1"/>
  <c r="BH99" i="9" s="1"/>
  <c r="BC94" i="9"/>
  <c r="BG94" i="9" s="1"/>
  <c r="BH94" i="9" s="1"/>
  <c r="BD68" i="9"/>
  <c r="BC68" i="9"/>
  <c r="BG68" i="9" s="1"/>
  <c r="BH68" i="9" s="1"/>
  <c r="BE68" i="9"/>
  <c r="BC78" i="9"/>
  <c r="BG78" i="9" s="1"/>
  <c r="BH78" i="9" s="1"/>
  <c r="BE78" i="9"/>
  <c r="BD78" i="9"/>
  <c r="BE109" i="9"/>
  <c r="BD63" i="9"/>
  <c r="BD64" i="9"/>
  <c r="BC64" i="9"/>
  <c r="BG64" i="9" s="1"/>
  <c r="BH64" i="9" s="1"/>
  <c r="BE64" i="9"/>
  <c r="BE74" i="9"/>
  <c r="BD74" i="9"/>
  <c r="BC74" i="9"/>
  <c r="BG74" i="9" s="1"/>
  <c r="BH74" i="9" s="1"/>
  <c r="BD38" i="9"/>
  <c r="BC63" i="9"/>
  <c r="BG63" i="9" s="1"/>
  <c r="BH63" i="9" s="1"/>
  <c r="BD96" i="9"/>
  <c r="BE25" i="9"/>
  <c r="BC25" i="9"/>
  <c r="BG25" i="9" s="1"/>
  <c r="BH25" i="9" s="1"/>
  <c r="BD25" i="9"/>
  <c r="BC53" i="9"/>
  <c r="BG53" i="9" s="1"/>
  <c r="BH53" i="9" s="1"/>
  <c r="BE18" i="9"/>
  <c r="BD83" i="9"/>
  <c r="BC83" i="9"/>
  <c r="BG83" i="9" s="1"/>
  <c r="BH83" i="9" s="1"/>
  <c r="BE83" i="9"/>
  <c r="BE117" i="9"/>
  <c r="BD117" i="9"/>
  <c r="BC117" i="9"/>
  <c r="BG117" i="9" s="1"/>
  <c r="BH117" i="9" s="1"/>
  <c r="BC93" i="9"/>
  <c r="BG93" i="9" s="1"/>
  <c r="BH93" i="9" s="1"/>
  <c r="BE93" i="9"/>
  <c r="BD93" i="9"/>
  <c r="BC82" i="9"/>
  <c r="BG82" i="9" s="1"/>
  <c r="BH82" i="9" s="1"/>
  <c r="BE135" i="9"/>
  <c r="BD135" i="9"/>
  <c r="BC135" i="9"/>
  <c r="BG135" i="9" s="1"/>
  <c r="BH135" i="9" s="1"/>
  <c r="BE82" i="9"/>
  <c r="BD94" i="9"/>
  <c r="BD109" i="9"/>
  <c r="BC14" i="9"/>
  <c r="BG14" i="9" s="1"/>
  <c r="BH14" i="9" s="1"/>
  <c r="BD21" i="9"/>
  <c r="BE96" i="9"/>
  <c r="BC31" i="9"/>
  <c r="BG31" i="9" s="1"/>
  <c r="BH31" i="9" s="1"/>
  <c r="BD31" i="9"/>
  <c r="BE31" i="9"/>
  <c r="BE87" i="9"/>
  <c r="BC73" i="9"/>
  <c r="BG73" i="9" s="1"/>
  <c r="BH73" i="9" s="1"/>
  <c r="BD37" i="9"/>
  <c r="BC37" i="9"/>
  <c r="BG37" i="9" s="1"/>
  <c r="BH37" i="9" s="1"/>
  <c r="BE37" i="9"/>
  <c r="BC136" i="9"/>
  <c r="BG136" i="9" s="1"/>
  <c r="BH136" i="9" s="1"/>
  <c r="BE136" i="9"/>
  <c r="BD136" i="9"/>
  <c r="BD72" i="9"/>
  <c r="BC72" i="9"/>
  <c r="BG72" i="9" s="1"/>
  <c r="BH72" i="9" s="1"/>
  <c r="BE72" i="9"/>
  <c r="BE122" i="9"/>
  <c r="BD122" i="9"/>
  <c r="BC122" i="9"/>
  <c r="BG122" i="9" s="1"/>
  <c r="BH122" i="9" s="1"/>
  <c r="BE51" i="9"/>
  <c r="BE128" i="9"/>
  <c r="BD128" i="9"/>
  <c r="BC128" i="9"/>
  <c r="BG128" i="9" s="1"/>
  <c r="BH128" i="9" s="1"/>
  <c r="BE116" i="9"/>
  <c r="BD116" i="9"/>
  <c r="BC116" i="9"/>
  <c r="BG116" i="9" s="1"/>
  <c r="BH116" i="9" s="1"/>
  <c r="BC112" i="9"/>
  <c r="BG112" i="9" s="1"/>
  <c r="BH112" i="9" s="1"/>
  <c r="BE112" i="9"/>
  <c r="BD112" i="9"/>
  <c r="BD102" i="9"/>
  <c r="BC102" i="9"/>
  <c r="BG102" i="9" s="1"/>
  <c r="BH102" i="9" s="1"/>
  <c r="BE102" i="9"/>
  <c r="BD12" i="9"/>
  <c r="BE21" i="9"/>
  <c r="BE62" i="9"/>
  <c r="BE50" i="9"/>
  <c r="BD50" i="9"/>
  <c r="BD24" i="9"/>
  <c r="BC51" i="9"/>
  <c r="BG51" i="9" s="1"/>
  <c r="BH51" i="9" s="1"/>
  <c r="BC44" i="9"/>
  <c r="BG44" i="9" s="1"/>
  <c r="BH44" i="9" s="1"/>
  <c r="BD73" i="9"/>
  <c r="BC130" i="9"/>
  <c r="BG130" i="9" s="1"/>
  <c r="BH130" i="9" s="1"/>
  <c r="BE130" i="9"/>
  <c r="BD130" i="9"/>
  <c r="BE113" i="9"/>
  <c r="BD113" i="9"/>
  <c r="BC113" i="9"/>
  <c r="BG113" i="9" s="1"/>
  <c r="BH113" i="9" s="1"/>
  <c r="BD89" i="9"/>
  <c r="BC89" i="9"/>
  <c r="BG89" i="9" s="1"/>
  <c r="BH89" i="9" s="1"/>
  <c r="BE123" i="9"/>
  <c r="BD123" i="9"/>
  <c r="BC123" i="9"/>
  <c r="BG123" i="9" s="1"/>
  <c r="BH123" i="9" s="1"/>
  <c r="BD106" i="9"/>
  <c r="BE106" i="9"/>
  <c r="BD76" i="9"/>
  <c r="BC86" i="9"/>
  <c r="BG86" i="9" s="1"/>
  <c r="BH86" i="9" s="1"/>
  <c r="BD65" i="9"/>
  <c r="BC65" i="9"/>
  <c r="BG65" i="9" s="1"/>
  <c r="BH65" i="9" s="1"/>
  <c r="BE65" i="9"/>
  <c r="BC108" i="9"/>
  <c r="BG108" i="9" s="1"/>
  <c r="BH108" i="9" s="1"/>
  <c r="BC61" i="9"/>
  <c r="BG61" i="9" s="1"/>
  <c r="BH61" i="9" s="1"/>
  <c r="BE61" i="9"/>
  <c r="BD61" i="9"/>
  <c r="BE12" i="9"/>
  <c r="BC57" i="9"/>
  <c r="BG57" i="9" s="1"/>
  <c r="BH57" i="9" s="1"/>
  <c r="BC35" i="9"/>
  <c r="BG35" i="9" s="1"/>
  <c r="BH35" i="9" s="1"/>
  <c r="BC62" i="9"/>
  <c r="BG62" i="9" s="1"/>
  <c r="BH62" i="9" s="1"/>
  <c r="BC41" i="9"/>
  <c r="BG41" i="9" s="1"/>
  <c r="BH41" i="9" s="1"/>
  <c r="BE22" i="9"/>
  <c r="BD22" i="9"/>
  <c r="BC22" i="9"/>
  <c r="BG22" i="9" s="1"/>
  <c r="BH22" i="9" s="1"/>
  <c r="BE24" i="9"/>
  <c r="BD51" i="9"/>
  <c r="BE40" i="9"/>
  <c r="BC40" i="9"/>
  <c r="BG40" i="9" s="1"/>
  <c r="BH40" i="9" s="1"/>
  <c r="BD40" i="9"/>
  <c r="BD44" i="9"/>
  <c r="BD71" i="9"/>
  <c r="BD87" i="9"/>
  <c r="BD118" i="9"/>
  <c r="BE118" i="9"/>
  <c r="BD85" i="9"/>
  <c r="BE76" i="9"/>
  <c r="BE56" i="9"/>
  <c r="BC77" i="9"/>
  <c r="BG77" i="9" s="1"/>
  <c r="BH77" i="9" s="1"/>
  <c r="BE77" i="9"/>
  <c r="BD77" i="9"/>
  <c r="BD57" i="9"/>
  <c r="BE13" i="9"/>
  <c r="BD13" i="9"/>
  <c r="BC13" i="9"/>
  <c r="BG13" i="9" s="1"/>
  <c r="BH13" i="9" s="1"/>
  <c r="BC50" i="9"/>
  <c r="BG50" i="9" s="1"/>
  <c r="BH50" i="9" s="1"/>
  <c r="R7" i="9" l="1"/>
  <c r="P7" i="9"/>
  <c r="Q7" i="9"/>
  <c r="M7" i="9"/>
  <c r="AX81" i="8" l="1"/>
  <c r="AF88" i="8"/>
  <c r="AM94" i="8"/>
  <c r="AT100" i="8"/>
  <c r="AH106" i="8"/>
  <c r="AE109" i="8"/>
  <c r="AZ110" i="8"/>
  <c r="AP112" i="8"/>
  <c r="AJ113" i="8"/>
  <c r="AX113" i="8"/>
  <c r="AM114" i="8"/>
  <c r="AZ114" i="8"/>
  <c r="AO115" i="8"/>
  <c r="BB115" i="8"/>
  <c r="AP116" i="8"/>
  <c r="AD117" i="8"/>
  <c r="AQ117" i="8"/>
  <c r="AE118" i="8"/>
  <c r="AR118" i="8"/>
  <c r="AF119" i="8"/>
  <c r="AS119" i="8"/>
  <c r="AG120" i="8"/>
  <c r="AT120" i="8"/>
  <c r="AI121" i="8"/>
  <c r="AV121" i="8"/>
  <c r="AJ122" i="8"/>
  <c r="AW122" i="8"/>
  <c r="AD124" i="8"/>
  <c r="AF124" i="8"/>
  <c r="AG124" i="8"/>
  <c r="AH124" i="8"/>
  <c r="AI124" i="8"/>
  <c r="AJ124" i="8"/>
  <c r="AK124" i="8"/>
  <c r="AL124" i="8"/>
  <c r="AN124" i="8"/>
  <c r="AO124" i="8"/>
  <c r="AP124" i="8"/>
  <c r="AR124" i="8"/>
  <c r="AS124" i="8"/>
  <c r="AT124" i="8"/>
  <c r="AU124" i="8"/>
  <c r="AV124" i="8"/>
  <c r="AW124" i="8"/>
  <c r="AX124" i="8"/>
  <c r="AY124" i="8"/>
  <c r="BA124" i="8"/>
  <c r="BB124" i="8"/>
  <c r="AM125" i="8"/>
  <c r="AZ125" i="8"/>
  <c r="AN126" i="8"/>
  <c r="BB126" i="8"/>
  <c r="AP127" i="8"/>
  <c r="AD128" i="8"/>
  <c r="AQ128" i="8"/>
  <c r="AE129" i="8"/>
  <c r="AR129" i="8"/>
  <c r="AF130" i="8"/>
  <c r="AS130" i="8"/>
  <c r="AG131" i="8"/>
  <c r="AT131" i="8"/>
  <c r="AH132" i="8"/>
  <c r="AV132" i="8"/>
  <c r="AJ133" i="8"/>
  <c r="AW133" i="8"/>
  <c r="AK134" i="8"/>
  <c r="AX134" i="8"/>
  <c r="AD136" i="8"/>
  <c r="AF136" i="8"/>
  <c r="AG136" i="8"/>
  <c r="AH136" i="8"/>
  <c r="AI136" i="8"/>
  <c r="AJ136" i="8"/>
  <c r="AK136" i="8"/>
  <c r="AL136" i="8"/>
  <c r="AM136" i="8"/>
  <c r="AO136" i="8"/>
  <c r="AP136" i="8"/>
  <c r="AR136" i="8"/>
  <c r="AS136" i="8"/>
  <c r="AT136" i="8"/>
  <c r="AU136" i="8"/>
  <c r="AV136" i="8"/>
  <c r="AW136" i="8"/>
  <c r="AX136" i="8"/>
  <c r="AY136" i="8"/>
  <c r="AZ136" i="8"/>
  <c r="BB136" i="8"/>
  <c r="AL137" i="8"/>
  <c r="AN137" i="8"/>
  <c r="AV137" i="8"/>
  <c r="AW137" i="8"/>
  <c r="AY137" i="8"/>
  <c r="BA137" i="8"/>
  <c r="AQ12" i="8"/>
  <c r="AF13" i="8"/>
  <c r="AS13" i="8"/>
  <c r="AE14" i="8"/>
  <c r="AF14" i="8"/>
  <c r="AH14" i="8"/>
  <c r="AK14" i="8"/>
  <c r="AM14" i="8"/>
  <c r="AO14" i="8"/>
  <c r="AQ14" i="8"/>
  <c r="AR14" i="8"/>
  <c r="AS14" i="8"/>
  <c r="AU14" i="8"/>
  <c r="AX14" i="8"/>
  <c r="AZ14" i="8"/>
  <c r="AD14" i="8"/>
  <c r="B13" i="8"/>
  <c r="AE13" i="8" s="1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AQ33" i="8" s="1"/>
  <c r="B34" i="8"/>
  <c r="B35" i="8"/>
  <c r="B36" i="8"/>
  <c r="B37" i="8"/>
  <c r="B38" i="8"/>
  <c r="B39" i="8"/>
  <c r="B40" i="8"/>
  <c r="B41" i="8"/>
  <c r="B42" i="8"/>
  <c r="B43" i="8"/>
  <c r="B44" i="8"/>
  <c r="B45" i="8"/>
  <c r="AK45" i="8" s="1"/>
  <c r="B46" i="8"/>
  <c r="B47" i="8"/>
  <c r="B48" i="8"/>
  <c r="B49" i="8"/>
  <c r="B50" i="8"/>
  <c r="B51" i="8"/>
  <c r="B52" i="8"/>
  <c r="B53" i="8"/>
  <c r="AG53" i="8" s="1"/>
  <c r="B54" i="8"/>
  <c r="B55" i="8"/>
  <c r="B56" i="8"/>
  <c r="B57" i="8"/>
  <c r="AH57" i="8" s="1"/>
  <c r="B58" i="8"/>
  <c r="B59" i="8"/>
  <c r="B60" i="8"/>
  <c r="B61" i="8"/>
  <c r="B62" i="8"/>
  <c r="B63" i="8"/>
  <c r="B64" i="8"/>
  <c r="AY64" i="8" s="1"/>
  <c r="B65" i="8"/>
  <c r="B66" i="8"/>
  <c r="B67" i="8"/>
  <c r="B68" i="8"/>
  <c r="AS68" i="8" s="1"/>
  <c r="B69" i="8"/>
  <c r="B70" i="8"/>
  <c r="B71" i="8"/>
  <c r="B72" i="8"/>
  <c r="B73" i="8"/>
  <c r="B74" i="8"/>
  <c r="B75" i="8"/>
  <c r="AG75" i="8" s="1"/>
  <c r="B76" i="8"/>
  <c r="AR76" i="8" s="1"/>
  <c r="B77" i="8"/>
  <c r="AF77" i="8" s="1"/>
  <c r="B78" i="8"/>
  <c r="AG78" i="8" s="1"/>
  <c r="B79" i="8"/>
  <c r="AH79" i="8" s="1"/>
  <c r="B80" i="8"/>
  <c r="AI80" i="8" s="1"/>
  <c r="B81" i="8"/>
  <c r="AK81" i="8" s="1"/>
  <c r="B82" i="8"/>
  <c r="B83" i="8"/>
  <c r="B84" i="8"/>
  <c r="B85" i="8"/>
  <c r="B86" i="8"/>
  <c r="B87" i="8"/>
  <c r="AE87" i="8" s="1"/>
  <c r="B88" i="8"/>
  <c r="B89" i="8"/>
  <c r="AG89" i="8" s="1"/>
  <c r="B90" i="8"/>
  <c r="AH90" i="8" s="1"/>
  <c r="B91" i="8"/>
  <c r="AI91" i="8" s="1"/>
  <c r="B92" i="8"/>
  <c r="AK92" i="8" s="1"/>
  <c r="B93" i="8"/>
  <c r="AL93" i="8" s="1"/>
  <c r="B94" i="8"/>
  <c r="B95" i="8"/>
  <c r="B96" i="8"/>
  <c r="B97" i="8"/>
  <c r="B98" i="8"/>
  <c r="B99" i="8"/>
  <c r="B100" i="8"/>
  <c r="AG100" i="8" s="1"/>
  <c r="B101" i="8"/>
  <c r="B102" i="8"/>
  <c r="AV102" i="8" s="1"/>
  <c r="B103" i="8"/>
  <c r="AJ103" i="8" s="1"/>
  <c r="B104" i="8"/>
  <c r="AL104" i="8" s="1"/>
  <c r="B105" i="8"/>
  <c r="AK105" i="8" s="1"/>
  <c r="B106" i="8"/>
  <c r="B107" i="8"/>
  <c r="B108" i="8"/>
  <c r="AR108" i="8" s="1"/>
  <c r="B109" i="8"/>
  <c r="B110" i="8"/>
  <c r="B111" i="8"/>
  <c r="AM111" i="8" s="1"/>
  <c r="B112" i="8"/>
  <c r="AU112" i="8" s="1"/>
  <c r="B113" i="8"/>
  <c r="AL113" i="8" s="1"/>
  <c r="B114" i="8"/>
  <c r="AP114" i="8" s="1"/>
  <c r="B115" i="8"/>
  <c r="AG115" i="8" s="1"/>
  <c r="B116" i="8"/>
  <c r="AI116" i="8" s="1"/>
  <c r="B117" i="8"/>
  <c r="AK117" i="8" s="1"/>
  <c r="B118" i="8"/>
  <c r="AM118" i="8" s="1"/>
  <c r="B119" i="8"/>
  <c r="AP119" i="8" s="1"/>
  <c r="B120" i="8"/>
  <c r="AE120" i="8" s="1"/>
  <c r="B121" i="8"/>
  <c r="AG121" i="8" s="1"/>
  <c r="B122" i="8"/>
  <c r="B123" i="8"/>
  <c r="B124" i="8"/>
  <c r="B125" i="8"/>
  <c r="AO125" i="8" s="1"/>
  <c r="B126" i="8"/>
  <c r="AF126" i="8" s="1"/>
  <c r="B127" i="8"/>
  <c r="AH127" i="8" s="1"/>
  <c r="B128" i="8"/>
  <c r="AJ128" i="8" s="1"/>
  <c r="B129" i="8"/>
  <c r="AM129" i="8" s="1"/>
  <c r="B130" i="8"/>
  <c r="AO130" i="8" s="1"/>
  <c r="B131" i="8"/>
  <c r="AD131" i="8" s="1"/>
  <c r="B132" i="8"/>
  <c r="AF132" i="8" s="1"/>
  <c r="B133" i="8"/>
  <c r="AG133" i="8" s="1"/>
  <c r="B134" i="8"/>
  <c r="B135" i="8"/>
  <c r="AD135" i="8" s="1"/>
  <c r="B136" i="8"/>
  <c r="B137" i="8"/>
  <c r="AE137" i="8" s="1"/>
  <c r="B12" i="8"/>
  <c r="AH12" i="8" s="1"/>
  <c r="AF123" i="8" l="1"/>
  <c r="AR123" i="8"/>
  <c r="AD39" i="8"/>
  <c r="AP39" i="8"/>
  <c r="BB39" i="8"/>
  <c r="AE39" i="8"/>
  <c r="AQ39" i="8"/>
  <c r="AF39" i="8"/>
  <c r="AR39" i="8"/>
  <c r="AG39" i="8"/>
  <c r="AS39" i="8"/>
  <c r="AH39" i="8"/>
  <c r="AX39" i="8"/>
  <c r="AI39" i="8"/>
  <c r="AY39" i="8"/>
  <c r="AJ39" i="8"/>
  <c r="AZ39" i="8"/>
  <c r="AK39" i="8"/>
  <c r="BA39" i="8"/>
  <c r="AL39" i="8"/>
  <c r="AM39" i="8"/>
  <c r="AN39" i="8"/>
  <c r="AO39" i="8"/>
  <c r="AT39" i="8"/>
  <c r="AU39" i="8"/>
  <c r="AV39" i="8"/>
  <c r="AG134" i="8"/>
  <c r="AS134" i="8"/>
  <c r="AG122" i="8"/>
  <c r="AS122" i="8"/>
  <c r="AG110" i="8"/>
  <c r="AS110" i="8"/>
  <c r="AH110" i="8"/>
  <c r="AT110" i="8"/>
  <c r="AI110" i="8"/>
  <c r="AU110" i="8"/>
  <c r="AJ110" i="8"/>
  <c r="AV110" i="8"/>
  <c r="AK110" i="8"/>
  <c r="AW110" i="8"/>
  <c r="AL110" i="8"/>
  <c r="AX110" i="8"/>
  <c r="AM110" i="8"/>
  <c r="AO110" i="8"/>
  <c r="AD98" i="8"/>
  <c r="AP98" i="8"/>
  <c r="BB98" i="8"/>
  <c r="AF98" i="8"/>
  <c r="AS98" i="8"/>
  <c r="AG98" i="8"/>
  <c r="AT98" i="8"/>
  <c r="AH98" i="8"/>
  <c r="AU98" i="8"/>
  <c r="AI98" i="8"/>
  <c r="AV98" i="8"/>
  <c r="AJ98" i="8"/>
  <c r="AW98" i="8"/>
  <c r="AK98" i="8"/>
  <c r="AX98" i="8"/>
  <c r="AL98" i="8"/>
  <c r="AY98" i="8"/>
  <c r="AM98" i="8"/>
  <c r="AZ98" i="8"/>
  <c r="AN98" i="8"/>
  <c r="BA98" i="8"/>
  <c r="AO98" i="8"/>
  <c r="AQ98" i="8"/>
  <c r="AD86" i="8"/>
  <c r="AP86" i="8"/>
  <c r="BB86" i="8"/>
  <c r="AE86" i="8"/>
  <c r="AR86" i="8"/>
  <c r="AF86" i="8"/>
  <c r="AS86" i="8"/>
  <c r="AG86" i="8"/>
  <c r="AT86" i="8"/>
  <c r="AH86" i="8"/>
  <c r="AU86" i="8"/>
  <c r="AI86" i="8"/>
  <c r="AV86" i="8"/>
  <c r="AJ86" i="8"/>
  <c r="AW86" i="8"/>
  <c r="AK86" i="8"/>
  <c r="AX86" i="8"/>
  <c r="AL86" i="8"/>
  <c r="AY86" i="8"/>
  <c r="AM86" i="8"/>
  <c r="AZ86" i="8"/>
  <c r="AN86" i="8"/>
  <c r="BA86" i="8"/>
  <c r="AO86" i="8"/>
  <c r="AD74" i="8"/>
  <c r="AP74" i="8"/>
  <c r="BB74" i="8"/>
  <c r="AE74" i="8"/>
  <c r="AQ74" i="8"/>
  <c r="AF74" i="8"/>
  <c r="AR74" i="8"/>
  <c r="AG74" i="8"/>
  <c r="AS74" i="8"/>
  <c r="AH74" i="8"/>
  <c r="AT74" i="8"/>
  <c r="AI74" i="8"/>
  <c r="AU74" i="8"/>
  <c r="AK74" i="8"/>
  <c r="AL74" i="8"/>
  <c r="AM74" i="8"/>
  <c r="AN74" i="8"/>
  <c r="AO74" i="8"/>
  <c r="AV74" i="8"/>
  <c r="AW74" i="8"/>
  <c r="AX74" i="8"/>
  <c r="AY74" i="8"/>
  <c r="AZ74" i="8"/>
  <c r="BA74" i="8"/>
  <c r="AD62" i="8"/>
  <c r="AP62" i="8"/>
  <c r="BB62" i="8"/>
  <c r="AE62" i="8"/>
  <c r="AQ62" i="8"/>
  <c r="AF62" i="8"/>
  <c r="AR62" i="8"/>
  <c r="AG62" i="8"/>
  <c r="AS62" i="8"/>
  <c r="AH62" i="8"/>
  <c r="AT62" i="8"/>
  <c r="AI62" i="8"/>
  <c r="AU62" i="8"/>
  <c r="AJ62" i="8"/>
  <c r="AV62" i="8"/>
  <c r="AK62" i="8"/>
  <c r="AW62" i="8"/>
  <c r="AL62" i="8"/>
  <c r="AX62" i="8"/>
  <c r="AM62" i="8"/>
  <c r="AY62" i="8"/>
  <c r="AN62" i="8"/>
  <c r="AZ62" i="8"/>
  <c r="AO62" i="8"/>
  <c r="BA62" i="8"/>
  <c r="AE50" i="8"/>
  <c r="AQ50" i="8"/>
  <c r="AD50" i="8"/>
  <c r="AR50" i="8"/>
  <c r="AF50" i="8"/>
  <c r="AS50" i="8"/>
  <c r="AG50" i="8"/>
  <c r="AT50" i="8"/>
  <c r="AH50" i="8"/>
  <c r="AU50" i="8"/>
  <c r="AI50" i="8"/>
  <c r="AV50" i="8"/>
  <c r="AJ50" i="8"/>
  <c r="AW50" i="8"/>
  <c r="AK50" i="8"/>
  <c r="AX50" i="8"/>
  <c r="AL50" i="8"/>
  <c r="AY50" i="8"/>
  <c r="AM50" i="8"/>
  <c r="AZ50" i="8"/>
  <c r="AN50" i="8"/>
  <c r="BA50" i="8"/>
  <c r="AO50" i="8"/>
  <c r="BB50" i="8"/>
  <c r="AP50" i="8"/>
  <c r="AE38" i="8"/>
  <c r="AQ38" i="8"/>
  <c r="AF38" i="8"/>
  <c r="AR38" i="8"/>
  <c r="AG38" i="8"/>
  <c r="AS38" i="8"/>
  <c r="AH38" i="8"/>
  <c r="AT38" i="8"/>
  <c r="AM38" i="8"/>
  <c r="AN38" i="8"/>
  <c r="AO38" i="8"/>
  <c r="AP38" i="8"/>
  <c r="AU38" i="8"/>
  <c r="AV38" i="8"/>
  <c r="AW38" i="8"/>
  <c r="AD38" i="8"/>
  <c r="AX38" i="8"/>
  <c r="AI38" i="8"/>
  <c r="AY38" i="8"/>
  <c r="AJ38" i="8"/>
  <c r="AZ38" i="8"/>
  <c r="AK38" i="8"/>
  <c r="BA38" i="8"/>
  <c r="AL38" i="8"/>
  <c r="BB38" i="8"/>
  <c r="AE26" i="8"/>
  <c r="AQ26" i="8"/>
  <c r="AF26" i="8"/>
  <c r="AR26" i="8"/>
  <c r="AG26" i="8"/>
  <c r="AS26" i="8"/>
  <c r="AH26" i="8"/>
  <c r="AT26" i="8"/>
  <c r="AI26" i="8"/>
  <c r="AU26" i="8"/>
  <c r="AJ26" i="8"/>
  <c r="AV26" i="8"/>
  <c r="AK26" i="8"/>
  <c r="AW26" i="8"/>
  <c r="AL26" i="8"/>
  <c r="AX26" i="8"/>
  <c r="AM26" i="8"/>
  <c r="AY26" i="8"/>
  <c r="AN26" i="8"/>
  <c r="AZ26" i="8"/>
  <c r="AO26" i="8"/>
  <c r="BA26" i="8"/>
  <c r="BB26" i="8"/>
  <c r="AD26" i="8"/>
  <c r="AP26" i="8"/>
  <c r="AP14" i="8"/>
  <c r="BB14" i="8"/>
  <c r="AT14" i="8"/>
  <c r="AG14" i="8"/>
  <c r="AR13" i="8"/>
  <c r="AO12" i="8"/>
  <c r="AZ137" i="8"/>
  <c r="AM137" i="8"/>
  <c r="AX135" i="8"/>
  <c r="AK135" i="8"/>
  <c r="AW134" i="8"/>
  <c r="AJ134" i="8"/>
  <c r="AV133" i="8"/>
  <c r="AI133" i="8"/>
  <c r="AT132" i="8"/>
  <c r="AG132" i="8"/>
  <c r="AS131" i="8"/>
  <c r="AF131" i="8"/>
  <c r="AR130" i="8"/>
  <c r="AE130" i="8"/>
  <c r="AQ129" i="8"/>
  <c r="AD129" i="8"/>
  <c r="AP128" i="8"/>
  <c r="BB127" i="8"/>
  <c r="AO127" i="8"/>
  <c r="AZ126" i="8"/>
  <c r="AM126" i="8"/>
  <c r="AY125" i="8"/>
  <c r="AL125" i="8"/>
  <c r="AW123" i="8"/>
  <c r="AJ123" i="8"/>
  <c r="AV122" i="8"/>
  <c r="AI122" i="8"/>
  <c r="AU121" i="8"/>
  <c r="AS120" i="8"/>
  <c r="AF120" i="8"/>
  <c r="AR119" i="8"/>
  <c r="AE119" i="8"/>
  <c r="AQ118" i="8"/>
  <c r="AD118" i="8"/>
  <c r="AP117" i="8"/>
  <c r="BB116" i="8"/>
  <c r="AO116" i="8"/>
  <c r="BA115" i="8"/>
  <c r="AM115" i="8"/>
  <c r="AY114" i="8"/>
  <c r="AL114" i="8"/>
  <c r="AW113" i="8"/>
  <c r="AI113" i="8"/>
  <c r="AO112" i="8"/>
  <c r="AX111" i="8"/>
  <c r="AY110" i="8"/>
  <c r="AT108" i="8"/>
  <c r="AW105" i="8"/>
  <c r="AY93" i="8"/>
  <c r="AR87" i="8"/>
  <c r="AJ74" i="8"/>
  <c r="AO99" i="8"/>
  <c r="BA99" i="8"/>
  <c r="AG99" i="8"/>
  <c r="AT99" i="8"/>
  <c r="AH99" i="8"/>
  <c r="AU99" i="8"/>
  <c r="AI99" i="8"/>
  <c r="AV99" i="8"/>
  <c r="AJ99" i="8"/>
  <c r="AW99" i="8"/>
  <c r="AK99" i="8"/>
  <c r="AX99" i="8"/>
  <c r="AL99" i="8"/>
  <c r="AY99" i="8"/>
  <c r="AM99" i="8"/>
  <c r="AZ99" i="8"/>
  <c r="AN99" i="8"/>
  <c r="BB99" i="8"/>
  <c r="AP99" i="8"/>
  <c r="AD99" i="8"/>
  <c r="AQ99" i="8"/>
  <c r="AE99" i="8"/>
  <c r="AR99" i="8"/>
  <c r="AH121" i="8"/>
  <c r="AT121" i="8"/>
  <c r="AH109" i="8"/>
  <c r="AT109" i="8"/>
  <c r="AI109" i="8"/>
  <c r="AU109" i="8"/>
  <c r="AJ109" i="8"/>
  <c r="AV109" i="8"/>
  <c r="AK109" i="8"/>
  <c r="AW109" i="8"/>
  <c r="AL109" i="8"/>
  <c r="AX109" i="8"/>
  <c r="AM109" i="8"/>
  <c r="AY109" i="8"/>
  <c r="AN109" i="8"/>
  <c r="AZ109" i="8"/>
  <c r="AO109" i="8"/>
  <c r="BA109" i="8"/>
  <c r="AD109" i="8"/>
  <c r="AP109" i="8"/>
  <c r="BB109" i="8"/>
  <c r="AF109" i="8"/>
  <c r="AR109" i="8"/>
  <c r="AE97" i="8"/>
  <c r="AQ97" i="8"/>
  <c r="AD97" i="8"/>
  <c r="AR97" i="8"/>
  <c r="AF97" i="8"/>
  <c r="AS97" i="8"/>
  <c r="AG97" i="8"/>
  <c r="AT97" i="8"/>
  <c r="AH97" i="8"/>
  <c r="AU97" i="8"/>
  <c r="AI97" i="8"/>
  <c r="AV97" i="8"/>
  <c r="AJ97" i="8"/>
  <c r="AW97" i="8"/>
  <c r="AK97" i="8"/>
  <c r="AX97" i="8"/>
  <c r="AL97" i="8"/>
  <c r="AY97" i="8"/>
  <c r="AM97" i="8"/>
  <c r="AZ97" i="8"/>
  <c r="AN97" i="8"/>
  <c r="BA97" i="8"/>
  <c r="AO97" i="8"/>
  <c r="BB97" i="8"/>
  <c r="AE85" i="8"/>
  <c r="AQ85" i="8"/>
  <c r="AP85" i="8"/>
  <c r="AD85" i="8"/>
  <c r="AR85" i="8"/>
  <c r="AF85" i="8"/>
  <c r="AS85" i="8"/>
  <c r="AG85" i="8"/>
  <c r="AT85" i="8"/>
  <c r="AH85" i="8"/>
  <c r="AU85" i="8"/>
  <c r="AI85" i="8"/>
  <c r="AV85" i="8"/>
  <c r="AJ85" i="8"/>
  <c r="AW85" i="8"/>
  <c r="AK85" i="8"/>
  <c r="AX85" i="8"/>
  <c r="AL85" i="8"/>
  <c r="AY85" i="8"/>
  <c r="AM85" i="8"/>
  <c r="AZ85" i="8"/>
  <c r="AN85" i="8"/>
  <c r="BA85" i="8"/>
  <c r="AE73" i="8"/>
  <c r="AQ73" i="8"/>
  <c r="AF73" i="8"/>
  <c r="AR73" i="8"/>
  <c r="AG73" i="8"/>
  <c r="AS73" i="8"/>
  <c r="AH73" i="8"/>
  <c r="AT73" i="8"/>
  <c r="AI73" i="8"/>
  <c r="AU73" i="8"/>
  <c r="AJ73" i="8"/>
  <c r="AV73" i="8"/>
  <c r="AL73" i="8"/>
  <c r="AM73" i="8"/>
  <c r="AN73" i="8"/>
  <c r="AO73" i="8"/>
  <c r="AP73" i="8"/>
  <c r="AW73" i="8"/>
  <c r="AX73" i="8"/>
  <c r="AY73" i="8"/>
  <c r="AZ73" i="8"/>
  <c r="BA73" i="8"/>
  <c r="AD73" i="8"/>
  <c r="BB73" i="8"/>
  <c r="AE61" i="8"/>
  <c r="AQ61" i="8"/>
  <c r="AF61" i="8"/>
  <c r="AR61" i="8"/>
  <c r="AG61" i="8"/>
  <c r="AS61" i="8"/>
  <c r="AH61" i="8"/>
  <c r="AT61" i="8"/>
  <c r="AI61" i="8"/>
  <c r="AU61" i="8"/>
  <c r="AJ61" i="8"/>
  <c r="AV61" i="8"/>
  <c r="AK61" i="8"/>
  <c r="AW61" i="8"/>
  <c r="AL61" i="8"/>
  <c r="AX61" i="8"/>
  <c r="AM61" i="8"/>
  <c r="AY61" i="8"/>
  <c r="AN61" i="8"/>
  <c r="AZ61" i="8"/>
  <c r="AO61" i="8"/>
  <c r="BA61" i="8"/>
  <c r="AD61" i="8"/>
  <c r="AP61" i="8"/>
  <c r="BB61" i="8"/>
  <c r="AF49" i="8"/>
  <c r="AR49" i="8"/>
  <c r="AP49" i="8"/>
  <c r="AD49" i="8"/>
  <c r="AQ49" i="8"/>
  <c r="AE49" i="8"/>
  <c r="AS49" i="8"/>
  <c r="AG49" i="8"/>
  <c r="AT49" i="8"/>
  <c r="AH49" i="8"/>
  <c r="AU49" i="8"/>
  <c r="AI49" i="8"/>
  <c r="AV49" i="8"/>
  <c r="AJ49" i="8"/>
  <c r="AW49" i="8"/>
  <c r="AK49" i="8"/>
  <c r="AX49" i="8"/>
  <c r="AL49" i="8"/>
  <c r="AY49" i="8"/>
  <c r="AM49" i="8"/>
  <c r="AZ49" i="8"/>
  <c r="AN49" i="8"/>
  <c r="BA49" i="8"/>
  <c r="AO49" i="8"/>
  <c r="BB49" i="8"/>
  <c r="AF37" i="8"/>
  <c r="AR37" i="8"/>
  <c r="AG37" i="8"/>
  <c r="AS37" i="8"/>
  <c r="AH37" i="8"/>
  <c r="AT37" i="8"/>
  <c r="AI37" i="8"/>
  <c r="AU37" i="8"/>
  <c r="AJ37" i="8"/>
  <c r="AK37" i="8"/>
  <c r="AW37" i="8"/>
  <c r="AQ37" i="8"/>
  <c r="AV37" i="8"/>
  <c r="AX37" i="8"/>
  <c r="AY37" i="8"/>
  <c r="AZ37" i="8"/>
  <c r="AD37" i="8"/>
  <c r="BA37" i="8"/>
  <c r="AE37" i="8"/>
  <c r="BB37" i="8"/>
  <c r="AL37" i="8"/>
  <c r="AM37" i="8"/>
  <c r="AN37" i="8"/>
  <c r="AO37" i="8"/>
  <c r="AP37" i="8"/>
  <c r="AF25" i="8"/>
  <c r="AR25" i="8"/>
  <c r="AG25" i="8"/>
  <c r="AS25" i="8"/>
  <c r="AH25" i="8"/>
  <c r="AT25" i="8"/>
  <c r="AI25" i="8"/>
  <c r="AU25" i="8"/>
  <c r="AJ25" i="8"/>
  <c r="AV25" i="8"/>
  <c r="AK25" i="8"/>
  <c r="AW25" i="8"/>
  <c r="AL25" i="8"/>
  <c r="AX25" i="8"/>
  <c r="AM25" i="8"/>
  <c r="AY25" i="8"/>
  <c r="AN25" i="8"/>
  <c r="AZ25" i="8"/>
  <c r="AO25" i="8"/>
  <c r="BA25" i="8"/>
  <c r="AD25" i="8"/>
  <c r="AP25" i="8"/>
  <c r="BB25" i="8"/>
  <c r="AE25" i="8"/>
  <c r="AQ25" i="8"/>
  <c r="AP13" i="8"/>
  <c r="BB13" i="8"/>
  <c r="AQ13" i="8"/>
  <c r="BA12" i="8"/>
  <c r="AN12" i="8"/>
  <c r="AW135" i="8"/>
  <c r="AJ135" i="8"/>
  <c r="AV134" i="8"/>
  <c r="AI134" i="8"/>
  <c r="AU133" i="8"/>
  <c r="AS132" i="8"/>
  <c r="AR131" i="8"/>
  <c r="AE131" i="8"/>
  <c r="BC131" i="8" s="1"/>
  <c r="BG131" i="8" s="1"/>
  <c r="BH131" i="8" s="1"/>
  <c r="AQ130" i="8"/>
  <c r="AD130" i="8"/>
  <c r="AP129" i="8"/>
  <c r="BB128" i="8"/>
  <c r="AO128" i="8"/>
  <c r="BA127" i="8"/>
  <c r="AM127" i="8"/>
  <c r="AY126" i="8"/>
  <c r="AL126" i="8"/>
  <c r="AX125" i="8"/>
  <c r="AK125" i="8"/>
  <c r="AV123" i="8"/>
  <c r="AI123" i="8"/>
  <c r="AU122" i="8"/>
  <c r="AH122" i="8"/>
  <c r="AS121" i="8"/>
  <c r="AF121" i="8"/>
  <c r="AR120" i="8"/>
  <c r="AQ119" i="8"/>
  <c r="AD119" i="8"/>
  <c r="AP118" i="8"/>
  <c r="BB117" i="8"/>
  <c r="AO117" i="8"/>
  <c r="BA116" i="8"/>
  <c r="AN116" i="8"/>
  <c r="AY115" i="8"/>
  <c r="AL115" i="8"/>
  <c r="AX114" i="8"/>
  <c r="AK114" i="8"/>
  <c r="AV113" i="8"/>
  <c r="AH113" i="8"/>
  <c r="AN112" i="8"/>
  <c r="AQ111" i="8"/>
  <c r="AR110" i="8"/>
  <c r="AU105" i="8"/>
  <c r="AS99" i="8"/>
  <c r="AW80" i="8"/>
  <c r="AK73" i="8"/>
  <c r="AD51" i="8"/>
  <c r="AP51" i="8"/>
  <c r="BB51" i="8"/>
  <c r="AF51" i="8"/>
  <c r="AS51" i="8"/>
  <c r="AG51" i="8"/>
  <c r="AT51" i="8"/>
  <c r="AH51" i="8"/>
  <c r="AU51" i="8"/>
  <c r="AI51" i="8"/>
  <c r="AV51" i="8"/>
  <c r="AJ51" i="8"/>
  <c r="AW51" i="8"/>
  <c r="AK51" i="8"/>
  <c r="AX51" i="8"/>
  <c r="AL51" i="8"/>
  <c r="AY51" i="8"/>
  <c r="AM51" i="8"/>
  <c r="AZ51" i="8"/>
  <c r="AN51" i="8"/>
  <c r="BA51" i="8"/>
  <c r="AO51" i="8"/>
  <c r="AQ51" i="8"/>
  <c r="AE51" i="8"/>
  <c r="AR51" i="8"/>
  <c r="AH133" i="8"/>
  <c r="AT133" i="8"/>
  <c r="AI132" i="8"/>
  <c r="AU132" i="8"/>
  <c r="AI120" i="8"/>
  <c r="AU120" i="8"/>
  <c r="AI108" i="8"/>
  <c r="AU108" i="8"/>
  <c r="AJ108" i="8"/>
  <c r="AV108" i="8"/>
  <c r="AK108" i="8"/>
  <c r="AW108" i="8"/>
  <c r="AL108" i="8"/>
  <c r="AX108" i="8"/>
  <c r="AM108" i="8"/>
  <c r="AY108" i="8"/>
  <c r="AN108" i="8"/>
  <c r="AZ108" i="8"/>
  <c r="AO108" i="8"/>
  <c r="BA108" i="8"/>
  <c r="AD108" i="8"/>
  <c r="AP108" i="8"/>
  <c r="BB108" i="8"/>
  <c r="AE108" i="8"/>
  <c r="AQ108" i="8"/>
  <c r="AG108" i="8"/>
  <c r="AS108" i="8"/>
  <c r="AF96" i="8"/>
  <c r="AR96" i="8"/>
  <c r="AP96" i="8"/>
  <c r="AD96" i="8"/>
  <c r="AQ96" i="8"/>
  <c r="AE96" i="8"/>
  <c r="AS96" i="8"/>
  <c r="AG96" i="8"/>
  <c r="AT96" i="8"/>
  <c r="AH96" i="8"/>
  <c r="AU96" i="8"/>
  <c r="AI96" i="8"/>
  <c r="AV96" i="8"/>
  <c r="AJ96" i="8"/>
  <c r="AW96" i="8"/>
  <c r="AK96" i="8"/>
  <c r="AX96" i="8"/>
  <c r="AL96" i="8"/>
  <c r="AY96" i="8"/>
  <c r="AM96" i="8"/>
  <c r="AZ96" i="8"/>
  <c r="AN96" i="8"/>
  <c r="BA96" i="8"/>
  <c r="AF84" i="8"/>
  <c r="AR84" i="8"/>
  <c r="AO84" i="8"/>
  <c r="BB84" i="8"/>
  <c r="AP84" i="8"/>
  <c r="AD84" i="8"/>
  <c r="AQ84" i="8"/>
  <c r="AE84" i="8"/>
  <c r="AS84" i="8"/>
  <c r="AG84" i="8"/>
  <c r="AT84" i="8"/>
  <c r="AH84" i="8"/>
  <c r="AU84" i="8"/>
  <c r="AI84" i="8"/>
  <c r="AV84" i="8"/>
  <c r="AJ84" i="8"/>
  <c r="AW84" i="8"/>
  <c r="AK84" i="8"/>
  <c r="AX84" i="8"/>
  <c r="AL84" i="8"/>
  <c r="AY84" i="8"/>
  <c r="AM84" i="8"/>
  <c r="AZ84" i="8"/>
  <c r="AF72" i="8"/>
  <c r="AR72" i="8"/>
  <c r="AG72" i="8"/>
  <c r="AS72" i="8"/>
  <c r="AH72" i="8"/>
  <c r="AT72" i="8"/>
  <c r="AI72" i="8"/>
  <c r="AU72" i="8"/>
  <c r="AJ72" i="8"/>
  <c r="AV72" i="8"/>
  <c r="AK72" i="8"/>
  <c r="AW72" i="8"/>
  <c r="AM72" i="8"/>
  <c r="AN72" i="8"/>
  <c r="AO72" i="8"/>
  <c r="AP72" i="8"/>
  <c r="AQ72" i="8"/>
  <c r="AX72" i="8"/>
  <c r="AY72" i="8"/>
  <c r="AZ72" i="8"/>
  <c r="BA72" i="8"/>
  <c r="AD72" i="8"/>
  <c r="BB72" i="8"/>
  <c r="AE72" i="8"/>
  <c r="AF60" i="8"/>
  <c r="AR60" i="8"/>
  <c r="AG60" i="8"/>
  <c r="AS60" i="8"/>
  <c r="AH60" i="8"/>
  <c r="AT60" i="8"/>
  <c r="AI60" i="8"/>
  <c r="AU60" i="8"/>
  <c r="AJ60" i="8"/>
  <c r="AV60" i="8"/>
  <c r="AK60" i="8"/>
  <c r="AW60" i="8"/>
  <c r="AL60" i="8"/>
  <c r="AX60" i="8"/>
  <c r="AM60" i="8"/>
  <c r="AY60" i="8"/>
  <c r="AN60" i="8"/>
  <c r="AZ60" i="8"/>
  <c r="AO60" i="8"/>
  <c r="BA60" i="8"/>
  <c r="AD60" i="8"/>
  <c r="AP60" i="8"/>
  <c r="BB60" i="8"/>
  <c r="AE60" i="8"/>
  <c r="AQ60" i="8"/>
  <c r="AG48" i="8"/>
  <c r="AS48" i="8"/>
  <c r="AO48" i="8"/>
  <c r="BB48" i="8"/>
  <c r="AP48" i="8"/>
  <c r="AD48" i="8"/>
  <c r="AQ48" i="8"/>
  <c r="AE48" i="8"/>
  <c r="AR48" i="8"/>
  <c r="AF48" i="8"/>
  <c r="AT48" i="8"/>
  <c r="AH48" i="8"/>
  <c r="AU48" i="8"/>
  <c r="AI48" i="8"/>
  <c r="AV48" i="8"/>
  <c r="AJ48" i="8"/>
  <c r="AW48" i="8"/>
  <c r="AK48" i="8"/>
  <c r="AX48" i="8"/>
  <c r="AL48" i="8"/>
  <c r="AY48" i="8"/>
  <c r="AM48" i="8"/>
  <c r="AZ48" i="8"/>
  <c r="AN48" i="8"/>
  <c r="BA48" i="8"/>
  <c r="AG36" i="8"/>
  <c r="AS36" i="8"/>
  <c r="AH36" i="8"/>
  <c r="AT36" i="8"/>
  <c r="AI36" i="8"/>
  <c r="AU36" i="8"/>
  <c r="AJ36" i="8"/>
  <c r="AV36" i="8"/>
  <c r="AK36" i="8"/>
  <c r="AW36" i="8"/>
  <c r="AL36" i="8"/>
  <c r="AX36" i="8"/>
  <c r="AR36" i="8"/>
  <c r="AY36" i="8"/>
  <c r="AZ36" i="8"/>
  <c r="BA36" i="8"/>
  <c r="AD36" i="8"/>
  <c r="BB36" i="8"/>
  <c r="AE36" i="8"/>
  <c r="AF36" i="8"/>
  <c r="AM36" i="8"/>
  <c r="AN36" i="8"/>
  <c r="AO36" i="8"/>
  <c r="AP36" i="8"/>
  <c r="AQ36" i="8"/>
  <c r="AG24" i="8"/>
  <c r="AS24" i="8"/>
  <c r="AH24" i="8"/>
  <c r="AT24" i="8"/>
  <c r="AI24" i="8"/>
  <c r="AU24" i="8"/>
  <c r="AJ24" i="8"/>
  <c r="AV24" i="8"/>
  <c r="AK24" i="8"/>
  <c r="AW24" i="8"/>
  <c r="AL24" i="8"/>
  <c r="AX24" i="8"/>
  <c r="AM24" i="8"/>
  <c r="AY24" i="8"/>
  <c r="AN24" i="8"/>
  <c r="AZ24" i="8"/>
  <c r="AO24" i="8"/>
  <c r="BA24" i="8"/>
  <c r="AD24" i="8"/>
  <c r="AP24" i="8"/>
  <c r="BB24" i="8"/>
  <c r="AE24" i="8"/>
  <c r="AQ24" i="8"/>
  <c r="AF24" i="8"/>
  <c r="AR24" i="8"/>
  <c r="AD12" i="8"/>
  <c r="AO13" i="8"/>
  <c r="AZ12" i="8"/>
  <c r="AM12" i="8"/>
  <c r="AX137" i="8"/>
  <c r="AK137" i="8"/>
  <c r="AV135" i="8"/>
  <c r="AI135" i="8"/>
  <c r="AU134" i="8"/>
  <c r="AH134" i="8"/>
  <c r="AS133" i="8"/>
  <c r="AF133" i="8"/>
  <c r="AR132" i="8"/>
  <c r="AE132" i="8"/>
  <c r="AQ131" i="8"/>
  <c r="AP130" i="8"/>
  <c r="BB129" i="8"/>
  <c r="AO129" i="8"/>
  <c r="BA128" i="8"/>
  <c r="AN128" i="8"/>
  <c r="AY127" i="8"/>
  <c r="AL127" i="8"/>
  <c r="AX126" i="8"/>
  <c r="AK126" i="8"/>
  <c r="AW125" i="8"/>
  <c r="AJ125" i="8"/>
  <c r="AU123" i="8"/>
  <c r="AH123" i="8"/>
  <c r="AT122" i="8"/>
  <c r="AF122" i="8"/>
  <c r="AR121" i="8"/>
  <c r="AE121" i="8"/>
  <c r="AQ120" i="8"/>
  <c r="AD120" i="8"/>
  <c r="BB118" i="8"/>
  <c r="AO118" i="8"/>
  <c r="BA117" i="8"/>
  <c r="AN117" i="8"/>
  <c r="AZ116" i="8"/>
  <c r="AL116" i="8"/>
  <c r="AX115" i="8"/>
  <c r="AK115" i="8"/>
  <c r="AW114" i="8"/>
  <c r="AJ114" i="8"/>
  <c r="AU113" i="8"/>
  <c r="AG113" i="8"/>
  <c r="AM112" i="8"/>
  <c r="AP111" i="8"/>
  <c r="AQ110" i="8"/>
  <c r="AH108" i="8"/>
  <c r="AF99" i="8"/>
  <c r="AX92" i="8"/>
  <c r="AQ86" i="8"/>
  <c r="AL72" i="8"/>
  <c r="AJ131" i="8"/>
  <c r="AV131" i="8"/>
  <c r="AJ119" i="8"/>
  <c r="AV119" i="8"/>
  <c r="AJ107" i="8"/>
  <c r="AV107" i="8"/>
  <c r="AK107" i="8"/>
  <c r="AW107" i="8"/>
  <c r="AL107" i="8"/>
  <c r="AX107" i="8"/>
  <c r="AM107" i="8"/>
  <c r="AY107" i="8"/>
  <c r="AN107" i="8"/>
  <c r="AZ107" i="8"/>
  <c r="AO107" i="8"/>
  <c r="BA107" i="8"/>
  <c r="AD107" i="8"/>
  <c r="AP107" i="8"/>
  <c r="BB107" i="8"/>
  <c r="AE107" i="8"/>
  <c r="AQ107" i="8"/>
  <c r="AF107" i="8"/>
  <c r="AR107" i="8"/>
  <c r="AH107" i="8"/>
  <c r="AT107" i="8"/>
  <c r="AG95" i="8"/>
  <c r="AS95" i="8"/>
  <c r="AO95" i="8"/>
  <c r="BB95" i="8"/>
  <c r="AP95" i="8"/>
  <c r="AD95" i="8"/>
  <c r="AQ95" i="8"/>
  <c r="AE95" i="8"/>
  <c r="AR95" i="8"/>
  <c r="AF95" i="8"/>
  <c r="AT95" i="8"/>
  <c r="AH95" i="8"/>
  <c r="AU95" i="8"/>
  <c r="AI95" i="8"/>
  <c r="AV95" i="8"/>
  <c r="AJ95" i="8"/>
  <c r="AW95" i="8"/>
  <c r="AK95" i="8"/>
  <c r="AX95" i="8"/>
  <c r="AL95" i="8"/>
  <c r="AY95" i="8"/>
  <c r="AM95" i="8"/>
  <c r="AZ95" i="8"/>
  <c r="AG83" i="8"/>
  <c r="AS83" i="8"/>
  <c r="AN83" i="8"/>
  <c r="BA83" i="8"/>
  <c r="AO83" i="8"/>
  <c r="BB83" i="8"/>
  <c r="AP83" i="8"/>
  <c r="AD83" i="8"/>
  <c r="AQ83" i="8"/>
  <c r="AE83" i="8"/>
  <c r="AR83" i="8"/>
  <c r="AF83" i="8"/>
  <c r="AT83" i="8"/>
  <c r="AH83" i="8"/>
  <c r="AU83" i="8"/>
  <c r="AI83" i="8"/>
  <c r="AV83" i="8"/>
  <c r="AJ83" i="8"/>
  <c r="AW83" i="8"/>
  <c r="AK83" i="8"/>
  <c r="AX83" i="8"/>
  <c r="AL83" i="8"/>
  <c r="AY83" i="8"/>
  <c r="AG71" i="8"/>
  <c r="AS71" i="8"/>
  <c r="AH71" i="8"/>
  <c r="AT71" i="8"/>
  <c r="AI71" i="8"/>
  <c r="AU71" i="8"/>
  <c r="AJ71" i="8"/>
  <c r="AV71" i="8"/>
  <c r="AK71" i="8"/>
  <c r="AW71" i="8"/>
  <c r="AL71" i="8"/>
  <c r="AX71" i="8"/>
  <c r="AN71" i="8"/>
  <c r="AO71" i="8"/>
  <c r="AP71" i="8"/>
  <c r="AQ71" i="8"/>
  <c r="AR71" i="8"/>
  <c r="AY71" i="8"/>
  <c r="AZ71" i="8"/>
  <c r="BA71" i="8"/>
  <c r="AD71" i="8"/>
  <c r="BB71" i="8"/>
  <c r="AE71" i="8"/>
  <c r="AF71" i="8"/>
  <c r="AG59" i="8"/>
  <c r="AS59" i="8"/>
  <c r="AH59" i="8"/>
  <c r="AT59" i="8"/>
  <c r="AI59" i="8"/>
  <c r="AU59" i="8"/>
  <c r="AJ59" i="8"/>
  <c r="AV59" i="8"/>
  <c r="AK59" i="8"/>
  <c r="AW59" i="8"/>
  <c r="AL59" i="8"/>
  <c r="AX59" i="8"/>
  <c r="AM59" i="8"/>
  <c r="AY59" i="8"/>
  <c r="AN59" i="8"/>
  <c r="AZ59" i="8"/>
  <c r="AO59" i="8"/>
  <c r="BA59" i="8"/>
  <c r="AD59" i="8"/>
  <c r="AP59" i="8"/>
  <c r="BB59" i="8"/>
  <c r="AE59" i="8"/>
  <c r="AQ59" i="8"/>
  <c r="AR59" i="8"/>
  <c r="AH47" i="8"/>
  <c r="AT47" i="8"/>
  <c r="AN47" i="8"/>
  <c r="BA47" i="8"/>
  <c r="AO47" i="8"/>
  <c r="BB47" i="8"/>
  <c r="AP47" i="8"/>
  <c r="AD47" i="8"/>
  <c r="AQ47" i="8"/>
  <c r="AE47" i="8"/>
  <c r="AR47" i="8"/>
  <c r="AF47" i="8"/>
  <c r="AS47" i="8"/>
  <c r="AG47" i="8"/>
  <c r="AU47" i="8"/>
  <c r="AI47" i="8"/>
  <c r="AV47" i="8"/>
  <c r="AJ47" i="8"/>
  <c r="AW47" i="8"/>
  <c r="AK47" i="8"/>
  <c r="AX47" i="8"/>
  <c r="AL47" i="8"/>
  <c r="AY47" i="8"/>
  <c r="AM47" i="8"/>
  <c r="AZ47" i="8"/>
  <c r="AH35" i="8"/>
  <c r="AT35" i="8"/>
  <c r="AI35" i="8"/>
  <c r="AU35" i="8"/>
  <c r="AJ35" i="8"/>
  <c r="AV35" i="8"/>
  <c r="AK35" i="8"/>
  <c r="AW35" i="8"/>
  <c r="AL35" i="8"/>
  <c r="AX35" i="8"/>
  <c r="AM35" i="8"/>
  <c r="AY35" i="8"/>
  <c r="AS35" i="8"/>
  <c r="AZ35" i="8"/>
  <c r="BA35" i="8"/>
  <c r="AD35" i="8"/>
  <c r="BB35" i="8"/>
  <c r="AE35" i="8"/>
  <c r="AF35" i="8"/>
  <c r="AG35" i="8"/>
  <c r="AN35" i="8"/>
  <c r="AO35" i="8"/>
  <c r="AP35" i="8"/>
  <c r="AQ35" i="8"/>
  <c r="AR35" i="8"/>
  <c r="AH23" i="8"/>
  <c r="AT23" i="8"/>
  <c r="AI23" i="8"/>
  <c r="AU23" i="8"/>
  <c r="AJ23" i="8"/>
  <c r="AV23" i="8"/>
  <c r="AK23" i="8"/>
  <c r="AW23" i="8"/>
  <c r="AL23" i="8"/>
  <c r="AX23" i="8"/>
  <c r="AM23" i="8"/>
  <c r="AY23" i="8"/>
  <c r="AN23" i="8"/>
  <c r="AZ23" i="8"/>
  <c r="AO23" i="8"/>
  <c r="BA23" i="8"/>
  <c r="AD23" i="8"/>
  <c r="AP23" i="8"/>
  <c r="BB23" i="8"/>
  <c r="AE23" i="8"/>
  <c r="AQ23" i="8"/>
  <c r="AF23" i="8"/>
  <c r="AR23" i="8"/>
  <c r="AG23" i="8"/>
  <c r="AS23" i="8"/>
  <c r="BA13" i="8"/>
  <c r="AN13" i="8"/>
  <c r="AY12" i="8"/>
  <c r="AL12" i="8"/>
  <c r="AJ137" i="8"/>
  <c r="AU135" i="8"/>
  <c r="AH135" i="8"/>
  <c r="AT134" i="8"/>
  <c r="AF134" i="8"/>
  <c r="AR133" i="8"/>
  <c r="AE133" i="8"/>
  <c r="AQ132" i="8"/>
  <c r="AD132" i="8"/>
  <c r="AP131" i="8"/>
  <c r="BB130" i="8"/>
  <c r="BA129" i="8"/>
  <c r="AN129" i="8"/>
  <c r="AZ128" i="8"/>
  <c r="AL128" i="8"/>
  <c r="AX127" i="8"/>
  <c r="AK127" i="8"/>
  <c r="AW126" i="8"/>
  <c r="AJ126" i="8"/>
  <c r="AV125" i="8"/>
  <c r="AI125" i="8"/>
  <c r="AT123" i="8"/>
  <c r="AG123" i="8"/>
  <c r="AR122" i="8"/>
  <c r="AE122" i="8"/>
  <c r="AQ121" i="8"/>
  <c r="AD121" i="8"/>
  <c r="AP120" i="8"/>
  <c r="BB119" i="8"/>
  <c r="AO119" i="8"/>
  <c r="BA118" i="8"/>
  <c r="AN118" i="8"/>
  <c r="AZ117" i="8"/>
  <c r="AM117" i="8"/>
  <c r="AX116" i="8"/>
  <c r="AK116" i="8"/>
  <c r="AW115" i="8"/>
  <c r="AJ115" i="8"/>
  <c r="AV114" i="8"/>
  <c r="AI114" i="8"/>
  <c r="AT113" i="8"/>
  <c r="BB112" i="8"/>
  <c r="AL112" i="8"/>
  <c r="AO111" i="8"/>
  <c r="AP110" i="8"/>
  <c r="AF108" i="8"/>
  <c r="AX104" i="8"/>
  <c r="AR98" i="8"/>
  <c r="BB85" i="8"/>
  <c r="AU79" i="8"/>
  <c r="AM71" i="8"/>
  <c r="AO75" i="8"/>
  <c r="BA75" i="8"/>
  <c r="AD75" i="8"/>
  <c r="AP75" i="8"/>
  <c r="BB75" i="8"/>
  <c r="AE75" i="8"/>
  <c r="AQ75" i="8"/>
  <c r="AF75" i="8"/>
  <c r="AR75" i="8"/>
  <c r="AH75" i="8"/>
  <c r="AX75" i="8"/>
  <c r="AI75" i="8"/>
  <c r="AY75" i="8"/>
  <c r="AJ75" i="8"/>
  <c r="AZ75" i="8"/>
  <c r="AK75" i="8"/>
  <c r="AL75" i="8"/>
  <c r="AM75" i="8"/>
  <c r="AN75" i="8"/>
  <c r="AS75" i="8"/>
  <c r="AT75" i="8"/>
  <c r="AU75" i="8"/>
  <c r="AV75" i="8"/>
  <c r="AL135" i="8"/>
  <c r="AK123" i="8"/>
  <c r="AK130" i="8"/>
  <c r="AW130" i="8"/>
  <c r="AK106" i="8"/>
  <c r="AW106" i="8"/>
  <c r="AL106" i="8"/>
  <c r="AX106" i="8"/>
  <c r="AM106" i="8"/>
  <c r="AY106" i="8"/>
  <c r="AN106" i="8"/>
  <c r="AZ106" i="8"/>
  <c r="AO106" i="8"/>
  <c r="BA106" i="8"/>
  <c r="AD106" i="8"/>
  <c r="AP106" i="8"/>
  <c r="BB106" i="8"/>
  <c r="AE106" i="8"/>
  <c r="AQ106" i="8"/>
  <c r="AF106" i="8"/>
  <c r="AR106" i="8"/>
  <c r="AG106" i="8"/>
  <c r="AS106" i="8"/>
  <c r="AI106" i="8"/>
  <c r="AU106" i="8"/>
  <c r="AH94" i="8"/>
  <c r="AT94" i="8"/>
  <c r="AN94" i="8"/>
  <c r="BA94" i="8"/>
  <c r="AO94" i="8"/>
  <c r="BB94" i="8"/>
  <c r="AP94" i="8"/>
  <c r="AD94" i="8"/>
  <c r="AQ94" i="8"/>
  <c r="AE94" i="8"/>
  <c r="AR94" i="8"/>
  <c r="AF94" i="8"/>
  <c r="AS94" i="8"/>
  <c r="AG94" i="8"/>
  <c r="AU94" i="8"/>
  <c r="AI94" i="8"/>
  <c r="AV94" i="8"/>
  <c r="AJ94" i="8"/>
  <c r="AW94" i="8"/>
  <c r="AK94" i="8"/>
  <c r="AX94" i="8"/>
  <c r="AL94" i="8"/>
  <c r="AY94" i="8"/>
  <c r="AH82" i="8"/>
  <c r="AT82" i="8"/>
  <c r="AM82" i="8"/>
  <c r="AZ82" i="8"/>
  <c r="AN82" i="8"/>
  <c r="BA82" i="8"/>
  <c r="AO82" i="8"/>
  <c r="BB82" i="8"/>
  <c r="AP82" i="8"/>
  <c r="AD82" i="8"/>
  <c r="AQ82" i="8"/>
  <c r="AE82" i="8"/>
  <c r="AR82" i="8"/>
  <c r="AF82" i="8"/>
  <c r="AS82" i="8"/>
  <c r="AG82" i="8"/>
  <c r="AU82" i="8"/>
  <c r="AI82" i="8"/>
  <c r="AV82" i="8"/>
  <c r="AJ82" i="8"/>
  <c r="AW82" i="8"/>
  <c r="AK82" i="8"/>
  <c r="AX82" i="8"/>
  <c r="AH70" i="8"/>
  <c r="AT70" i="8"/>
  <c r="AI70" i="8"/>
  <c r="AU70" i="8"/>
  <c r="AJ70" i="8"/>
  <c r="AV70" i="8"/>
  <c r="AK70" i="8"/>
  <c r="AW70" i="8"/>
  <c r="AL70" i="8"/>
  <c r="AX70" i="8"/>
  <c r="AM70" i="8"/>
  <c r="AY70" i="8"/>
  <c r="AN70" i="8"/>
  <c r="AZ70" i="8"/>
  <c r="AF70" i="8"/>
  <c r="AG70" i="8"/>
  <c r="AO70" i="8"/>
  <c r="AP70" i="8"/>
  <c r="AQ70" i="8"/>
  <c r="AR70" i="8"/>
  <c r="AS70" i="8"/>
  <c r="BA70" i="8"/>
  <c r="BB70" i="8"/>
  <c r="AD70" i="8"/>
  <c r="AH58" i="8"/>
  <c r="AT58" i="8"/>
  <c r="AI58" i="8"/>
  <c r="AU58" i="8"/>
  <c r="AJ58" i="8"/>
  <c r="AV58" i="8"/>
  <c r="AK58" i="8"/>
  <c r="AW58" i="8"/>
  <c r="AL58" i="8"/>
  <c r="AX58" i="8"/>
  <c r="AM58" i="8"/>
  <c r="AY58" i="8"/>
  <c r="AN58" i="8"/>
  <c r="AZ58" i="8"/>
  <c r="AO58" i="8"/>
  <c r="BA58" i="8"/>
  <c r="AD58" i="8"/>
  <c r="AP58" i="8"/>
  <c r="BB58" i="8"/>
  <c r="AE58" i="8"/>
  <c r="AQ58" i="8"/>
  <c r="AF58" i="8"/>
  <c r="AR58" i="8"/>
  <c r="AG58" i="8"/>
  <c r="AS58" i="8"/>
  <c r="AI46" i="8"/>
  <c r="AU46" i="8"/>
  <c r="AM46" i="8"/>
  <c r="AZ46" i="8"/>
  <c r="AN46" i="8"/>
  <c r="BA46" i="8"/>
  <c r="AO46" i="8"/>
  <c r="BB46" i="8"/>
  <c r="AP46" i="8"/>
  <c r="AD46" i="8"/>
  <c r="AQ46" i="8"/>
  <c r="AE46" i="8"/>
  <c r="AR46" i="8"/>
  <c r="AF46" i="8"/>
  <c r="AS46" i="8"/>
  <c r="AG46" i="8"/>
  <c r="AT46" i="8"/>
  <c r="AH46" i="8"/>
  <c r="AV46" i="8"/>
  <c r="AJ46" i="8"/>
  <c r="AW46" i="8"/>
  <c r="AK46" i="8"/>
  <c r="AX46" i="8"/>
  <c r="AL46" i="8"/>
  <c r="AI34" i="8"/>
  <c r="AU34" i="8"/>
  <c r="AJ34" i="8"/>
  <c r="AV34" i="8"/>
  <c r="AK34" i="8"/>
  <c r="AW34" i="8"/>
  <c r="AL34" i="8"/>
  <c r="AX34" i="8"/>
  <c r="AM34" i="8"/>
  <c r="AY34" i="8"/>
  <c r="AN34" i="8"/>
  <c r="AZ34" i="8"/>
  <c r="AO34" i="8"/>
  <c r="BA34" i="8"/>
  <c r="AS34" i="8"/>
  <c r="AT34" i="8"/>
  <c r="BB34" i="8"/>
  <c r="AD34" i="8"/>
  <c r="AE34" i="8"/>
  <c r="AF34" i="8"/>
  <c r="AG34" i="8"/>
  <c r="AH34" i="8"/>
  <c r="AP34" i="8"/>
  <c r="AQ34" i="8"/>
  <c r="AR34" i="8"/>
  <c r="AI22" i="8"/>
  <c r="AU22" i="8"/>
  <c r="AJ22" i="8"/>
  <c r="AV22" i="8"/>
  <c r="AK22" i="8"/>
  <c r="AW22" i="8"/>
  <c r="AL22" i="8"/>
  <c r="AX22" i="8"/>
  <c r="AM22" i="8"/>
  <c r="AY22" i="8"/>
  <c r="AN22" i="8"/>
  <c r="AZ22" i="8"/>
  <c r="AO22" i="8"/>
  <c r="BA22" i="8"/>
  <c r="AD22" i="8"/>
  <c r="AP22" i="8"/>
  <c r="BB22" i="8"/>
  <c r="AE22" i="8"/>
  <c r="AQ22" i="8"/>
  <c r="AF22" i="8"/>
  <c r="AR22" i="8"/>
  <c r="AG22" i="8"/>
  <c r="AS22" i="8"/>
  <c r="AH22" i="8"/>
  <c r="AT22" i="8"/>
  <c r="AD13" i="8"/>
  <c r="AZ13" i="8"/>
  <c r="AM13" i="8"/>
  <c r="AX12" i="8"/>
  <c r="AK12" i="8"/>
  <c r="AI137" i="8"/>
  <c r="AT135" i="8"/>
  <c r="AG135" i="8"/>
  <c r="AR134" i="8"/>
  <c r="AE134" i="8"/>
  <c r="AQ133" i="8"/>
  <c r="AD133" i="8"/>
  <c r="AP132" i="8"/>
  <c r="BB131" i="8"/>
  <c r="AO131" i="8"/>
  <c r="BA130" i="8"/>
  <c r="AN130" i="8"/>
  <c r="AZ129" i="8"/>
  <c r="AX128" i="8"/>
  <c r="AK128" i="8"/>
  <c r="AW127" i="8"/>
  <c r="AJ127" i="8"/>
  <c r="AV126" i="8"/>
  <c r="AI126" i="8"/>
  <c r="AU125" i="8"/>
  <c r="AH125" i="8"/>
  <c r="AS123" i="8"/>
  <c r="AE123" i="8"/>
  <c r="AQ122" i="8"/>
  <c r="AD122" i="8"/>
  <c r="AP121" i="8"/>
  <c r="BB120" i="8"/>
  <c r="AO120" i="8"/>
  <c r="BA119" i="8"/>
  <c r="AN119" i="8"/>
  <c r="AZ118" i="8"/>
  <c r="AY117" i="8"/>
  <c r="AW116" i="8"/>
  <c r="AJ116" i="8"/>
  <c r="AV115" i="8"/>
  <c r="AI115" i="8"/>
  <c r="AU114" i="8"/>
  <c r="AH114" i="8"/>
  <c r="AS113" i="8"/>
  <c r="BA112" i="8"/>
  <c r="AK112" i="8"/>
  <c r="AN111" i="8"/>
  <c r="AN110" i="8"/>
  <c r="AU107" i="8"/>
  <c r="AE98" i="8"/>
  <c r="AV91" i="8"/>
  <c r="AO85" i="8"/>
  <c r="AE70" i="8"/>
  <c r="AO87" i="8"/>
  <c r="BA87" i="8"/>
  <c r="AF87" i="8"/>
  <c r="AS87" i="8"/>
  <c r="AG87" i="8"/>
  <c r="AT87" i="8"/>
  <c r="AH87" i="8"/>
  <c r="AU87" i="8"/>
  <c r="AI87" i="8"/>
  <c r="AV87" i="8"/>
  <c r="AJ87" i="8"/>
  <c r="AW87" i="8"/>
  <c r="AK87" i="8"/>
  <c r="AX87" i="8"/>
  <c r="AL87" i="8"/>
  <c r="AY87" i="8"/>
  <c r="AM87" i="8"/>
  <c r="AZ87" i="8"/>
  <c r="AN87" i="8"/>
  <c r="BB87" i="8"/>
  <c r="AP87" i="8"/>
  <c r="AD87" i="8"/>
  <c r="AQ87" i="8"/>
  <c r="AD15" i="8"/>
  <c r="AP15" i="8"/>
  <c r="BB15" i="8"/>
  <c r="AE15" i="8"/>
  <c r="AQ15" i="8"/>
  <c r="AF15" i="8"/>
  <c r="AR15" i="8"/>
  <c r="AG15" i="8"/>
  <c r="AS15" i="8"/>
  <c r="AH15" i="8"/>
  <c r="AT15" i="8"/>
  <c r="AI15" i="8"/>
  <c r="AU15" i="8"/>
  <c r="AJ15" i="8"/>
  <c r="AV15" i="8"/>
  <c r="AK15" i="8"/>
  <c r="AW15" i="8"/>
  <c r="AL15" i="8"/>
  <c r="AX15" i="8"/>
  <c r="AM15" i="8"/>
  <c r="AY15" i="8"/>
  <c r="AN15" i="8"/>
  <c r="AZ15" i="8"/>
  <c r="AO15" i="8"/>
  <c r="BA15" i="8"/>
  <c r="AX123" i="8"/>
  <c r="AK118" i="8"/>
  <c r="AW118" i="8"/>
  <c r="AL129" i="8"/>
  <c r="AX129" i="8"/>
  <c r="AL117" i="8"/>
  <c r="BD117" i="8" s="1"/>
  <c r="AX117" i="8"/>
  <c r="AL105" i="8"/>
  <c r="AX105" i="8"/>
  <c r="AM105" i="8"/>
  <c r="AY105" i="8"/>
  <c r="AN105" i="8"/>
  <c r="AZ105" i="8"/>
  <c r="AO105" i="8"/>
  <c r="BA105" i="8"/>
  <c r="AD105" i="8"/>
  <c r="AP105" i="8"/>
  <c r="BB105" i="8"/>
  <c r="AE105" i="8"/>
  <c r="AQ105" i="8"/>
  <c r="AF105" i="8"/>
  <c r="AR105" i="8"/>
  <c r="AG105" i="8"/>
  <c r="AS105" i="8"/>
  <c r="AH105" i="8"/>
  <c r="AT105" i="8"/>
  <c r="AI105" i="8"/>
  <c r="AJ105" i="8"/>
  <c r="AV105" i="8"/>
  <c r="AI93" i="8"/>
  <c r="AU93" i="8"/>
  <c r="AM93" i="8"/>
  <c r="AZ93" i="8"/>
  <c r="AN93" i="8"/>
  <c r="BA93" i="8"/>
  <c r="AO93" i="8"/>
  <c r="BB93" i="8"/>
  <c r="AP93" i="8"/>
  <c r="AD93" i="8"/>
  <c r="AQ93" i="8"/>
  <c r="AE93" i="8"/>
  <c r="AR93" i="8"/>
  <c r="AF93" i="8"/>
  <c r="AS93" i="8"/>
  <c r="AG93" i="8"/>
  <c r="AT93" i="8"/>
  <c r="AH93" i="8"/>
  <c r="AV93" i="8"/>
  <c r="AJ93" i="8"/>
  <c r="AW93" i="8"/>
  <c r="AK93" i="8"/>
  <c r="AX93" i="8"/>
  <c r="AI81" i="8"/>
  <c r="AU81" i="8"/>
  <c r="AL81" i="8"/>
  <c r="AY81" i="8"/>
  <c r="AM81" i="8"/>
  <c r="AZ81" i="8"/>
  <c r="AN81" i="8"/>
  <c r="BA81" i="8"/>
  <c r="AO81" i="8"/>
  <c r="BB81" i="8"/>
  <c r="AP81" i="8"/>
  <c r="AD81" i="8"/>
  <c r="AQ81" i="8"/>
  <c r="AE81" i="8"/>
  <c r="AR81" i="8"/>
  <c r="AF81" i="8"/>
  <c r="AS81" i="8"/>
  <c r="AG81" i="8"/>
  <c r="AT81" i="8"/>
  <c r="AH81" i="8"/>
  <c r="AV81" i="8"/>
  <c r="AJ81" i="8"/>
  <c r="AW81" i="8"/>
  <c r="AI69" i="8"/>
  <c r="AU69" i="8"/>
  <c r="AJ69" i="8"/>
  <c r="AV69" i="8"/>
  <c r="AK69" i="8"/>
  <c r="AW69" i="8"/>
  <c r="AL69" i="8"/>
  <c r="AX69" i="8"/>
  <c r="AM69" i="8"/>
  <c r="AY69" i="8"/>
  <c r="AN69" i="8"/>
  <c r="AZ69" i="8"/>
  <c r="AO69" i="8"/>
  <c r="BA69" i="8"/>
  <c r="AG69" i="8"/>
  <c r="AS69" i="8"/>
  <c r="AD69" i="8"/>
  <c r="AE69" i="8"/>
  <c r="AF69" i="8"/>
  <c r="AH69" i="8"/>
  <c r="AP69" i="8"/>
  <c r="AQ69" i="8"/>
  <c r="AR69" i="8"/>
  <c r="AT69" i="8"/>
  <c r="BB69" i="8"/>
  <c r="BA14" i="8"/>
  <c r="AN14" i="8"/>
  <c r="AY13" i="8"/>
  <c r="AL13" i="8"/>
  <c r="AW12" i="8"/>
  <c r="AJ12" i="8"/>
  <c r="AU137" i="8"/>
  <c r="AH137" i="8"/>
  <c r="AS135" i="8"/>
  <c r="AE135" i="8"/>
  <c r="BE135" i="8" s="1"/>
  <c r="AQ134" i="8"/>
  <c r="AD134" i="8"/>
  <c r="AP133" i="8"/>
  <c r="BB132" i="8"/>
  <c r="AO132" i="8"/>
  <c r="BA131" i="8"/>
  <c r="AN131" i="8"/>
  <c r="AZ130" i="8"/>
  <c r="AM130" i="8"/>
  <c r="AY129" i="8"/>
  <c r="AK129" i="8"/>
  <c r="AW128" i="8"/>
  <c r="AV127" i="8"/>
  <c r="AI127" i="8"/>
  <c r="AU126" i="8"/>
  <c r="AH126" i="8"/>
  <c r="AT125" i="8"/>
  <c r="AG125" i="8"/>
  <c r="AQ123" i="8"/>
  <c r="AD123" i="8"/>
  <c r="AP122" i="8"/>
  <c r="BB121" i="8"/>
  <c r="AO121" i="8"/>
  <c r="BA120" i="8"/>
  <c r="AN120" i="8"/>
  <c r="AZ119" i="8"/>
  <c r="AM119" i="8"/>
  <c r="AY118" i="8"/>
  <c r="AL118" i="8"/>
  <c r="AW117" i="8"/>
  <c r="AJ117" i="8"/>
  <c r="AV116" i="8"/>
  <c r="AU115" i="8"/>
  <c r="AH115" i="8"/>
  <c r="AT114" i="8"/>
  <c r="AG114" i="8"/>
  <c r="AQ113" i="8"/>
  <c r="AZ112" i="8"/>
  <c r="AI112" i="8"/>
  <c r="AF110" i="8"/>
  <c r="AS107" i="8"/>
  <c r="AX103" i="8"/>
  <c r="AP97" i="8"/>
  <c r="BA84" i="8"/>
  <c r="AT78" i="8"/>
  <c r="AF111" i="8"/>
  <c r="AR111" i="8"/>
  <c r="AG111" i="8"/>
  <c r="AS111" i="8"/>
  <c r="AH111" i="8"/>
  <c r="AT111" i="8"/>
  <c r="AI111" i="8"/>
  <c r="AU111" i="8"/>
  <c r="AJ111" i="8"/>
  <c r="AV111" i="8"/>
  <c r="AK111" i="8"/>
  <c r="AW111" i="8"/>
  <c r="AD27" i="8"/>
  <c r="AP27" i="8"/>
  <c r="BB27" i="8"/>
  <c r="AE27" i="8"/>
  <c r="AQ27" i="8"/>
  <c r="AF27" i="8"/>
  <c r="AR27" i="8"/>
  <c r="AG27" i="8"/>
  <c r="AS27" i="8"/>
  <c r="AH27" i="8"/>
  <c r="AT27" i="8"/>
  <c r="AI27" i="8"/>
  <c r="AU27" i="8"/>
  <c r="AJ27" i="8"/>
  <c r="AV27" i="8"/>
  <c r="AK27" i="8"/>
  <c r="AW27" i="8"/>
  <c r="AL27" i="8"/>
  <c r="AX27" i="8"/>
  <c r="AM27" i="8"/>
  <c r="AY27" i="8"/>
  <c r="AN27" i="8"/>
  <c r="AZ27" i="8"/>
  <c r="AO27" i="8"/>
  <c r="BA27" i="8"/>
  <c r="AM128" i="8"/>
  <c r="AY128" i="8"/>
  <c r="AM116" i="8"/>
  <c r="AY116" i="8"/>
  <c r="AJ104" i="8"/>
  <c r="AM104" i="8"/>
  <c r="AY104" i="8"/>
  <c r="AN104" i="8"/>
  <c r="AZ104" i="8"/>
  <c r="AO104" i="8"/>
  <c r="BA104" i="8"/>
  <c r="AP104" i="8"/>
  <c r="BB104" i="8"/>
  <c r="AD104" i="8"/>
  <c r="AQ104" i="8"/>
  <c r="AE104" i="8"/>
  <c r="AR104" i="8"/>
  <c r="AF104" i="8"/>
  <c r="AS104" i="8"/>
  <c r="AG104" i="8"/>
  <c r="AT104" i="8"/>
  <c r="AH104" i="8"/>
  <c r="AU104" i="8"/>
  <c r="AI104" i="8"/>
  <c r="AV104" i="8"/>
  <c r="AK104" i="8"/>
  <c r="AW104" i="8"/>
  <c r="AJ92" i="8"/>
  <c r="AV92" i="8"/>
  <c r="AL92" i="8"/>
  <c r="AY92" i="8"/>
  <c r="AM92" i="8"/>
  <c r="AZ92" i="8"/>
  <c r="AN92" i="8"/>
  <c r="BA92" i="8"/>
  <c r="AO92" i="8"/>
  <c r="BB92" i="8"/>
  <c r="AP92" i="8"/>
  <c r="AD92" i="8"/>
  <c r="AQ92" i="8"/>
  <c r="AE92" i="8"/>
  <c r="AR92" i="8"/>
  <c r="AF92" i="8"/>
  <c r="AS92" i="8"/>
  <c r="AG92" i="8"/>
  <c r="AT92" i="8"/>
  <c r="AH92" i="8"/>
  <c r="AU92" i="8"/>
  <c r="AI92" i="8"/>
  <c r="AW92" i="8"/>
  <c r="AJ80" i="8"/>
  <c r="AV80" i="8"/>
  <c r="AK80" i="8"/>
  <c r="AX80" i="8"/>
  <c r="AL80" i="8"/>
  <c r="AY80" i="8"/>
  <c r="AM80" i="8"/>
  <c r="AZ80" i="8"/>
  <c r="AN80" i="8"/>
  <c r="BA80" i="8"/>
  <c r="AO80" i="8"/>
  <c r="BB80" i="8"/>
  <c r="AP80" i="8"/>
  <c r="AD80" i="8"/>
  <c r="AQ80" i="8"/>
  <c r="AE80" i="8"/>
  <c r="AR80" i="8"/>
  <c r="AF80" i="8"/>
  <c r="AS80" i="8"/>
  <c r="AG80" i="8"/>
  <c r="AT80" i="8"/>
  <c r="AH80" i="8"/>
  <c r="AU80" i="8"/>
  <c r="AJ68" i="8"/>
  <c r="AV68" i="8"/>
  <c r="AK68" i="8"/>
  <c r="AW68" i="8"/>
  <c r="AL68" i="8"/>
  <c r="AX68" i="8"/>
  <c r="AM68" i="8"/>
  <c r="AY68" i="8"/>
  <c r="AN68" i="8"/>
  <c r="AZ68" i="8"/>
  <c r="AO68" i="8"/>
  <c r="BA68" i="8"/>
  <c r="AD68" i="8"/>
  <c r="AP68" i="8"/>
  <c r="BB68" i="8"/>
  <c r="AF68" i="8"/>
  <c r="AH68" i="8"/>
  <c r="AT68" i="8"/>
  <c r="AU68" i="8"/>
  <c r="AE68" i="8"/>
  <c r="AG68" i="8"/>
  <c r="AI68" i="8"/>
  <c r="AQ68" i="8"/>
  <c r="AR68" i="8"/>
  <c r="AJ56" i="8"/>
  <c r="AV56" i="8"/>
  <c r="AK56" i="8"/>
  <c r="AW56" i="8"/>
  <c r="AL56" i="8"/>
  <c r="AX56" i="8"/>
  <c r="AM56" i="8"/>
  <c r="AY56" i="8"/>
  <c r="AN56" i="8"/>
  <c r="AZ56" i="8"/>
  <c r="AO56" i="8"/>
  <c r="BA56" i="8"/>
  <c r="AD56" i="8"/>
  <c r="AP56" i="8"/>
  <c r="BB56" i="8"/>
  <c r="AE56" i="8"/>
  <c r="AQ56" i="8"/>
  <c r="AF56" i="8"/>
  <c r="AR56" i="8"/>
  <c r="AG56" i="8"/>
  <c r="AS56" i="8"/>
  <c r="AH56" i="8"/>
  <c r="AT56" i="8"/>
  <c r="AI56" i="8"/>
  <c r="AU56" i="8"/>
  <c r="AK44" i="8"/>
  <c r="AW44" i="8"/>
  <c r="AL44" i="8"/>
  <c r="AI44" i="8"/>
  <c r="AX44" i="8"/>
  <c r="AJ44" i="8"/>
  <c r="AY44" i="8"/>
  <c r="AM44" i="8"/>
  <c r="AZ44" i="8"/>
  <c r="AN44" i="8"/>
  <c r="BA44" i="8"/>
  <c r="AO44" i="8"/>
  <c r="BB44" i="8"/>
  <c r="AP44" i="8"/>
  <c r="AQ44" i="8"/>
  <c r="AD44" i="8"/>
  <c r="AR44" i="8"/>
  <c r="AE44" i="8"/>
  <c r="AS44" i="8"/>
  <c r="AF44" i="8"/>
  <c r="AT44" i="8"/>
  <c r="AG44" i="8"/>
  <c r="AU44" i="8"/>
  <c r="AH44" i="8"/>
  <c r="AV44" i="8"/>
  <c r="AK32" i="8"/>
  <c r="AW32" i="8"/>
  <c r="AL32" i="8"/>
  <c r="AX32" i="8"/>
  <c r="AM32" i="8"/>
  <c r="AY32" i="8"/>
  <c r="AN32" i="8"/>
  <c r="AZ32" i="8"/>
  <c r="AO32" i="8"/>
  <c r="BA32" i="8"/>
  <c r="AD32" i="8"/>
  <c r="AP32" i="8"/>
  <c r="BB32" i="8"/>
  <c r="AE32" i="8"/>
  <c r="AQ32" i="8"/>
  <c r="AF32" i="8"/>
  <c r="AR32" i="8"/>
  <c r="AG32" i="8"/>
  <c r="AS32" i="8"/>
  <c r="AH32" i="8"/>
  <c r="AI32" i="8"/>
  <c r="AJ32" i="8"/>
  <c r="AT32" i="8"/>
  <c r="AU32" i="8"/>
  <c r="AV32" i="8"/>
  <c r="AK20" i="8"/>
  <c r="AW20" i="8"/>
  <c r="AL20" i="8"/>
  <c r="AX20" i="8"/>
  <c r="AM20" i="8"/>
  <c r="AY20" i="8"/>
  <c r="AN20" i="8"/>
  <c r="AZ20" i="8"/>
  <c r="AO20" i="8"/>
  <c r="BA20" i="8"/>
  <c r="AD20" i="8"/>
  <c r="AP20" i="8"/>
  <c r="BB20" i="8"/>
  <c r="AE20" i="8"/>
  <c r="AQ20" i="8"/>
  <c r="AF20" i="8"/>
  <c r="AR20" i="8"/>
  <c r="AG20" i="8"/>
  <c r="AS20" i="8"/>
  <c r="AH20" i="8"/>
  <c r="AT20" i="8"/>
  <c r="AI20" i="8"/>
  <c r="AU20" i="8"/>
  <c r="AJ20" i="8"/>
  <c r="AV20" i="8"/>
  <c r="AX13" i="8"/>
  <c r="AK13" i="8"/>
  <c r="AV12" i="8"/>
  <c r="AI12" i="8"/>
  <c r="AT137" i="8"/>
  <c r="AG137" i="8"/>
  <c r="AQ135" i="8"/>
  <c r="AP134" i="8"/>
  <c r="BB133" i="8"/>
  <c r="AO133" i="8"/>
  <c r="BA132" i="8"/>
  <c r="AN132" i="8"/>
  <c r="AZ131" i="8"/>
  <c r="AM131" i="8"/>
  <c r="AY130" i="8"/>
  <c r="AL130" i="8"/>
  <c r="AW129" i="8"/>
  <c r="AJ129" i="8"/>
  <c r="AV128" i="8"/>
  <c r="AI128" i="8"/>
  <c r="AU127" i="8"/>
  <c r="AT126" i="8"/>
  <c r="AG126" i="8"/>
  <c r="AS125" i="8"/>
  <c r="AF125" i="8"/>
  <c r="AP123" i="8"/>
  <c r="BB122" i="8"/>
  <c r="AO122" i="8"/>
  <c r="BA121" i="8"/>
  <c r="AN121" i="8"/>
  <c r="AZ120" i="8"/>
  <c r="AM120" i="8"/>
  <c r="AY119" i="8"/>
  <c r="AL119" i="8"/>
  <c r="AX118" i="8"/>
  <c r="AJ118" i="8"/>
  <c r="AV117" i="8"/>
  <c r="AI117" i="8"/>
  <c r="AU116" i="8"/>
  <c r="AH116" i="8"/>
  <c r="AT115" i="8"/>
  <c r="AS114" i="8"/>
  <c r="AF114" i="8"/>
  <c r="AO113" i="8"/>
  <c r="AY112" i="8"/>
  <c r="AH112" i="8"/>
  <c r="AL111" i="8"/>
  <c r="AE110" i="8"/>
  <c r="AI107" i="8"/>
  <c r="BB96" i="8"/>
  <c r="AU90" i="8"/>
  <c r="AN84" i="8"/>
  <c r="AF135" i="8"/>
  <c r="AR135" i="8"/>
  <c r="AY111" i="8"/>
  <c r="AN127" i="8"/>
  <c r="AZ127" i="8"/>
  <c r="AN115" i="8"/>
  <c r="AZ115" i="8"/>
  <c r="AK103" i="8"/>
  <c r="AW103" i="8"/>
  <c r="AL103" i="8"/>
  <c r="AY103" i="8"/>
  <c r="AM103" i="8"/>
  <c r="AZ103" i="8"/>
  <c r="AN103" i="8"/>
  <c r="BA103" i="8"/>
  <c r="AO103" i="8"/>
  <c r="BB103" i="8"/>
  <c r="AP103" i="8"/>
  <c r="AD103" i="8"/>
  <c r="AQ103" i="8"/>
  <c r="AE103" i="8"/>
  <c r="AR103" i="8"/>
  <c r="AF103" i="8"/>
  <c r="AS103" i="8"/>
  <c r="AG103" i="8"/>
  <c r="AT103" i="8"/>
  <c r="AH103" i="8"/>
  <c r="AU103" i="8"/>
  <c r="AI103" i="8"/>
  <c r="AV103" i="8"/>
  <c r="AK91" i="8"/>
  <c r="AW91" i="8"/>
  <c r="AJ91" i="8"/>
  <c r="AX91" i="8"/>
  <c r="AL91" i="8"/>
  <c r="AY91" i="8"/>
  <c r="AM91" i="8"/>
  <c r="AZ91" i="8"/>
  <c r="AN91" i="8"/>
  <c r="BA91" i="8"/>
  <c r="AO91" i="8"/>
  <c r="BB91" i="8"/>
  <c r="AP91" i="8"/>
  <c r="AD91" i="8"/>
  <c r="AQ91" i="8"/>
  <c r="AE91" i="8"/>
  <c r="AR91" i="8"/>
  <c r="AF91" i="8"/>
  <c r="AS91" i="8"/>
  <c r="AG91" i="8"/>
  <c r="AT91" i="8"/>
  <c r="AH91" i="8"/>
  <c r="AU91" i="8"/>
  <c r="AK79" i="8"/>
  <c r="AW79" i="8"/>
  <c r="AI79" i="8"/>
  <c r="AV79" i="8"/>
  <c r="AJ79" i="8"/>
  <c r="AX79" i="8"/>
  <c r="AL79" i="8"/>
  <c r="AY79" i="8"/>
  <c r="AM79" i="8"/>
  <c r="AZ79" i="8"/>
  <c r="AN79" i="8"/>
  <c r="BA79" i="8"/>
  <c r="AO79" i="8"/>
  <c r="BB79" i="8"/>
  <c r="AP79" i="8"/>
  <c r="AD79" i="8"/>
  <c r="AQ79" i="8"/>
  <c r="AE79" i="8"/>
  <c r="AR79" i="8"/>
  <c r="AF79" i="8"/>
  <c r="AS79" i="8"/>
  <c r="AG79" i="8"/>
  <c r="AT79" i="8"/>
  <c r="AK67" i="8"/>
  <c r="AW67" i="8"/>
  <c r="AL67" i="8"/>
  <c r="AX67" i="8"/>
  <c r="AM67" i="8"/>
  <c r="AY67" i="8"/>
  <c r="AN67" i="8"/>
  <c r="AZ67" i="8"/>
  <c r="AO67" i="8"/>
  <c r="BA67" i="8"/>
  <c r="AD67" i="8"/>
  <c r="AP67" i="8"/>
  <c r="BB67" i="8"/>
  <c r="AE67" i="8"/>
  <c r="AQ67" i="8"/>
  <c r="AF67" i="8"/>
  <c r="AR67" i="8"/>
  <c r="AG67" i="8"/>
  <c r="AS67" i="8"/>
  <c r="AH67" i="8"/>
  <c r="AT67" i="8"/>
  <c r="AI67" i="8"/>
  <c r="AU67" i="8"/>
  <c r="AJ67" i="8"/>
  <c r="AV67" i="8"/>
  <c r="AL55" i="8"/>
  <c r="AJ55" i="8"/>
  <c r="AW55" i="8"/>
  <c r="AK55" i="8"/>
  <c r="AX55" i="8"/>
  <c r="AM55" i="8"/>
  <c r="AY55" i="8"/>
  <c r="AN55" i="8"/>
  <c r="AZ55" i="8"/>
  <c r="AO55" i="8"/>
  <c r="BA55" i="8"/>
  <c r="AP55" i="8"/>
  <c r="BB55" i="8"/>
  <c r="AD55" i="8"/>
  <c r="AQ55" i="8"/>
  <c r="AE55" i="8"/>
  <c r="AR55" i="8"/>
  <c r="AF55" i="8"/>
  <c r="AS55" i="8"/>
  <c r="AG55" i="8"/>
  <c r="AT55" i="8"/>
  <c r="AH55" i="8"/>
  <c r="AU55" i="8"/>
  <c r="AI55" i="8"/>
  <c r="AV55" i="8"/>
  <c r="AL43" i="8"/>
  <c r="AX43" i="8"/>
  <c r="AM43" i="8"/>
  <c r="AY43" i="8"/>
  <c r="AF43" i="8"/>
  <c r="AT43" i="8"/>
  <c r="AG43" i="8"/>
  <c r="AU43" i="8"/>
  <c r="AH43" i="8"/>
  <c r="AV43" i="8"/>
  <c r="AI43" i="8"/>
  <c r="AW43" i="8"/>
  <c r="AJ43" i="8"/>
  <c r="AZ43" i="8"/>
  <c r="AK43" i="8"/>
  <c r="BA43" i="8"/>
  <c r="AN43" i="8"/>
  <c r="BB43" i="8"/>
  <c r="AO43" i="8"/>
  <c r="AP43" i="8"/>
  <c r="AQ43" i="8"/>
  <c r="AD43" i="8"/>
  <c r="AR43" i="8"/>
  <c r="AE43" i="8"/>
  <c r="AS43" i="8"/>
  <c r="AL31" i="8"/>
  <c r="AX31" i="8"/>
  <c r="AM31" i="8"/>
  <c r="AY31" i="8"/>
  <c r="AN31" i="8"/>
  <c r="AZ31" i="8"/>
  <c r="AO31" i="8"/>
  <c r="BA31" i="8"/>
  <c r="AD31" i="8"/>
  <c r="AP31" i="8"/>
  <c r="BB31" i="8"/>
  <c r="AE31" i="8"/>
  <c r="AQ31" i="8"/>
  <c r="AF31" i="8"/>
  <c r="AR31" i="8"/>
  <c r="AG31" i="8"/>
  <c r="AS31" i="8"/>
  <c r="AH31" i="8"/>
  <c r="AT31" i="8"/>
  <c r="AI31" i="8"/>
  <c r="AJ31" i="8"/>
  <c r="AK31" i="8"/>
  <c r="AU31" i="8"/>
  <c r="AV31" i="8"/>
  <c r="AW31" i="8"/>
  <c r="AL19" i="8"/>
  <c r="AX19" i="8"/>
  <c r="AM19" i="8"/>
  <c r="AY19" i="8"/>
  <c r="AN19" i="8"/>
  <c r="AZ19" i="8"/>
  <c r="AO19" i="8"/>
  <c r="BA19" i="8"/>
  <c r="AD19" i="8"/>
  <c r="AP19" i="8"/>
  <c r="BB19" i="8"/>
  <c r="AE19" i="8"/>
  <c r="AQ19" i="8"/>
  <c r="AF19" i="8"/>
  <c r="AR19" i="8"/>
  <c r="AG19" i="8"/>
  <c r="AS19" i="8"/>
  <c r="AH19" i="8"/>
  <c r="AT19" i="8"/>
  <c r="AI19" i="8"/>
  <c r="AU19" i="8"/>
  <c r="AJ19" i="8"/>
  <c r="AV19" i="8"/>
  <c r="AK19" i="8"/>
  <c r="AW19" i="8"/>
  <c r="AY14" i="8"/>
  <c r="AL14" i="8"/>
  <c r="AW13" i="8"/>
  <c r="AJ13" i="8"/>
  <c r="AU12" i="8"/>
  <c r="AS137" i="8"/>
  <c r="AF137" i="8"/>
  <c r="BC136" i="8"/>
  <c r="BG136" i="8" s="1"/>
  <c r="BH136" i="8" s="1"/>
  <c r="AP135" i="8"/>
  <c r="BB134" i="8"/>
  <c r="AO134" i="8"/>
  <c r="BA133" i="8"/>
  <c r="AN133" i="8"/>
  <c r="AZ132" i="8"/>
  <c r="AM132" i="8"/>
  <c r="AY131" i="8"/>
  <c r="AL131" i="8"/>
  <c r="AX130" i="8"/>
  <c r="AJ130" i="8"/>
  <c r="AV129" i="8"/>
  <c r="AI129" i="8"/>
  <c r="AU128" i="8"/>
  <c r="AH128" i="8"/>
  <c r="AT127" i="8"/>
  <c r="AG127" i="8"/>
  <c r="AS126" i="8"/>
  <c r="AR125" i="8"/>
  <c r="AE125" i="8"/>
  <c r="BB123" i="8"/>
  <c r="AO123" i="8"/>
  <c r="BA122" i="8"/>
  <c r="AN122" i="8"/>
  <c r="AZ121" i="8"/>
  <c r="AM121" i="8"/>
  <c r="AY120" i="8"/>
  <c r="AL120" i="8"/>
  <c r="AX119" i="8"/>
  <c r="AK119" i="8"/>
  <c r="AV118" i="8"/>
  <c r="AI118" i="8"/>
  <c r="AU117" i="8"/>
  <c r="AH117" i="8"/>
  <c r="AT116" i="8"/>
  <c r="AG116" i="8"/>
  <c r="AS115" i="8"/>
  <c r="AF115" i="8"/>
  <c r="AR114" i="8"/>
  <c r="AD114" i="8"/>
  <c r="AN113" i="8"/>
  <c r="AX112" i="8"/>
  <c r="AD112" i="8"/>
  <c r="AE111" i="8"/>
  <c r="AD110" i="8"/>
  <c r="AG107" i="8"/>
  <c r="AO96" i="8"/>
  <c r="AZ83" i="8"/>
  <c r="AS77" i="8"/>
  <c r="AF59" i="8"/>
  <c r="AP12" i="8"/>
  <c r="BB12" i="8"/>
  <c r="AO126" i="8"/>
  <c r="BA126" i="8"/>
  <c r="AL102" i="8"/>
  <c r="AX102" i="8"/>
  <c r="AJ102" i="8"/>
  <c r="AW102" i="8"/>
  <c r="AK102" i="8"/>
  <c r="AY102" i="8"/>
  <c r="AM102" i="8"/>
  <c r="AZ102" i="8"/>
  <c r="AN102" i="8"/>
  <c r="BA102" i="8"/>
  <c r="AO102" i="8"/>
  <c r="BB102" i="8"/>
  <c r="AP102" i="8"/>
  <c r="AD102" i="8"/>
  <c r="AQ102" i="8"/>
  <c r="AE102" i="8"/>
  <c r="AR102" i="8"/>
  <c r="AF102" i="8"/>
  <c r="AS102" i="8"/>
  <c r="AG102" i="8"/>
  <c r="AT102" i="8"/>
  <c r="AH102" i="8"/>
  <c r="AU102" i="8"/>
  <c r="AL90" i="8"/>
  <c r="AX90" i="8"/>
  <c r="AI90" i="8"/>
  <c r="AV90" i="8"/>
  <c r="AJ90" i="8"/>
  <c r="AW90" i="8"/>
  <c r="AK90" i="8"/>
  <c r="AY90" i="8"/>
  <c r="AM90" i="8"/>
  <c r="AZ90" i="8"/>
  <c r="AN90" i="8"/>
  <c r="BA90" i="8"/>
  <c r="AO90" i="8"/>
  <c r="BB90" i="8"/>
  <c r="AP90" i="8"/>
  <c r="AD90" i="8"/>
  <c r="AQ90" i="8"/>
  <c r="AE90" i="8"/>
  <c r="AR90" i="8"/>
  <c r="AF90" i="8"/>
  <c r="AS90" i="8"/>
  <c r="AG90" i="8"/>
  <c r="AT90" i="8"/>
  <c r="AL66" i="8"/>
  <c r="AX66" i="8"/>
  <c r="AM66" i="8"/>
  <c r="AY66" i="8"/>
  <c r="AN66" i="8"/>
  <c r="AZ66" i="8"/>
  <c r="AO66" i="8"/>
  <c r="BA66" i="8"/>
  <c r="AD66" i="8"/>
  <c r="AP66" i="8"/>
  <c r="BB66" i="8"/>
  <c r="AE66" i="8"/>
  <c r="AQ66" i="8"/>
  <c r="AF66" i="8"/>
  <c r="AR66" i="8"/>
  <c r="AG66" i="8"/>
  <c r="AS66" i="8"/>
  <c r="AH66" i="8"/>
  <c r="AT66" i="8"/>
  <c r="AI66" i="8"/>
  <c r="AU66" i="8"/>
  <c r="AJ66" i="8"/>
  <c r="AV66" i="8"/>
  <c r="AK66" i="8"/>
  <c r="AW66" i="8"/>
  <c r="AM54" i="8"/>
  <c r="AY54" i="8"/>
  <c r="AI54" i="8"/>
  <c r="AV54" i="8"/>
  <c r="AJ54" i="8"/>
  <c r="AW54" i="8"/>
  <c r="AK54" i="8"/>
  <c r="AX54" i="8"/>
  <c r="AL54" i="8"/>
  <c r="AZ54" i="8"/>
  <c r="AN54" i="8"/>
  <c r="BA54" i="8"/>
  <c r="AO54" i="8"/>
  <c r="BB54" i="8"/>
  <c r="AP54" i="8"/>
  <c r="AD54" i="8"/>
  <c r="AQ54" i="8"/>
  <c r="AE54" i="8"/>
  <c r="AR54" i="8"/>
  <c r="AF54" i="8"/>
  <c r="AS54" i="8"/>
  <c r="AG54" i="8"/>
  <c r="AT54" i="8"/>
  <c r="AH54" i="8"/>
  <c r="AU54" i="8"/>
  <c r="AM42" i="8"/>
  <c r="AY42" i="8"/>
  <c r="AN42" i="8"/>
  <c r="AZ42" i="8"/>
  <c r="AQ42" i="8"/>
  <c r="AD42" i="8"/>
  <c r="AR42" i="8"/>
  <c r="AE42" i="8"/>
  <c r="AS42" i="8"/>
  <c r="AF42" i="8"/>
  <c r="AT42" i="8"/>
  <c r="AG42" i="8"/>
  <c r="AU42" i="8"/>
  <c r="AH42" i="8"/>
  <c r="AV42" i="8"/>
  <c r="AI42" i="8"/>
  <c r="AW42" i="8"/>
  <c r="AJ42" i="8"/>
  <c r="AX42" i="8"/>
  <c r="AK42" i="8"/>
  <c r="BA42" i="8"/>
  <c r="AL42" i="8"/>
  <c r="BB42" i="8"/>
  <c r="AO42" i="8"/>
  <c r="AP42" i="8"/>
  <c r="AM30" i="8"/>
  <c r="AY30" i="8"/>
  <c r="AN30" i="8"/>
  <c r="AZ30" i="8"/>
  <c r="AO30" i="8"/>
  <c r="BA30" i="8"/>
  <c r="AD30" i="8"/>
  <c r="AP30" i="8"/>
  <c r="BB30" i="8"/>
  <c r="AE30" i="8"/>
  <c r="AQ30" i="8"/>
  <c r="AF30" i="8"/>
  <c r="AR30" i="8"/>
  <c r="AG30" i="8"/>
  <c r="AS30" i="8"/>
  <c r="AH30" i="8"/>
  <c r="AT30" i="8"/>
  <c r="AI30" i="8"/>
  <c r="AU30" i="8"/>
  <c r="AJ30" i="8"/>
  <c r="AK30" i="8"/>
  <c r="AL30" i="8"/>
  <c r="AV30" i="8"/>
  <c r="AW30" i="8"/>
  <c r="AX30" i="8"/>
  <c r="AV13" i="8"/>
  <c r="AI13" i="8"/>
  <c r="AT12" i="8"/>
  <c r="AG12" i="8"/>
  <c r="AR137" i="8"/>
  <c r="BB135" i="8"/>
  <c r="AO135" i="8"/>
  <c r="BA134" i="8"/>
  <c r="AN134" i="8"/>
  <c r="AZ133" i="8"/>
  <c r="AM133" i="8"/>
  <c r="AY132" i="8"/>
  <c r="AL132" i="8"/>
  <c r="AX131" i="8"/>
  <c r="AK131" i="8"/>
  <c r="AV130" i="8"/>
  <c r="AI130" i="8"/>
  <c r="AU129" i="8"/>
  <c r="AH129" i="8"/>
  <c r="AT128" i="8"/>
  <c r="AG128" i="8"/>
  <c r="AS127" i="8"/>
  <c r="AF127" i="8"/>
  <c r="AR126" i="8"/>
  <c r="AE126" i="8"/>
  <c r="AQ125" i="8"/>
  <c r="BA123" i="8"/>
  <c r="AN123" i="8"/>
  <c r="AZ122" i="8"/>
  <c r="AM122" i="8"/>
  <c r="AY121" i="8"/>
  <c r="AL121" i="8"/>
  <c r="AX120" i="8"/>
  <c r="AK120" i="8"/>
  <c r="AW119" i="8"/>
  <c r="AI119" i="8"/>
  <c r="AU118" i="8"/>
  <c r="AH118" i="8"/>
  <c r="AT117" i="8"/>
  <c r="AG117" i="8"/>
  <c r="AS116" i="8"/>
  <c r="AF116" i="8"/>
  <c r="AR115" i="8"/>
  <c r="AE115" i="8"/>
  <c r="AQ114" i="8"/>
  <c r="BA113" i="8"/>
  <c r="AM113" i="8"/>
  <c r="AW112" i="8"/>
  <c r="BB111" i="8"/>
  <c r="AD111" i="8"/>
  <c r="AS109" i="8"/>
  <c r="AV106" i="8"/>
  <c r="AI102" i="8"/>
  <c r="BA95" i="8"/>
  <c r="AT89" i="8"/>
  <c r="AM83" i="8"/>
  <c r="AM101" i="8"/>
  <c r="AY101" i="8"/>
  <c r="AI101" i="8"/>
  <c r="AV101" i="8"/>
  <c r="AJ101" i="8"/>
  <c r="AW101" i="8"/>
  <c r="AK101" i="8"/>
  <c r="AX101" i="8"/>
  <c r="AL101" i="8"/>
  <c r="AZ101" i="8"/>
  <c r="AN101" i="8"/>
  <c r="BA101" i="8"/>
  <c r="AO101" i="8"/>
  <c r="BB101" i="8"/>
  <c r="AP101" i="8"/>
  <c r="AD101" i="8"/>
  <c r="AQ101" i="8"/>
  <c r="AE101" i="8"/>
  <c r="AR101" i="8"/>
  <c r="AF101" i="8"/>
  <c r="AS101" i="8"/>
  <c r="AG101" i="8"/>
  <c r="AT101" i="8"/>
  <c r="AN29" i="8"/>
  <c r="AZ29" i="8"/>
  <c r="AO29" i="8"/>
  <c r="BA29" i="8"/>
  <c r="AD29" i="8"/>
  <c r="AP29" i="8"/>
  <c r="BB29" i="8"/>
  <c r="AE29" i="8"/>
  <c r="AQ29" i="8"/>
  <c r="AF29" i="8"/>
  <c r="AR29" i="8"/>
  <c r="AG29" i="8"/>
  <c r="AS29" i="8"/>
  <c r="AH29" i="8"/>
  <c r="AT29" i="8"/>
  <c r="AI29" i="8"/>
  <c r="AU29" i="8"/>
  <c r="AJ29" i="8"/>
  <c r="AV29" i="8"/>
  <c r="AK29" i="8"/>
  <c r="AL29" i="8"/>
  <c r="AM29" i="8"/>
  <c r="AW29" i="8"/>
  <c r="AX29" i="8"/>
  <c r="AY29" i="8"/>
  <c r="AU13" i="8"/>
  <c r="AF12" i="8"/>
  <c r="BA135" i="8"/>
  <c r="AZ134" i="8"/>
  <c r="AY133" i="8"/>
  <c r="AL133" i="8"/>
  <c r="AK132" i="8"/>
  <c r="AW131" i="8"/>
  <c r="AI131" i="8"/>
  <c r="AU130" i="8"/>
  <c r="AH130" i="8"/>
  <c r="AT129" i="8"/>
  <c r="AS128" i="8"/>
  <c r="AF128" i="8"/>
  <c r="AR127" i="8"/>
  <c r="AE127" i="8"/>
  <c r="AQ126" i="8"/>
  <c r="AD126" i="8"/>
  <c r="AZ123" i="8"/>
  <c r="AM123" i="8"/>
  <c r="AY122" i="8"/>
  <c r="AL122" i="8"/>
  <c r="AX121" i="8"/>
  <c r="AK121" i="8"/>
  <c r="AW120" i="8"/>
  <c r="AJ120" i="8"/>
  <c r="AU119" i="8"/>
  <c r="AH119" i="8"/>
  <c r="AT118" i="8"/>
  <c r="AG118" i="8"/>
  <c r="AS117" i="8"/>
  <c r="AF117" i="8"/>
  <c r="AR116" i="8"/>
  <c r="AE116" i="8"/>
  <c r="AQ115" i="8"/>
  <c r="AD115" i="8"/>
  <c r="AZ113" i="8"/>
  <c r="BA111" i="8"/>
  <c r="BB110" i="8"/>
  <c r="AQ109" i="8"/>
  <c r="AT106" i="8"/>
  <c r="AU101" i="8"/>
  <c r="AN95" i="8"/>
  <c r="AY82" i="8"/>
  <c r="AY46" i="8"/>
  <c r="AO63" i="8"/>
  <c r="BA63" i="8"/>
  <c r="AD63" i="8"/>
  <c r="AP63" i="8"/>
  <c r="BB63" i="8"/>
  <c r="AE63" i="8"/>
  <c r="AQ63" i="8"/>
  <c r="AF63" i="8"/>
  <c r="AR63" i="8"/>
  <c r="AG63" i="8"/>
  <c r="AS63" i="8"/>
  <c r="AH63" i="8"/>
  <c r="AT63" i="8"/>
  <c r="AI63" i="8"/>
  <c r="AU63" i="8"/>
  <c r="AJ63" i="8"/>
  <c r="AV63" i="8"/>
  <c r="AK63" i="8"/>
  <c r="AW63" i="8"/>
  <c r="AL63" i="8"/>
  <c r="AX63" i="8"/>
  <c r="AM63" i="8"/>
  <c r="AY63" i="8"/>
  <c r="AN63" i="8"/>
  <c r="AZ63" i="8"/>
  <c r="AY135" i="8"/>
  <c r="AO114" i="8"/>
  <c r="BA114" i="8"/>
  <c r="AE114" i="8"/>
  <c r="AL78" i="8"/>
  <c r="AX78" i="8"/>
  <c r="AH78" i="8"/>
  <c r="AU78" i="8"/>
  <c r="AI78" i="8"/>
  <c r="AV78" i="8"/>
  <c r="AJ78" i="8"/>
  <c r="AW78" i="8"/>
  <c r="AK78" i="8"/>
  <c r="AY78" i="8"/>
  <c r="AM78" i="8"/>
  <c r="AZ78" i="8"/>
  <c r="AN78" i="8"/>
  <c r="BA78" i="8"/>
  <c r="AO78" i="8"/>
  <c r="BB78" i="8"/>
  <c r="AP78" i="8"/>
  <c r="AD78" i="8"/>
  <c r="AQ78" i="8"/>
  <c r="AE78" i="8"/>
  <c r="AR78" i="8"/>
  <c r="AF78" i="8"/>
  <c r="AS78" i="8"/>
  <c r="AM18" i="8"/>
  <c r="AY18" i="8"/>
  <c r="AN18" i="8"/>
  <c r="AZ18" i="8"/>
  <c r="AO18" i="8"/>
  <c r="BA18" i="8"/>
  <c r="AD18" i="8"/>
  <c r="AP18" i="8"/>
  <c r="BB18" i="8"/>
  <c r="AE18" i="8"/>
  <c r="AQ18" i="8"/>
  <c r="AF18" i="8"/>
  <c r="AR18" i="8"/>
  <c r="AG18" i="8"/>
  <c r="AS18" i="8"/>
  <c r="AH18" i="8"/>
  <c r="AT18" i="8"/>
  <c r="AI18" i="8"/>
  <c r="AU18" i="8"/>
  <c r="AJ18" i="8"/>
  <c r="AV18" i="8"/>
  <c r="AK18" i="8"/>
  <c r="AW18" i="8"/>
  <c r="AL18" i="8"/>
  <c r="AX18" i="8"/>
  <c r="AD137" i="8"/>
  <c r="AP137" i="8"/>
  <c r="BB137" i="8"/>
  <c r="AD125" i="8"/>
  <c r="AP125" i="8"/>
  <c r="BB125" i="8"/>
  <c r="AD113" i="8"/>
  <c r="AP113" i="8"/>
  <c r="BB113" i="8"/>
  <c r="AE113" i="8"/>
  <c r="AF113" i="8"/>
  <c r="AR113" i="8"/>
  <c r="AM89" i="8"/>
  <c r="AY89" i="8"/>
  <c r="AH89" i="8"/>
  <c r="AU89" i="8"/>
  <c r="AI89" i="8"/>
  <c r="AV89" i="8"/>
  <c r="AJ89" i="8"/>
  <c r="AW89" i="8"/>
  <c r="AK89" i="8"/>
  <c r="AX89" i="8"/>
  <c r="AL89" i="8"/>
  <c r="AZ89" i="8"/>
  <c r="AN89" i="8"/>
  <c r="BA89" i="8"/>
  <c r="AO89" i="8"/>
  <c r="BB89" i="8"/>
  <c r="AP89" i="8"/>
  <c r="AD89" i="8"/>
  <c r="AQ89" i="8"/>
  <c r="AE89" i="8"/>
  <c r="AR89" i="8"/>
  <c r="AF89" i="8"/>
  <c r="AS89" i="8"/>
  <c r="AM77" i="8"/>
  <c r="AY77" i="8"/>
  <c r="AG77" i="8"/>
  <c r="AT77" i="8"/>
  <c r="AH77" i="8"/>
  <c r="AU77" i="8"/>
  <c r="AI77" i="8"/>
  <c r="AV77" i="8"/>
  <c r="AJ77" i="8"/>
  <c r="AW77" i="8"/>
  <c r="AK77" i="8"/>
  <c r="AX77" i="8"/>
  <c r="AL77" i="8"/>
  <c r="AZ77" i="8"/>
  <c r="AN77" i="8"/>
  <c r="BA77" i="8"/>
  <c r="AO77" i="8"/>
  <c r="BB77" i="8"/>
  <c r="AP77" i="8"/>
  <c r="AD77" i="8"/>
  <c r="AQ77" i="8"/>
  <c r="AE77" i="8"/>
  <c r="AR77" i="8"/>
  <c r="AM65" i="8"/>
  <c r="AY65" i="8"/>
  <c r="AN65" i="8"/>
  <c r="AZ65" i="8"/>
  <c r="AO65" i="8"/>
  <c r="BA65" i="8"/>
  <c r="AD65" i="8"/>
  <c r="AP65" i="8"/>
  <c r="BB65" i="8"/>
  <c r="AE65" i="8"/>
  <c r="AQ65" i="8"/>
  <c r="AF65" i="8"/>
  <c r="AR65" i="8"/>
  <c r="AG65" i="8"/>
  <c r="AS65" i="8"/>
  <c r="AH65" i="8"/>
  <c r="AT65" i="8"/>
  <c r="AI65" i="8"/>
  <c r="AU65" i="8"/>
  <c r="AJ65" i="8"/>
  <c r="AV65" i="8"/>
  <c r="AK65" i="8"/>
  <c r="AW65" i="8"/>
  <c r="AL65" i="8"/>
  <c r="AX65" i="8"/>
  <c r="AN53" i="8"/>
  <c r="AZ53" i="8"/>
  <c r="AH53" i="8"/>
  <c r="AU53" i="8"/>
  <c r="AI53" i="8"/>
  <c r="AV53" i="8"/>
  <c r="AJ53" i="8"/>
  <c r="AW53" i="8"/>
  <c r="AK53" i="8"/>
  <c r="AX53" i="8"/>
  <c r="AL53" i="8"/>
  <c r="AY53" i="8"/>
  <c r="AM53" i="8"/>
  <c r="BA53" i="8"/>
  <c r="AO53" i="8"/>
  <c r="BB53" i="8"/>
  <c r="AP53" i="8"/>
  <c r="AD53" i="8"/>
  <c r="AQ53" i="8"/>
  <c r="AE53" i="8"/>
  <c r="AR53" i="8"/>
  <c r="AF53" i="8"/>
  <c r="AS53" i="8"/>
  <c r="AT53" i="8"/>
  <c r="AN41" i="8"/>
  <c r="AZ41" i="8"/>
  <c r="AO41" i="8"/>
  <c r="BA41" i="8"/>
  <c r="AD41" i="8"/>
  <c r="AP41" i="8"/>
  <c r="BB41" i="8"/>
  <c r="AE41" i="8"/>
  <c r="AJ41" i="8"/>
  <c r="AY41" i="8"/>
  <c r="AK41" i="8"/>
  <c r="AL41" i="8"/>
  <c r="AM41" i="8"/>
  <c r="AQ41" i="8"/>
  <c r="AR41" i="8"/>
  <c r="AS41" i="8"/>
  <c r="AT41" i="8"/>
  <c r="AF41" i="8"/>
  <c r="AU41" i="8"/>
  <c r="AG41" i="8"/>
  <c r="AV41" i="8"/>
  <c r="AH41" i="8"/>
  <c r="AW41" i="8"/>
  <c r="AI41" i="8"/>
  <c r="AX41" i="8"/>
  <c r="AN17" i="8"/>
  <c r="AZ17" i="8"/>
  <c r="AO17" i="8"/>
  <c r="BA17" i="8"/>
  <c r="AD17" i="8"/>
  <c r="AP17" i="8"/>
  <c r="BB17" i="8"/>
  <c r="AE17" i="8"/>
  <c r="AQ17" i="8"/>
  <c r="AF17" i="8"/>
  <c r="AR17" i="8"/>
  <c r="AG17" i="8"/>
  <c r="AS17" i="8"/>
  <c r="AH17" i="8"/>
  <c r="AT17" i="8"/>
  <c r="AI17" i="8"/>
  <c r="AU17" i="8"/>
  <c r="AJ17" i="8"/>
  <c r="AV17" i="8"/>
  <c r="AK17" i="8"/>
  <c r="AW17" i="8"/>
  <c r="AL17" i="8"/>
  <c r="AX17" i="8"/>
  <c r="AM17" i="8"/>
  <c r="AY17" i="8"/>
  <c r="AW14" i="8"/>
  <c r="AJ14" i="8"/>
  <c r="AH13" i="8"/>
  <c r="AS12" i="8"/>
  <c r="AQ137" i="8"/>
  <c r="AN135" i="8"/>
  <c r="AM134" i="8"/>
  <c r="AX132" i="8"/>
  <c r="AG129" i="8"/>
  <c r="AE136" i="8"/>
  <c r="BD136" i="8" s="1"/>
  <c r="AQ136" i="8"/>
  <c r="AE124" i="8"/>
  <c r="BE124" i="8" s="1"/>
  <c r="AQ124" i="8"/>
  <c r="AE112" i="8"/>
  <c r="AQ112" i="8"/>
  <c r="AF112" i="8"/>
  <c r="AR112" i="8"/>
  <c r="AG112" i="8"/>
  <c r="AS112" i="8"/>
  <c r="AJ112" i="8"/>
  <c r="AV112" i="8"/>
  <c r="AN100" i="8"/>
  <c r="AZ100" i="8"/>
  <c r="AH100" i="8"/>
  <c r="AU100" i="8"/>
  <c r="AI100" i="8"/>
  <c r="AV100" i="8"/>
  <c r="AJ100" i="8"/>
  <c r="AW100" i="8"/>
  <c r="AK100" i="8"/>
  <c r="AX100" i="8"/>
  <c r="AL100" i="8"/>
  <c r="AY100" i="8"/>
  <c r="AM100" i="8"/>
  <c r="BA100" i="8"/>
  <c r="AO100" i="8"/>
  <c r="BB100" i="8"/>
  <c r="AP100" i="8"/>
  <c r="AD100" i="8"/>
  <c r="AQ100" i="8"/>
  <c r="AE100" i="8"/>
  <c r="AR100" i="8"/>
  <c r="AF100" i="8"/>
  <c r="AS100" i="8"/>
  <c r="AN88" i="8"/>
  <c r="AZ88" i="8"/>
  <c r="AG88" i="8"/>
  <c r="AT88" i="8"/>
  <c r="AH88" i="8"/>
  <c r="AU88" i="8"/>
  <c r="AI88" i="8"/>
  <c r="AV88" i="8"/>
  <c r="AJ88" i="8"/>
  <c r="AW88" i="8"/>
  <c r="AK88" i="8"/>
  <c r="AX88" i="8"/>
  <c r="AL88" i="8"/>
  <c r="AY88" i="8"/>
  <c r="AM88" i="8"/>
  <c r="BA88" i="8"/>
  <c r="AO88" i="8"/>
  <c r="BB88" i="8"/>
  <c r="AP88" i="8"/>
  <c r="AD88" i="8"/>
  <c r="AQ88" i="8"/>
  <c r="AE88" i="8"/>
  <c r="AR88" i="8"/>
  <c r="AN76" i="8"/>
  <c r="AZ76" i="8"/>
  <c r="AO76" i="8"/>
  <c r="AD76" i="8"/>
  <c r="AP76" i="8"/>
  <c r="AE76" i="8"/>
  <c r="AQ76" i="8"/>
  <c r="AS76" i="8"/>
  <c r="AT76" i="8"/>
  <c r="AU76" i="8"/>
  <c r="AF76" i="8"/>
  <c r="AV76" i="8"/>
  <c r="AG76" i="8"/>
  <c r="AW76" i="8"/>
  <c r="AH76" i="8"/>
  <c r="AX76" i="8"/>
  <c r="AI76" i="8"/>
  <c r="AY76" i="8"/>
  <c r="AJ76" i="8"/>
  <c r="BA76" i="8"/>
  <c r="AK76" i="8"/>
  <c r="BB76" i="8"/>
  <c r="AL76" i="8"/>
  <c r="AM76" i="8"/>
  <c r="AN64" i="8"/>
  <c r="AZ64" i="8"/>
  <c r="AO64" i="8"/>
  <c r="BA64" i="8"/>
  <c r="AD64" i="8"/>
  <c r="AP64" i="8"/>
  <c r="BB64" i="8"/>
  <c r="AE64" i="8"/>
  <c r="AQ64" i="8"/>
  <c r="AF64" i="8"/>
  <c r="AR64" i="8"/>
  <c r="AG64" i="8"/>
  <c r="AS64" i="8"/>
  <c r="AH64" i="8"/>
  <c r="AT64" i="8"/>
  <c r="AI64" i="8"/>
  <c r="AU64" i="8"/>
  <c r="AJ64" i="8"/>
  <c r="AV64" i="8"/>
  <c r="AK64" i="8"/>
  <c r="AW64" i="8"/>
  <c r="AL64" i="8"/>
  <c r="AX64" i="8"/>
  <c r="AM64" i="8"/>
  <c r="AO52" i="8"/>
  <c r="BA52" i="8"/>
  <c r="AG52" i="8"/>
  <c r="AT52" i="8"/>
  <c r="AH52" i="8"/>
  <c r="AU52" i="8"/>
  <c r="AI52" i="8"/>
  <c r="AV52" i="8"/>
  <c r="AJ52" i="8"/>
  <c r="AW52" i="8"/>
  <c r="AK52" i="8"/>
  <c r="AX52" i="8"/>
  <c r="AL52" i="8"/>
  <c r="AY52" i="8"/>
  <c r="AM52" i="8"/>
  <c r="AZ52" i="8"/>
  <c r="AN52" i="8"/>
  <c r="BB52" i="8"/>
  <c r="AP52" i="8"/>
  <c r="AD52" i="8"/>
  <c r="AQ52" i="8"/>
  <c r="AE52" i="8"/>
  <c r="AR52" i="8"/>
  <c r="AF52" i="8"/>
  <c r="AS52" i="8"/>
  <c r="AO40" i="8"/>
  <c r="BA40" i="8"/>
  <c r="AD40" i="8"/>
  <c r="AP40" i="8"/>
  <c r="BB40" i="8"/>
  <c r="AE40" i="8"/>
  <c r="AQ40" i="8"/>
  <c r="AF40" i="8"/>
  <c r="AR40" i="8"/>
  <c r="AS40" i="8"/>
  <c r="AT40" i="8"/>
  <c r="AU40" i="8"/>
  <c r="AV40" i="8"/>
  <c r="AG40" i="8"/>
  <c r="AW40" i="8"/>
  <c r="AH40" i="8"/>
  <c r="AX40" i="8"/>
  <c r="AI40" i="8"/>
  <c r="AY40" i="8"/>
  <c r="AJ40" i="8"/>
  <c r="AZ40" i="8"/>
  <c r="AK40" i="8"/>
  <c r="AL40" i="8"/>
  <c r="AM40" i="8"/>
  <c r="AN40" i="8"/>
  <c r="AO28" i="8"/>
  <c r="BA28" i="8"/>
  <c r="AD28" i="8"/>
  <c r="AP28" i="8"/>
  <c r="BB28" i="8"/>
  <c r="AE28" i="8"/>
  <c r="AQ28" i="8"/>
  <c r="AF28" i="8"/>
  <c r="AR28" i="8"/>
  <c r="AG28" i="8"/>
  <c r="AS28" i="8"/>
  <c r="AH28" i="8"/>
  <c r="AT28" i="8"/>
  <c r="AI28" i="8"/>
  <c r="AU28" i="8"/>
  <c r="AJ28" i="8"/>
  <c r="AV28" i="8"/>
  <c r="AK28" i="8"/>
  <c r="AW28" i="8"/>
  <c r="AL28" i="8"/>
  <c r="AX28" i="8"/>
  <c r="AM28" i="8"/>
  <c r="AN28" i="8"/>
  <c r="AY28" i="8"/>
  <c r="AZ28" i="8"/>
  <c r="AO16" i="8"/>
  <c r="BA16" i="8"/>
  <c r="AD16" i="8"/>
  <c r="AP16" i="8"/>
  <c r="BB16" i="8"/>
  <c r="AE16" i="8"/>
  <c r="AQ16" i="8"/>
  <c r="AF16" i="8"/>
  <c r="AR16" i="8"/>
  <c r="AG16" i="8"/>
  <c r="AS16" i="8"/>
  <c r="AH16" i="8"/>
  <c r="AT16" i="8"/>
  <c r="AI16" i="8"/>
  <c r="AU16" i="8"/>
  <c r="AJ16" i="8"/>
  <c r="AV16" i="8"/>
  <c r="AK16" i="8"/>
  <c r="AW16" i="8"/>
  <c r="AL16" i="8"/>
  <c r="AX16" i="8"/>
  <c r="AM16" i="8"/>
  <c r="AY16" i="8"/>
  <c r="AN16" i="8"/>
  <c r="AZ16" i="8"/>
  <c r="AV14" i="8"/>
  <c r="AI14" i="8"/>
  <c r="BE14" i="8" s="1"/>
  <c r="AT13" i="8"/>
  <c r="AG13" i="8"/>
  <c r="AR12" i="8"/>
  <c r="AE12" i="8"/>
  <c r="AO137" i="8"/>
  <c r="BA136" i="8"/>
  <c r="AN136" i="8"/>
  <c r="AZ135" i="8"/>
  <c r="AM135" i="8"/>
  <c r="AY134" i="8"/>
  <c r="AL134" i="8"/>
  <c r="AX133" i="8"/>
  <c r="AK133" i="8"/>
  <c r="AW132" i="8"/>
  <c r="AJ132" i="8"/>
  <c r="AU131" i="8"/>
  <c r="AH131" i="8"/>
  <c r="AT130" i="8"/>
  <c r="AG130" i="8"/>
  <c r="AS129" i="8"/>
  <c r="AF129" i="8"/>
  <c r="AR128" i="8"/>
  <c r="AE128" i="8"/>
  <c r="BD128" i="8" s="1"/>
  <c r="AQ127" i="8"/>
  <c r="AD127" i="8"/>
  <c r="AP126" i="8"/>
  <c r="BA125" i="8"/>
  <c r="AN125" i="8"/>
  <c r="AZ124" i="8"/>
  <c r="AM124" i="8"/>
  <c r="AY123" i="8"/>
  <c r="AL123" i="8"/>
  <c r="AX122" i="8"/>
  <c r="AK122" i="8"/>
  <c r="AW121" i="8"/>
  <c r="AJ121" i="8"/>
  <c r="AV120" i="8"/>
  <c r="AH120" i="8"/>
  <c r="AT119" i="8"/>
  <c r="AG119" i="8"/>
  <c r="AS118" i="8"/>
  <c r="AF118" i="8"/>
  <c r="AR117" i="8"/>
  <c r="AE117" i="8"/>
  <c r="BC117" i="8" s="1"/>
  <c r="BG117" i="8" s="1"/>
  <c r="BH117" i="8" s="1"/>
  <c r="AQ116" i="8"/>
  <c r="AD116" i="8"/>
  <c r="AP115" i="8"/>
  <c r="BB114" i="8"/>
  <c r="AN114" i="8"/>
  <c r="AY113" i="8"/>
  <c r="AK113" i="8"/>
  <c r="AT112" i="8"/>
  <c r="AZ111" i="8"/>
  <c r="BA110" i="8"/>
  <c r="AG109" i="8"/>
  <c r="AJ106" i="8"/>
  <c r="AH101" i="8"/>
  <c r="AZ94" i="8"/>
  <c r="AS88" i="8"/>
  <c r="AL82" i="8"/>
  <c r="AW75" i="8"/>
  <c r="AW39" i="8"/>
  <c r="AX45" i="8"/>
  <c r="AT57" i="8"/>
  <c r="AI57" i="8"/>
  <c r="AU57" i="8"/>
  <c r="AJ57" i="8"/>
  <c r="AV57" i="8"/>
  <c r="AK57" i="8"/>
  <c r="AW57" i="8"/>
  <c r="AL57" i="8"/>
  <c r="AX57" i="8"/>
  <c r="AM57" i="8"/>
  <c r="AY57" i="8"/>
  <c r="AN57" i="8"/>
  <c r="AZ57" i="8"/>
  <c r="AO57" i="8"/>
  <c r="BA57" i="8"/>
  <c r="AD57" i="8"/>
  <c r="AP57" i="8"/>
  <c r="BB57" i="8"/>
  <c r="AE57" i="8"/>
  <c r="AQ57" i="8"/>
  <c r="AF57" i="8"/>
  <c r="AR57" i="8"/>
  <c r="AG57" i="8"/>
  <c r="AS57" i="8"/>
  <c r="AJ45" i="8"/>
  <c r="AV45" i="8"/>
  <c r="AL45" i="8"/>
  <c r="AY45" i="8"/>
  <c r="AM45" i="8"/>
  <c r="AZ45" i="8"/>
  <c r="AN45" i="8"/>
  <c r="BA45" i="8"/>
  <c r="AO45" i="8"/>
  <c r="BB45" i="8"/>
  <c r="AP45" i="8"/>
  <c r="AD45" i="8"/>
  <c r="AQ45" i="8"/>
  <c r="AE45" i="8"/>
  <c r="AR45" i="8"/>
  <c r="AF45" i="8"/>
  <c r="AS45" i="8"/>
  <c r="AG45" i="8"/>
  <c r="AT45" i="8"/>
  <c r="AH45" i="8"/>
  <c r="AU45" i="8"/>
  <c r="AI45" i="8"/>
  <c r="AW45" i="8"/>
  <c r="AJ33" i="8"/>
  <c r="AV33" i="8"/>
  <c r="AK33" i="8"/>
  <c r="AW33" i="8"/>
  <c r="AL33" i="8"/>
  <c r="AX33" i="8"/>
  <c r="AM33" i="8"/>
  <c r="AY33" i="8"/>
  <c r="AN33" i="8"/>
  <c r="AZ33" i="8"/>
  <c r="AO33" i="8"/>
  <c r="BA33" i="8"/>
  <c r="AD33" i="8"/>
  <c r="AP33" i="8"/>
  <c r="BB33" i="8"/>
  <c r="AR33" i="8"/>
  <c r="AS33" i="8"/>
  <c r="AT33" i="8"/>
  <c r="AU33" i="8"/>
  <c r="AE33" i="8"/>
  <c r="AF33" i="8"/>
  <c r="AG33" i="8"/>
  <c r="AH33" i="8"/>
  <c r="AI33" i="8"/>
  <c r="AJ21" i="8"/>
  <c r="AV21" i="8"/>
  <c r="AK21" i="8"/>
  <c r="AW21" i="8"/>
  <c r="AL21" i="8"/>
  <c r="AX21" i="8"/>
  <c r="AM21" i="8"/>
  <c r="AY21" i="8"/>
  <c r="AN21" i="8"/>
  <c r="AZ21" i="8"/>
  <c r="AO21" i="8"/>
  <c r="BA21" i="8"/>
  <c r="AD21" i="8"/>
  <c r="AP21" i="8"/>
  <c r="BB21" i="8"/>
  <c r="AE21" i="8"/>
  <c r="AQ21" i="8"/>
  <c r="AF21" i="8"/>
  <c r="AR21" i="8"/>
  <c r="AG21" i="8"/>
  <c r="AS21" i="8"/>
  <c r="AH21" i="8"/>
  <c r="AT21" i="8"/>
  <c r="AI21" i="8"/>
  <c r="AU21" i="8"/>
  <c r="BC65" i="8" l="1"/>
  <c r="BG65" i="8" s="1"/>
  <c r="BH65" i="8" s="1"/>
  <c r="BD65" i="8"/>
  <c r="BE65" i="8"/>
  <c r="BE100" i="8"/>
  <c r="BC100" i="8"/>
  <c r="BG100" i="8" s="1"/>
  <c r="BH100" i="8" s="1"/>
  <c r="BD100" i="8"/>
  <c r="BC41" i="8"/>
  <c r="BG41" i="8" s="1"/>
  <c r="BH41" i="8" s="1"/>
  <c r="BD41" i="8"/>
  <c r="BE41" i="8"/>
  <c r="BC125" i="8"/>
  <c r="BG125" i="8" s="1"/>
  <c r="BH125" i="8" s="1"/>
  <c r="BD125" i="8"/>
  <c r="BE125" i="8"/>
  <c r="BD126" i="8"/>
  <c r="BE126" i="8"/>
  <c r="BC126" i="8"/>
  <c r="BG126" i="8" s="1"/>
  <c r="BH126" i="8" s="1"/>
  <c r="BE111" i="8"/>
  <c r="BC111" i="8"/>
  <c r="BG111" i="8" s="1"/>
  <c r="BH111" i="8" s="1"/>
  <c r="BD111" i="8"/>
  <c r="BE136" i="8"/>
  <c r="BD19" i="8"/>
  <c r="BE19" i="8"/>
  <c r="BC19" i="8"/>
  <c r="BG19" i="8" s="1"/>
  <c r="BH19" i="8" s="1"/>
  <c r="BC60" i="8"/>
  <c r="BG60" i="8" s="1"/>
  <c r="BH60" i="8" s="1"/>
  <c r="BD60" i="8"/>
  <c r="BE60" i="8"/>
  <c r="BE50" i="8"/>
  <c r="BC50" i="8"/>
  <c r="BG50" i="8" s="1"/>
  <c r="BH50" i="8" s="1"/>
  <c r="BD50" i="8"/>
  <c r="BE128" i="8"/>
  <c r="BD127" i="8"/>
  <c r="BE127" i="8"/>
  <c r="BC127" i="8"/>
  <c r="BG127" i="8" s="1"/>
  <c r="BH127" i="8" s="1"/>
  <c r="BD54" i="8"/>
  <c r="BE54" i="8"/>
  <c r="BC54" i="8"/>
  <c r="BG54" i="8" s="1"/>
  <c r="BH54" i="8" s="1"/>
  <c r="BD90" i="8"/>
  <c r="BE90" i="8"/>
  <c r="BC90" i="8"/>
  <c r="BG90" i="8" s="1"/>
  <c r="BH90" i="8" s="1"/>
  <c r="BE110" i="8"/>
  <c r="BC110" i="8"/>
  <c r="BG110" i="8" s="1"/>
  <c r="BH110" i="8" s="1"/>
  <c r="BD110" i="8"/>
  <c r="BD31" i="8"/>
  <c r="BE31" i="8"/>
  <c r="BC31" i="8"/>
  <c r="BG31" i="8" s="1"/>
  <c r="BH31" i="8" s="1"/>
  <c r="BE43" i="8"/>
  <c r="BC43" i="8"/>
  <c r="BG43" i="8" s="1"/>
  <c r="BH43" i="8" s="1"/>
  <c r="BD43" i="8"/>
  <c r="BD80" i="8"/>
  <c r="BC80" i="8"/>
  <c r="BG80" i="8" s="1"/>
  <c r="BH80" i="8" s="1"/>
  <c r="BE80" i="8"/>
  <c r="BE134" i="8"/>
  <c r="BC134" i="8"/>
  <c r="BG134" i="8" s="1"/>
  <c r="BH134" i="8" s="1"/>
  <c r="BD134" i="8"/>
  <c r="BD81" i="8"/>
  <c r="BC81" i="8"/>
  <c r="BG81" i="8" s="1"/>
  <c r="BH81" i="8" s="1"/>
  <c r="BE81" i="8"/>
  <c r="BD105" i="8"/>
  <c r="BC105" i="8"/>
  <c r="BG105" i="8" s="1"/>
  <c r="BH105" i="8" s="1"/>
  <c r="BE105" i="8"/>
  <c r="BD70" i="8"/>
  <c r="BC70" i="8"/>
  <c r="BG70" i="8" s="1"/>
  <c r="BH70" i="8" s="1"/>
  <c r="BE70" i="8"/>
  <c r="BC108" i="8"/>
  <c r="BG108" i="8" s="1"/>
  <c r="BH108" i="8" s="1"/>
  <c r="BD108" i="8"/>
  <c r="BE108" i="8"/>
  <c r="BE49" i="8"/>
  <c r="BC49" i="8"/>
  <c r="BG49" i="8" s="1"/>
  <c r="BH49" i="8" s="1"/>
  <c r="BD49" i="8"/>
  <c r="BC85" i="8"/>
  <c r="BG85" i="8" s="1"/>
  <c r="BH85" i="8" s="1"/>
  <c r="BD85" i="8"/>
  <c r="BE85" i="8"/>
  <c r="BE26" i="8"/>
  <c r="BC26" i="8"/>
  <c r="BG26" i="8" s="1"/>
  <c r="BH26" i="8" s="1"/>
  <c r="BD26" i="8"/>
  <c r="BC128" i="8"/>
  <c r="BG128" i="8" s="1"/>
  <c r="BH128" i="8" s="1"/>
  <c r="BE16" i="8"/>
  <c r="BC16" i="8"/>
  <c r="BG16" i="8" s="1"/>
  <c r="BH16" i="8" s="1"/>
  <c r="BD16" i="8"/>
  <c r="BC29" i="8"/>
  <c r="BG29" i="8" s="1"/>
  <c r="BH29" i="8" s="1"/>
  <c r="BD29" i="8"/>
  <c r="BE29" i="8"/>
  <c r="BC101" i="8"/>
  <c r="BG101" i="8" s="1"/>
  <c r="BH101" i="8" s="1"/>
  <c r="BD101" i="8"/>
  <c r="BE101" i="8"/>
  <c r="BE102" i="8"/>
  <c r="BC102" i="8"/>
  <c r="BG102" i="8" s="1"/>
  <c r="BH102" i="8" s="1"/>
  <c r="BD102" i="8"/>
  <c r="BE67" i="8"/>
  <c r="BC67" i="8"/>
  <c r="BG67" i="8" s="1"/>
  <c r="BH67" i="8" s="1"/>
  <c r="BD67" i="8"/>
  <c r="BD20" i="8"/>
  <c r="BC20" i="8"/>
  <c r="BG20" i="8" s="1"/>
  <c r="BH20" i="8" s="1"/>
  <c r="BE20" i="8"/>
  <c r="BD92" i="8"/>
  <c r="BC92" i="8"/>
  <c r="BG92" i="8" s="1"/>
  <c r="BH92" i="8" s="1"/>
  <c r="BE92" i="8"/>
  <c r="BD93" i="8"/>
  <c r="BC93" i="8"/>
  <c r="BG93" i="8" s="1"/>
  <c r="BH93" i="8" s="1"/>
  <c r="BE93" i="8"/>
  <c r="BD46" i="8"/>
  <c r="BC46" i="8"/>
  <c r="BG46" i="8" s="1"/>
  <c r="BH46" i="8" s="1"/>
  <c r="BE46" i="8"/>
  <c r="BC82" i="8"/>
  <c r="BG82" i="8" s="1"/>
  <c r="BH82" i="8" s="1"/>
  <c r="BD82" i="8"/>
  <c r="BE82" i="8"/>
  <c r="BE36" i="8"/>
  <c r="BC36" i="8"/>
  <c r="BG36" i="8" s="1"/>
  <c r="BH36" i="8" s="1"/>
  <c r="BD36" i="8"/>
  <c r="BE48" i="8"/>
  <c r="BD48" i="8"/>
  <c r="BC48" i="8"/>
  <c r="BG48" i="8" s="1"/>
  <c r="BH48" i="8" s="1"/>
  <c r="BE84" i="8"/>
  <c r="BC84" i="8"/>
  <c r="BG84" i="8" s="1"/>
  <c r="BH84" i="8" s="1"/>
  <c r="BD84" i="8"/>
  <c r="BE97" i="8"/>
  <c r="BC97" i="8"/>
  <c r="BG97" i="8" s="1"/>
  <c r="BH97" i="8" s="1"/>
  <c r="BD97" i="8"/>
  <c r="BD129" i="8"/>
  <c r="BC129" i="8"/>
  <c r="BG129" i="8" s="1"/>
  <c r="BH129" i="8" s="1"/>
  <c r="BE129" i="8"/>
  <c r="BE98" i="8"/>
  <c r="BC98" i="8"/>
  <c r="BG98" i="8" s="1"/>
  <c r="BH98" i="8" s="1"/>
  <c r="BD98" i="8"/>
  <c r="BE39" i="8"/>
  <c r="BC39" i="8"/>
  <c r="BG39" i="8" s="1"/>
  <c r="BH39" i="8" s="1"/>
  <c r="BD39" i="8"/>
  <c r="BE52" i="8"/>
  <c r="BC52" i="8"/>
  <c r="BG52" i="8" s="1"/>
  <c r="BH52" i="8" s="1"/>
  <c r="BD52" i="8"/>
  <c r="BD32" i="8"/>
  <c r="BC32" i="8"/>
  <c r="BG32" i="8" s="1"/>
  <c r="BH32" i="8" s="1"/>
  <c r="BE32" i="8"/>
  <c r="BD56" i="8"/>
  <c r="BC56" i="8"/>
  <c r="BG56" i="8" s="1"/>
  <c r="BH56" i="8" s="1"/>
  <c r="BE56" i="8"/>
  <c r="BD68" i="8"/>
  <c r="BC68" i="8"/>
  <c r="BG68" i="8" s="1"/>
  <c r="BH68" i="8" s="1"/>
  <c r="BE68" i="8"/>
  <c r="BD104" i="8"/>
  <c r="BC104" i="8"/>
  <c r="BG104" i="8" s="1"/>
  <c r="BH104" i="8" s="1"/>
  <c r="BE104" i="8"/>
  <c r="BC94" i="8"/>
  <c r="BG94" i="8" s="1"/>
  <c r="BH94" i="8" s="1"/>
  <c r="BE94" i="8"/>
  <c r="BD94" i="8"/>
  <c r="BC71" i="8"/>
  <c r="BG71" i="8" s="1"/>
  <c r="BH71" i="8" s="1"/>
  <c r="BE71" i="8"/>
  <c r="BD71" i="8"/>
  <c r="BC83" i="8"/>
  <c r="BG83" i="8" s="1"/>
  <c r="BH83" i="8" s="1"/>
  <c r="BE83" i="8"/>
  <c r="BD83" i="8"/>
  <c r="BE96" i="8"/>
  <c r="BD96" i="8"/>
  <c r="BC96" i="8"/>
  <c r="BG96" i="8" s="1"/>
  <c r="BH96" i="8" s="1"/>
  <c r="BE62" i="8"/>
  <c r="BC62" i="8"/>
  <c r="BG62" i="8" s="1"/>
  <c r="BH62" i="8" s="1"/>
  <c r="BD62" i="8"/>
  <c r="BE74" i="8"/>
  <c r="BC74" i="8"/>
  <c r="BG74" i="8" s="1"/>
  <c r="BH74" i="8" s="1"/>
  <c r="BD74" i="8"/>
  <c r="BE86" i="8"/>
  <c r="BC86" i="8"/>
  <c r="BG86" i="8" s="1"/>
  <c r="BH86" i="8" s="1"/>
  <c r="BD86" i="8"/>
  <c r="BE28" i="8"/>
  <c r="BC28" i="8"/>
  <c r="BG28" i="8" s="1"/>
  <c r="BH28" i="8" s="1"/>
  <c r="BD28" i="8"/>
  <c r="BE64" i="8"/>
  <c r="BC64" i="8"/>
  <c r="BG64" i="8" s="1"/>
  <c r="BH64" i="8" s="1"/>
  <c r="BD64" i="8"/>
  <c r="BC137" i="8"/>
  <c r="BG137" i="8" s="1"/>
  <c r="BH137" i="8" s="1"/>
  <c r="BD137" i="8"/>
  <c r="BE137" i="8"/>
  <c r="BE112" i="8"/>
  <c r="BC112" i="8"/>
  <c r="BG112" i="8" s="1"/>
  <c r="BH112" i="8" s="1"/>
  <c r="BD112" i="8"/>
  <c r="BD116" i="8"/>
  <c r="BC116" i="8"/>
  <c r="BG116" i="8" s="1"/>
  <c r="BH116" i="8" s="1"/>
  <c r="BE116" i="8"/>
  <c r="BC40" i="8"/>
  <c r="BG40" i="8" s="1"/>
  <c r="BH40" i="8" s="1"/>
  <c r="BE40" i="8"/>
  <c r="BD40" i="8"/>
  <c r="BE76" i="8"/>
  <c r="BC76" i="8"/>
  <c r="BG76" i="8" s="1"/>
  <c r="BH76" i="8" s="1"/>
  <c r="BD76" i="8"/>
  <c r="BE122" i="8"/>
  <c r="BC122" i="8"/>
  <c r="BG122" i="8" s="1"/>
  <c r="BH122" i="8" s="1"/>
  <c r="BD122" i="8"/>
  <c r="BC47" i="8"/>
  <c r="BG47" i="8" s="1"/>
  <c r="BH47" i="8" s="1"/>
  <c r="BE47" i="8"/>
  <c r="BD47" i="8"/>
  <c r="BC95" i="8"/>
  <c r="BG95" i="8" s="1"/>
  <c r="BH95" i="8" s="1"/>
  <c r="BE95" i="8"/>
  <c r="BD95" i="8"/>
  <c r="BC12" i="8"/>
  <c r="BG12" i="8" s="1"/>
  <c r="BH12" i="8" s="1"/>
  <c r="BE12" i="8"/>
  <c r="BD12" i="8"/>
  <c r="BD33" i="8"/>
  <c r="BC33" i="8"/>
  <c r="BG33" i="8" s="1"/>
  <c r="BH33" i="8" s="1"/>
  <c r="BE33" i="8"/>
  <c r="BE72" i="8"/>
  <c r="BD72" i="8"/>
  <c r="BC72" i="8"/>
  <c r="BG72" i="8" s="1"/>
  <c r="BH72" i="8" s="1"/>
  <c r="BC27" i="8"/>
  <c r="BG27" i="8" s="1"/>
  <c r="BH27" i="8" s="1"/>
  <c r="BE27" i="8"/>
  <c r="BD27" i="8"/>
  <c r="BE15" i="8"/>
  <c r="BC15" i="8"/>
  <c r="BG15" i="8" s="1"/>
  <c r="BH15" i="8" s="1"/>
  <c r="BD15" i="8"/>
  <c r="BC132" i="8"/>
  <c r="BG132" i="8" s="1"/>
  <c r="BH132" i="8" s="1"/>
  <c r="BD132" i="8"/>
  <c r="BE132" i="8"/>
  <c r="BC23" i="8"/>
  <c r="BG23" i="8" s="1"/>
  <c r="BH23" i="8" s="1"/>
  <c r="BE23" i="8"/>
  <c r="BD23" i="8"/>
  <c r="BC59" i="8"/>
  <c r="BG59" i="8" s="1"/>
  <c r="BH59" i="8" s="1"/>
  <c r="BE59" i="8"/>
  <c r="BD59" i="8"/>
  <c r="BC119" i="8"/>
  <c r="BG119" i="8" s="1"/>
  <c r="BH119" i="8" s="1"/>
  <c r="BE119" i="8"/>
  <c r="BD119" i="8"/>
  <c r="BD131" i="8"/>
  <c r="BD21" i="8"/>
  <c r="BC21" i="8"/>
  <c r="BG21" i="8" s="1"/>
  <c r="BH21" i="8" s="1"/>
  <c r="BE21" i="8"/>
  <c r="BE63" i="8"/>
  <c r="BC63" i="8"/>
  <c r="BG63" i="8" s="1"/>
  <c r="BH63" i="8" s="1"/>
  <c r="BD63" i="8"/>
  <c r="BE115" i="8"/>
  <c r="BC115" i="8"/>
  <c r="BG115" i="8" s="1"/>
  <c r="BH115" i="8" s="1"/>
  <c r="BD115" i="8"/>
  <c r="BE114" i="8"/>
  <c r="BC114" i="8"/>
  <c r="BG114" i="8" s="1"/>
  <c r="BH114" i="8" s="1"/>
  <c r="BD114" i="8"/>
  <c r="BD34" i="8"/>
  <c r="BC34" i="8"/>
  <c r="BG34" i="8" s="1"/>
  <c r="BH34" i="8" s="1"/>
  <c r="BE34" i="8"/>
  <c r="BD14" i="8"/>
  <c r="BC107" i="8"/>
  <c r="BG107" i="8" s="1"/>
  <c r="BH107" i="8" s="1"/>
  <c r="BE107" i="8"/>
  <c r="BD107" i="8"/>
  <c r="BC25" i="8"/>
  <c r="BG25" i="8" s="1"/>
  <c r="BH25" i="8" s="1"/>
  <c r="BD25" i="8"/>
  <c r="BE25" i="8"/>
  <c r="BE131" i="8"/>
  <c r="BE24" i="8"/>
  <c r="BC24" i="8"/>
  <c r="BG24" i="8" s="1"/>
  <c r="BH24" i="8" s="1"/>
  <c r="BD24" i="8"/>
  <c r="BD57" i="8"/>
  <c r="BC57" i="8"/>
  <c r="BG57" i="8" s="1"/>
  <c r="BH57" i="8" s="1"/>
  <c r="BE57" i="8"/>
  <c r="BC123" i="8"/>
  <c r="BG123" i="8" s="1"/>
  <c r="BH123" i="8" s="1"/>
  <c r="BE123" i="8"/>
  <c r="BD123" i="8"/>
  <c r="BC87" i="8"/>
  <c r="BG87" i="8" s="1"/>
  <c r="BH87" i="8" s="1"/>
  <c r="BE87" i="8"/>
  <c r="BD87" i="8"/>
  <c r="BC14" i="8"/>
  <c r="BG14" i="8" s="1"/>
  <c r="BH14" i="8" s="1"/>
  <c r="BC35" i="8"/>
  <c r="BG35" i="8" s="1"/>
  <c r="BH35" i="8" s="1"/>
  <c r="BE35" i="8"/>
  <c r="BD35" i="8"/>
  <c r="BE120" i="8"/>
  <c r="BD120" i="8"/>
  <c r="BC120" i="8"/>
  <c r="BG120" i="8" s="1"/>
  <c r="BH120" i="8" s="1"/>
  <c r="BC61" i="8"/>
  <c r="BG61" i="8" s="1"/>
  <c r="BH61" i="8" s="1"/>
  <c r="BD61" i="8"/>
  <c r="BE61" i="8"/>
  <c r="BE73" i="8"/>
  <c r="BC73" i="8"/>
  <c r="BG73" i="8" s="1"/>
  <c r="BH73" i="8" s="1"/>
  <c r="BD73" i="8"/>
  <c r="BC99" i="8"/>
  <c r="BG99" i="8" s="1"/>
  <c r="BH99" i="8" s="1"/>
  <c r="BE99" i="8"/>
  <c r="BD99" i="8"/>
  <c r="BD45" i="8"/>
  <c r="BC45" i="8"/>
  <c r="BG45" i="8" s="1"/>
  <c r="BH45" i="8" s="1"/>
  <c r="BE45" i="8"/>
  <c r="BE88" i="8"/>
  <c r="BC88" i="8"/>
  <c r="BG88" i="8" s="1"/>
  <c r="BH88" i="8" s="1"/>
  <c r="BD88" i="8"/>
  <c r="BE30" i="8"/>
  <c r="BC30" i="8"/>
  <c r="BG30" i="8" s="1"/>
  <c r="BH30" i="8" s="1"/>
  <c r="BD30" i="8"/>
  <c r="BD79" i="8"/>
  <c r="BE79" i="8"/>
  <c r="BC79" i="8"/>
  <c r="BG79" i="8" s="1"/>
  <c r="BH79" i="8" s="1"/>
  <c r="BD124" i="8"/>
  <c r="BD22" i="8"/>
  <c r="BC22" i="8"/>
  <c r="BG22" i="8" s="1"/>
  <c r="BH22" i="8" s="1"/>
  <c r="BE22" i="8"/>
  <c r="BC58" i="8"/>
  <c r="BG58" i="8" s="1"/>
  <c r="BH58" i="8" s="1"/>
  <c r="BE58" i="8"/>
  <c r="BD58" i="8"/>
  <c r="BE75" i="8"/>
  <c r="BC75" i="8"/>
  <c r="BG75" i="8" s="1"/>
  <c r="BH75" i="8" s="1"/>
  <c r="BD75" i="8"/>
  <c r="BC118" i="8"/>
  <c r="BG118" i="8" s="1"/>
  <c r="BH118" i="8" s="1"/>
  <c r="BD118" i="8"/>
  <c r="BE118" i="8"/>
  <c r="BD135" i="8"/>
  <c r="BC17" i="8"/>
  <c r="BG17" i="8" s="1"/>
  <c r="BH17" i="8" s="1"/>
  <c r="BD17" i="8"/>
  <c r="BE17" i="8"/>
  <c r="BC124" i="8"/>
  <c r="BG124" i="8" s="1"/>
  <c r="BH124" i="8" s="1"/>
  <c r="BD69" i="8"/>
  <c r="BC69" i="8"/>
  <c r="BG69" i="8" s="1"/>
  <c r="BH69" i="8" s="1"/>
  <c r="BE69" i="8"/>
  <c r="BE13" i="8"/>
  <c r="BC13" i="8"/>
  <c r="BG13" i="8" s="1"/>
  <c r="BH13" i="8" s="1"/>
  <c r="BD13" i="8"/>
  <c r="BC106" i="8"/>
  <c r="BG106" i="8" s="1"/>
  <c r="BH106" i="8" s="1"/>
  <c r="BD106" i="8"/>
  <c r="BE106" i="8"/>
  <c r="BC109" i="8"/>
  <c r="BG109" i="8" s="1"/>
  <c r="BH109" i="8" s="1"/>
  <c r="BD109" i="8"/>
  <c r="BE109" i="8"/>
  <c r="BE117" i="8"/>
  <c r="BC135" i="8"/>
  <c r="BG135" i="8" s="1"/>
  <c r="BH135" i="8" s="1"/>
  <c r="BC53" i="8"/>
  <c r="BG53" i="8" s="1"/>
  <c r="BH53" i="8" s="1"/>
  <c r="BD53" i="8"/>
  <c r="BE53" i="8"/>
  <c r="BD44" i="8"/>
  <c r="BC44" i="8"/>
  <c r="BG44" i="8" s="1"/>
  <c r="BH44" i="8" s="1"/>
  <c r="BE44" i="8"/>
  <c r="BE121" i="8"/>
  <c r="BC121" i="8"/>
  <c r="BG121" i="8" s="1"/>
  <c r="BH121" i="8" s="1"/>
  <c r="BD121" i="8"/>
  <c r="BC130" i="8"/>
  <c r="BG130" i="8" s="1"/>
  <c r="BH130" i="8" s="1"/>
  <c r="BD130" i="8"/>
  <c r="BE130" i="8"/>
  <c r="BC37" i="8"/>
  <c r="BG37" i="8" s="1"/>
  <c r="BH37" i="8" s="1"/>
  <c r="BD37" i="8"/>
  <c r="BE37" i="8"/>
  <c r="BC77" i="8"/>
  <c r="BG77" i="8" s="1"/>
  <c r="BH77" i="8" s="1"/>
  <c r="BD77" i="8"/>
  <c r="BE77" i="8"/>
  <c r="BC113" i="8"/>
  <c r="BG113" i="8" s="1"/>
  <c r="BH113" i="8" s="1"/>
  <c r="BD113" i="8"/>
  <c r="BE113" i="8"/>
  <c r="BE66" i="8"/>
  <c r="BC66" i="8"/>
  <c r="BG66" i="8" s="1"/>
  <c r="BH66" i="8" s="1"/>
  <c r="BD66" i="8"/>
  <c r="BE91" i="8"/>
  <c r="BC91" i="8"/>
  <c r="BG91" i="8" s="1"/>
  <c r="BH91" i="8" s="1"/>
  <c r="BD91" i="8"/>
  <c r="BC89" i="8"/>
  <c r="BG89" i="8" s="1"/>
  <c r="BH89" i="8" s="1"/>
  <c r="BD89" i="8"/>
  <c r="BE89" i="8"/>
  <c r="BD18" i="8"/>
  <c r="BE18" i="8"/>
  <c r="BC18" i="8"/>
  <c r="BG18" i="8" s="1"/>
  <c r="BH18" i="8" s="1"/>
  <c r="BE78" i="8"/>
  <c r="BC78" i="8"/>
  <c r="BG78" i="8" s="1"/>
  <c r="BH78" i="8" s="1"/>
  <c r="BD78" i="8"/>
  <c r="BE42" i="8"/>
  <c r="BC42" i="8"/>
  <c r="BG42" i="8" s="1"/>
  <c r="BH42" i="8" s="1"/>
  <c r="BD42" i="8"/>
  <c r="BD55" i="8"/>
  <c r="BE55" i="8"/>
  <c r="BC55" i="8"/>
  <c r="BG55" i="8" s="1"/>
  <c r="BH55" i="8" s="1"/>
  <c r="BD103" i="8"/>
  <c r="BE103" i="8"/>
  <c r="BC103" i="8"/>
  <c r="BG103" i="8" s="1"/>
  <c r="BH103" i="8" s="1"/>
  <c r="BC133" i="8"/>
  <c r="BG133" i="8" s="1"/>
  <c r="BH133" i="8" s="1"/>
  <c r="BD133" i="8"/>
  <c r="BE133" i="8"/>
  <c r="BC51" i="8"/>
  <c r="BG51" i="8" s="1"/>
  <c r="BH51" i="8" s="1"/>
  <c r="BE51" i="8"/>
  <c r="BD51" i="8"/>
  <c r="BE38" i="8"/>
  <c r="BC38" i="8"/>
  <c r="BG38" i="8" s="1"/>
  <c r="BH38" i="8" s="1"/>
  <c r="BD38" i="8"/>
  <c r="M7" i="8" l="1"/>
</calcChain>
</file>

<file path=xl/sharedStrings.xml><?xml version="1.0" encoding="utf-8"?>
<sst xmlns="http://schemas.openxmlformats.org/spreadsheetml/2006/main" count="99" uniqueCount="49">
  <si>
    <t>Прогнозирование СП Варинат 2276</t>
  </si>
  <si>
    <t>Исходные данные для моделирования</t>
  </si>
  <si>
    <t>n</t>
  </si>
  <si>
    <t>K</t>
  </si>
  <si>
    <t>Парматеры варианата исх. данных</t>
  </si>
  <si>
    <t>Параметры нестационарности СП</t>
  </si>
  <si>
    <t>a</t>
  </si>
  <si>
    <t>b</t>
  </si>
  <si>
    <t>h</t>
  </si>
  <si>
    <t>Составляющие реализаций СП</t>
  </si>
  <si>
    <t>МНК-оценки параметров модели</t>
  </si>
  <si>
    <t>L</t>
  </si>
  <si>
    <t>Тренд СП</t>
  </si>
  <si>
    <t>Реализации СП</t>
  </si>
  <si>
    <t>х</t>
  </si>
  <si>
    <t>x</t>
  </si>
  <si>
    <t>Оценки характеристики СП</t>
  </si>
  <si>
    <t>Мат. ож</t>
  </si>
  <si>
    <t>Дисп.</t>
  </si>
  <si>
    <t>СКО</t>
  </si>
  <si>
    <t>Невязка</t>
  </si>
  <si>
    <t>Кв. невязки</t>
  </si>
  <si>
    <t>Прогн</t>
  </si>
  <si>
    <t>Точечный интервальный 3σ прогноз</t>
  </si>
  <si>
    <t>Среднее а</t>
  </si>
  <si>
    <t>Среднее b</t>
  </si>
  <si>
    <t>СКО а</t>
  </si>
  <si>
    <t>СКО b</t>
  </si>
  <si>
    <t>Коэф.коррел</t>
  </si>
  <si>
    <t>Прогноз</t>
  </si>
  <si>
    <t>Прогн.ОТ</t>
  </si>
  <si>
    <t>Прогн.ДО</t>
  </si>
  <si>
    <t>а средн</t>
  </si>
  <si>
    <t>b средн</t>
  </si>
  <si>
    <t>Интервальный прогноз по шагам наблюдений</t>
  </si>
  <si>
    <t>Доверительные интервалы</t>
  </si>
  <si>
    <t>Точечн.</t>
  </si>
  <si>
    <t>с вер</t>
  </si>
  <si>
    <t>от</t>
  </si>
  <si>
    <t>до</t>
  </si>
  <si>
    <t>Дов.</t>
  </si>
  <si>
    <t>интервал</t>
  </si>
  <si>
    <t>оценка</t>
  </si>
  <si>
    <t>прогн.</t>
  </si>
  <si>
    <t xml:space="preserve">СКО </t>
  </si>
  <si>
    <t>у</t>
  </si>
  <si>
    <t>0.6827</t>
  </si>
  <si>
    <t>0.9545</t>
  </si>
  <si>
    <t>0.9973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</si>
</sst>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left"/>
    </xf>
    <xf numFmtId="0" fontId="0" fillId="11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Реализация</a:t>
            </a:r>
            <a:r>
              <a:rPr lang="ru-RU" baseline="0"/>
              <a:t> СП</a:t>
            </a:r>
            <a:endParaRPr lang="ru-RU"/>
          </a:p>
        </c:rich>
      </c:tx>
      <c:layout>
        <c:manualLayout>
          <c:xMode val="edge"/>
          <c:yMode val="edge"/>
          <c:x val="0.32535411198600173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СП'!$AD$12:$AD$137</c:f>
              <c:numCache>
                <c:formatCode>General</c:formatCode>
                <c:ptCount val="126"/>
                <c:pt idx="0">
                  <c:v>-2.9715445751657024</c:v>
                </c:pt>
                <c:pt idx="1">
                  <c:v>-7.3400535687864714</c:v>
                </c:pt>
                <c:pt idx="2">
                  <c:v>6.6796177227350597</c:v>
                </c:pt>
                <c:pt idx="3">
                  <c:v>11.87589770363444</c:v>
                </c:pt>
                <c:pt idx="4">
                  <c:v>9.7686937576934305</c:v>
                </c:pt>
                <c:pt idx="5">
                  <c:v>13.081536897313839</c:v>
                </c:pt>
                <c:pt idx="6">
                  <c:v>13.989687500218469</c:v>
                </c:pt>
                <c:pt idx="7">
                  <c:v>-4.0951000034240472</c:v>
                </c:pt>
                <c:pt idx="8">
                  <c:v>-2.3443370384783568</c:v>
                </c:pt>
                <c:pt idx="9">
                  <c:v>14.606343220102922</c:v>
                </c:pt>
                <c:pt idx="10">
                  <c:v>-3.6774998565543013</c:v>
                </c:pt>
                <c:pt idx="11">
                  <c:v>5.6635220133038047</c:v>
                </c:pt>
                <c:pt idx="12">
                  <c:v>1.9082053992664703</c:v>
                </c:pt>
                <c:pt idx="13">
                  <c:v>9.7504062807892762</c:v>
                </c:pt>
                <c:pt idx="14">
                  <c:v>6.1435378906951108</c:v>
                </c:pt>
                <c:pt idx="15">
                  <c:v>3.9899438747718623</c:v>
                </c:pt>
                <c:pt idx="16">
                  <c:v>6.3269086331295021</c:v>
                </c:pt>
                <c:pt idx="17">
                  <c:v>10.396331641369361</c:v>
                </c:pt>
                <c:pt idx="18">
                  <c:v>6.3915640537661744E-3</c:v>
                </c:pt>
                <c:pt idx="19">
                  <c:v>0.5214917558361396</c:v>
                </c:pt>
                <c:pt idx="20">
                  <c:v>17.721834936503662</c:v>
                </c:pt>
                <c:pt idx="21">
                  <c:v>7.5250462414777548</c:v>
                </c:pt>
                <c:pt idx="22">
                  <c:v>-0.14137499997139003</c:v>
                </c:pt>
                <c:pt idx="23">
                  <c:v>15.90259025441155</c:v>
                </c:pt>
                <c:pt idx="24">
                  <c:v>6.8959177183845828</c:v>
                </c:pt>
                <c:pt idx="25">
                  <c:v>15.132012466847504</c:v>
                </c:pt>
                <c:pt idx="26">
                  <c:v>18.621981328218286</c:v>
                </c:pt>
                <c:pt idx="27">
                  <c:v>-1.6616954925824334</c:v>
                </c:pt>
                <c:pt idx="28">
                  <c:v>18.543880767116413</c:v>
                </c:pt>
                <c:pt idx="29">
                  <c:v>-0.45605629890303057</c:v>
                </c:pt>
                <c:pt idx="30">
                  <c:v>10.005918352889578</c:v>
                </c:pt>
                <c:pt idx="31">
                  <c:v>18.08766068668432</c:v>
                </c:pt>
                <c:pt idx="32">
                  <c:v>25.974564726553648</c:v>
                </c:pt>
                <c:pt idx="33">
                  <c:v>-0.98169106932898309</c:v>
                </c:pt>
                <c:pt idx="34">
                  <c:v>5.800285849145161</c:v>
                </c:pt>
                <c:pt idx="35">
                  <c:v>1.4520197951530047</c:v>
                </c:pt>
                <c:pt idx="36">
                  <c:v>4.8441477816521523</c:v>
                </c:pt>
                <c:pt idx="37">
                  <c:v>6.0896807117003515</c:v>
                </c:pt>
                <c:pt idx="38">
                  <c:v>9.6547171408605763</c:v>
                </c:pt>
                <c:pt idx="39">
                  <c:v>20.815073209840371</c:v>
                </c:pt>
                <c:pt idx="40">
                  <c:v>22.914183427561795</c:v>
                </c:pt>
                <c:pt idx="41">
                  <c:v>28.119741422457622</c:v>
                </c:pt>
                <c:pt idx="42">
                  <c:v>4.059069449284662</c:v>
                </c:pt>
                <c:pt idx="43">
                  <c:v>15.349317714214729</c:v>
                </c:pt>
                <c:pt idx="44">
                  <c:v>18.502747704259804</c:v>
                </c:pt>
                <c:pt idx="45">
                  <c:v>9.0507304964033235</c:v>
                </c:pt>
                <c:pt idx="46">
                  <c:v>26.47543292462132</c:v>
                </c:pt>
                <c:pt idx="47">
                  <c:v>14.234107327105392</c:v>
                </c:pt>
                <c:pt idx="48">
                  <c:v>4.3612056661373142</c:v>
                </c:pt>
                <c:pt idx="49">
                  <c:v>27.817460647864436</c:v>
                </c:pt>
                <c:pt idx="50">
                  <c:v>8.0069625408825686</c:v>
                </c:pt>
                <c:pt idx="51">
                  <c:v>13.360125303903708</c:v>
                </c:pt>
                <c:pt idx="52">
                  <c:v>10.336084883950054</c:v>
                </c:pt>
                <c:pt idx="53">
                  <c:v>14.221634523896672</c:v>
                </c:pt>
                <c:pt idx="54">
                  <c:v>21.506311109814732</c:v>
                </c:pt>
                <c:pt idx="55">
                  <c:v>24.625159411327587</c:v>
                </c:pt>
                <c:pt idx="56">
                  <c:v>31.699815498598777</c:v>
                </c:pt>
                <c:pt idx="57">
                  <c:v>33.388162733022909</c:v>
                </c:pt>
                <c:pt idx="58">
                  <c:v>24.486078718410447</c:v>
                </c:pt>
                <c:pt idx="59">
                  <c:v>29.182189399319487</c:v>
                </c:pt>
                <c:pt idx="60">
                  <c:v>15.103817030506836</c:v>
                </c:pt>
                <c:pt idx="61">
                  <c:v>20.314435760309809</c:v>
                </c:pt>
                <c:pt idx="62">
                  <c:v>20.104163948733515</c:v>
                </c:pt>
                <c:pt idx="63">
                  <c:v>22.091937998497563</c:v>
                </c:pt>
                <c:pt idx="64">
                  <c:v>10.851794456780178</c:v>
                </c:pt>
                <c:pt idx="65">
                  <c:v>15.642372189289414</c:v>
                </c:pt>
                <c:pt idx="66">
                  <c:v>25.604177541091683</c:v>
                </c:pt>
                <c:pt idx="67">
                  <c:v>17.933539020553244</c:v>
                </c:pt>
                <c:pt idx="68">
                  <c:v>25.949491800554988</c:v>
                </c:pt>
                <c:pt idx="69">
                  <c:v>32.887508045333036</c:v>
                </c:pt>
                <c:pt idx="70">
                  <c:v>25.256511948233964</c:v>
                </c:pt>
                <c:pt idx="71">
                  <c:v>11.355265301171684</c:v>
                </c:pt>
                <c:pt idx="72">
                  <c:v>10.658319482690793</c:v>
                </c:pt>
                <c:pt idx="73">
                  <c:v>27.867097221536902</c:v>
                </c:pt>
                <c:pt idx="74">
                  <c:v>15.7792805828713</c:v>
                </c:pt>
                <c:pt idx="75">
                  <c:v>38.501729003061165</c:v>
                </c:pt>
                <c:pt idx="76">
                  <c:v>38.126983307002376</c:v>
                </c:pt>
                <c:pt idx="77">
                  <c:v>12.629062620197816</c:v>
                </c:pt>
                <c:pt idx="78">
                  <c:v>17.253479556588843</c:v>
                </c:pt>
                <c:pt idx="79">
                  <c:v>29.273317103966878</c:v>
                </c:pt>
                <c:pt idx="80">
                  <c:v>31.946820733650231</c:v>
                </c:pt>
                <c:pt idx="81">
                  <c:v>38.370328929534331</c:v>
                </c:pt>
                <c:pt idx="82">
                  <c:v>19.324845249350503</c:v>
                </c:pt>
                <c:pt idx="83">
                  <c:v>38.587437904683078</c:v>
                </c:pt>
                <c:pt idx="84">
                  <c:v>40.899942444322811</c:v>
                </c:pt>
                <c:pt idx="85">
                  <c:v>34.388212217522529</c:v>
                </c:pt>
                <c:pt idx="86">
                  <c:v>39.735470789818649</c:v>
                </c:pt>
                <c:pt idx="87">
                  <c:v>21.438132420075682</c:v>
                </c:pt>
                <c:pt idx="88">
                  <c:v>28.802093852872485</c:v>
                </c:pt>
                <c:pt idx="89">
                  <c:v>29.054879285300736</c:v>
                </c:pt>
                <c:pt idx="90">
                  <c:v>16.213856601287119</c:v>
                </c:pt>
                <c:pt idx="91">
                  <c:v>16.330002191222221</c:v>
                </c:pt>
                <c:pt idx="92">
                  <c:v>40.540306674115222</c:v>
                </c:pt>
                <c:pt idx="93">
                  <c:v>21.263716099838049</c:v>
                </c:pt>
                <c:pt idx="94">
                  <c:v>40.449554275745463</c:v>
                </c:pt>
                <c:pt idx="95">
                  <c:v>40.071434756415243</c:v>
                </c:pt>
                <c:pt idx="96">
                  <c:v>43.839744037679466</c:v>
                </c:pt>
                <c:pt idx="97">
                  <c:v>28.343522439045977</c:v>
                </c:pt>
                <c:pt idx="98">
                  <c:v>19.483611215326459</c:v>
                </c:pt>
                <c:pt idx="99">
                  <c:v>33.364955752719126</c:v>
                </c:pt>
                <c:pt idx="100">
                  <c:v>31.500667082321488</c:v>
                </c:pt>
                <c:pt idx="101">
                  <c:v>21.093014432830852</c:v>
                </c:pt>
                <c:pt idx="102">
                  <c:v>19.480919051973036</c:v>
                </c:pt>
                <c:pt idx="103">
                  <c:v>44.618181478692989</c:v>
                </c:pt>
                <c:pt idx="104">
                  <c:v>42.918366692777838</c:v>
                </c:pt>
                <c:pt idx="105">
                  <c:v>23.193057623399717</c:v>
                </c:pt>
                <c:pt idx="106">
                  <c:v>45.55197658609238</c:v>
                </c:pt>
                <c:pt idx="107">
                  <c:v>24.059627578299839</c:v>
                </c:pt>
                <c:pt idx="108">
                  <c:v>26.32068131305018</c:v>
                </c:pt>
                <c:pt idx="109">
                  <c:v>30.369861381661423</c:v>
                </c:pt>
                <c:pt idx="110">
                  <c:v>42.747324195811636</c:v>
                </c:pt>
                <c:pt idx="111">
                  <c:v>23.636050961834819</c:v>
                </c:pt>
                <c:pt idx="112">
                  <c:v>29.685064774589559</c:v>
                </c:pt>
                <c:pt idx="113">
                  <c:v>26.568244214671424</c:v>
                </c:pt>
                <c:pt idx="114">
                  <c:v>32.698229785940626</c:v>
                </c:pt>
                <c:pt idx="115">
                  <c:v>36.587153249158675</c:v>
                </c:pt>
                <c:pt idx="116">
                  <c:v>33.712404508966053</c:v>
                </c:pt>
                <c:pt idx="117">
                  <c:v>28.894333564426478</c:v>
                </c:pt>
                <c:pt idx="118">
                  <c:v>37.843991934798048</c:v>
                </c:pt>
                <c:pt idx="119">
                  <c:v>51.044667627178569</c:v>
                </c:pt>
                <c:pt idx="120">
                  <c:v>25.391551069887967</c:v>
                </c:pt>
                <c:pt idx="121">
                  <c:v>51.639644808728114</c:v>
                </c:pt>
                <c:pt idx="122">
                  <c:v>39.397475755394332</c:v>
                </c:pt>
                <c:pt idx="123">
                  <c:v>49.071662673306705</c:v>
                </c:pt>
                <c:pt idx="124">
                  <c:v>40.095354546722668</c:v>
                </c:pt>
                <c:pt idx="125">
                  <c:v>31.708622036822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9-4E55-A071-597AC45E1F5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СП'!$AE$12:$AE$137</c:f>
              <c:numCache>
                <c:formatCode>General</c:formatCode>
                <c:ptCount val="126"/>
                <c:pt idx="0">
                  <c:v>11.115011038896114</c:v>
                </c:pt>
                <c:pt idx="1">
                  <c:v>15.558928430265331</c:v>
                </c:pt>
                <c:pt idx="2">
                  <c:v>1.1634166739377276</c:v>
                </c:pt>
                <c:pt idx="3">
                  <c:v>1.6987598053487165</c:v>
                </c:pt>
                <c:pt idx="4">
                  <c:v>0.15835816900890354</c:v>
                </c:pt>
                <c:pt idx="5">
                  <c:v>4.0894544231198999</c:v>
                </c:pt>
                <c:pt idx="6">
                  <c:v>16.991546755978362</c:v>
                </c:pt>
                <c:pt idx="7">
                  <c:v>12.737747753586408</c:v>
                </c:pt>
                <c:pt idx="8">
                  <c:v>7.9255809997718467</c:v>
                </c:pt>
                <c:pt idx="9">
                  <c:v>4.4292053218171992</c:v>
                </c:pt>
                <c:pt idx="10">
                  <c:v>-3.9996999789764081</c:v>
                </c:pt>
                <c:pt idx="11">
                  <c:v>-4.166955543841901</c:v>
                </c:pt>
                <c:pt idx="12">
                  <c:v>-6.2547600059721518</c:v>
                </c:pt>
                <c:pt idx="13">
                  <c:v>2.5776580057170255</c:v>
                </c:pt>
                <c:pt idx="14">
                  <c:v>12.003025457361023</c:v>
                </c:pt>
                <c:pt idx="15">
                  <c:v>-2.8395178824318075</c:v>
                </c:pt>
                <c:pt idx="16">
                  <c:v>16.857454519098113</c:v>
                </c:pt>
                <c:pt idx="17">
                  <c:v>3.0641702167217746</c:v>
                </c:pt>
                <c:pt idx="18">
                  <c:v>10.471147896229379</c:v>
                </c:pt>
                <c:pt idx="19">
                  <c:v>3.0493288419593219</c:v>
                </c:pt>
                <c:pt idx="20">
                  <c:v>12.424088944531787</c:v>
                </c:pt>
                <c:pt idx="21">
                  <c:v>10.288207500783574</c:v>
                </c:pt>
                <c:pt idx="22">
                  <c:v>5.1960134154398521</c:v>
                </c:pt>
                <c:pt idx="23">
                  <c:v>23.154623376362537</c:v>
                </c:pt>
                <c:pt idx="24">
                  <c:v>13.472342730230578</c:v>
                </c:pt>
                <c:pt idx="25">
                  <c:v>10.777250079241904</c:v>
                </c:pt>
                <c:pt idx="26">
                  <c:v>14.807030664042394</c:v>
                </c:pt>
                <c:pt idx="27">
                  <c:v>12.606203122319048</c:v>
                </c:pt>
                <c:pt idx="28">
                  <c:v>4.3164680314721604</c:v>
                </c:pt>
                <c:pt idx="29">
                  <c:v>22.86549706489609</c:v>
                </c:pt>
                <c:pt idx="30">
                  <c:v>9.4981579505385092</c:v>
                </c:pt>
                <c:pt idx="31">
                  <c:v>10.571625893743487</c:v>
                </c:pt>
                <c:pt idx="32">
                  <c:v>14.348369733186303</c:v>
                </c:pt>
                <c:pt idx="33">
                  <c:v>17.736280440596154</c:v>
                </c:pt>
                <c:pt idx="34">
                  <c:v>13.915174272765826</c:v>
                </c:pt>
                <c:pt idx="35">
                  <c:v>2.0500299700149789</c:v>
                </c:pt>
                <c:pt idx="36">
                  <c:v>24.686445896783233</c:v>
                </c:pt>
                <c:pt idx="37">
                  <c:v>27.078235283301701</c:v>
                </c:pt>
                <c:pt idx="38">
                  <c:v>0.87518553276708388</c:v>
                </c:pt>
                <c:pt idx="39">
                  <c:v>18.540272869074869</c:v>
                </c:pt>
                <c:pt idx="40">
                  <c:v>20.183916945152475</c:v>
                </c:pt>
                <c:pt idx="41">
                  <c:v>20.185352543858766</c:v>
                </c:pt>
                <c:pt idx="42">
                  <c:v>25.888549471291356</c:v>
                </c:pt>
                <c:pt idx="43">
                  <c:v>12.036223261664894</c:v>
                </c:pt>
                <c:pt idx="44">
                  <c:v>8.032930637177035</c:v>
                </c:pt>
                <c:pt idx="45">
                  <c:v>3.9495097099925793</c:v>
                </c:pt>
                <c:pt idx="46">
                  <c:v>16.041041001888626</c:v>
                </c:pt>
                <c:pt idx="47">
                  <c:v>17.986642260759723</c:v>
                </c:pt>
                <c:pt idx="48">
                  <c:v>3.8112724728933003</c:v>
                </c:pt>
                <c:pt idx="49">
                  <c:v>11.483095279208605</c:v>
                </c:pt>
                <c:pt idx="50">
                  <c:v>22.521993710416712</c:v>
                </c:pt>
                <c:pt idx="51">
                  <c:v>31.129209018737562</c:v>
                </c:pt>
                <c:pt idx="52">
                  <c:v>27.304729027635794</c:v>
                </c:pt>
                <c:pt idx="53">
                  <c:v>18.255883700715881</c:v>
                </c:pt>
                <c:pt idx="54">
                  <c:v>18.686638310712365</c:v>
                </c:pt>
                <c:pt idx="55">
                  <c:v>26.910081221907401</c:v>
                </c:pt>
                <c:pt idx="56">
                  <c:v>26.043600784036865</c:v>
                </c:pt>
                <c:pt idx="57">
                  <c:v>31.875846451601866</c:v>
                </c:pt>
                <c:pt idx="58">
                  <c:v>25.290735568647854</c:v>
                </c:pt>
                <c:pt idx="59">
                  <c:v>22.257417134697757</c:v>
                </c:pt>
                <c:pt idx="60">
                  <c:v>17.628280293358582</c:v>
                </c:pt>
                <c:pt idx="61">
                  <c:v>7.4660732868648907</c:v>
                </c:pt>
                <c:pt idx="62">
                  <c:v>31.740480411915165</c:v>
                </c:pt>
                <c:pt idx="63">
                  <c:v>28.012154384049317</c:v>
                </c:pt>
                <c:pt idx="64">
                  <c:v>9.4913002225737415</c:v>
                </c:pt>
                <c:pt idx="65">
                  <c:v>28.249506298826681</c:v>
                </c:pt>
                <c:pt idx="66">
                  <c:v>25.132685738908545</c:v>
                </c:pt>
                <c:pt idx="67">
                  <c:v>35.5322446601796</c:v>
                </c:pt>
                <c:pt idx="68">
                  <c:v>14.793945153552921</c:v>
                </c:pt>
                <c:pt idx="69">
                  <c:v>16.3355310756696</c:v>
                </c:pt>
                <c:pt idx="70">
                  <c:v>10.507000061335042</c:v>
                </c:pt>
                <c:pt idx="71">
                  <c:v>27.963753810631665</c:v>
                </c:pt>
                <c:pt idx="72">
                  <c:v>27.14535035437909</c:v>
                </c:pt>
                <c:pt idx="73">
                  <c:v>21.370800512387504</c:v>
                </c:pt>
                <c:pt idx="74">
                  <c:v>30.059831035040663</c:v>
                </c:pt>
                <c:pt idx="75">
                  <c:v>20.501538394133963</c:v>
                </c:pt>
                <c:pt idx="76">
                  <c:v>24.082600483833506</c:v>
                </c:pt>
                <c:pt idx="77">
                  <c:v>20.396447246860603</c:v>
                </c:pt>
                <c:pt idx="78">
                  <c:v>37.110116420623527</c:v>
                </c:pt>
                <c:pt idx="79">
                  <c:v>37.2186709081979</c:v>
                </c:pt>
                <c:pt idx="80">
                  <c:v>27.83159979831656</c:v>
                </c:pt>
                <c:pt idx="81">
                  <c:v>27.823757383026404</c:v>
                </c:pt>
                <c:pt idx="82">
                  <c:v>19.493536412922289</c:v>
                </c:pt>
                <c:pt idx="83">
                  <c:v>28.793228947705309</c:v>
                </c:pt>
                <c:pt idx="84">
                  <c:v>16.918806630958017</c:v>
                </c:pt>
                <c:pt idx="85">
                  <c:v>29.270122314754605</c:v>
                </c:pt>
                <c:pt idx="86">
                  <c:v>34.716065217740223</c:v>
                </c:pt>
                <c:pt idx="87">
                  <c:v>25.639385848830962</c:v>
                </c:pt>
                <c:pt idx="88">
                  <c:v>21.148575761620648</c:v>
                </c:pt>
                <c:pt idx="89">
                  <c:v>40.686978469393097</c:v>
                </c:pt>
                <c:pt idx="90">
                  <c:v>26.417985085744327</c:v>
                </c:pt>
                <c:pt idx="91">
                  <c:v>33.283464130186502</c:v>
                </c:pt>
                <c:pt idx="92">
                  <c:v>27.713030596116774</c:v>
                </c:pt>
                <c:pt idx="93">
                  <c:v>27.617468775769289</c:v>
                </c:pt>
                <c:pt idx="94">
                  <c:v>24.161578977071873</c:v>
                </c:pt>
                <c:pt idx="95">
                  <c:v>19.773670499640346</c:v>
                </c:pt>
                <c:pt idx="96">
                  <c:v>30.934026568620141</c:v>
                </c:pt>
                <c:pt idx="97">
                  <c:v>41.30237762463041</c:v>
                </c:pt>
                <c:pt idx="98">
                  <c:v>43.351723949098158</c:v>
                </c:pt>
                <c:pt idx="99">
                  <c:v>27.090487923666629</c:v>
                </c:pt>
                <c:pt idx="100">
                  <c:v>19.232602211563506</c:v>
                </c:pt>
                <c:pt idx="101">
                  <c:v>30.087627274478368</c:v>
                </c:pt>
                <c:pt idx="102">
                  <c:v>38.550611637945345</c:v>
                </c:pt>
                <c:pt idx="103">
                  <c:v>37.749077298049947</c:v>
                </c:pt>
                <c:pt idx="104">
                  <c:v>38.3712963787004</c:v>
                </c:pt>
                <c:pt idx="105">
                  <c:v>42.135388380875327</c:v>
                </c:pt>
                <c:pt idx="106">
                  <c:v>28.495613037349315</c:v>
                </c:pt>
                <c:pt idx="107">
                  <c:v>43.12425942936499</c:v>
                </c:pt>
                <c:pt idx="108">
                  <c:v>41.631091318825284</c:v>
                </c:pt>
                <c:pt idx="109">
                  <c:v>29.173841031937474</c:v>
                </c:pt>
                <c:pt idx="110">
                  <c:v>27.496799553104513</c:v>
                </c:pt>
                <c:pt idx="111">
                  <c:v>27.63065771521466</c:v>
                </c:pt>
                <c:pt idx="112">
                  <c:v>25.282225405365999</c:v>
                </c:pt>
                <c:pt idx="113">
                  <c:v>22.537368861123646</c:v>
                </c:pt>
                <c:pt idx="114">
                  <c:v>39.717469102162553</c:v>
                </c:pt>
                <c:pt idx="115">
                  <c:v>38.883039985370651</c:v>
                </c:pt>
                <c:pt idx="116">
                  <c:v>49.450446614395631</c:v>
                </c:pt>
                <c:pt idx="117">
                  <c:v>29.438362566945482</c:v>
                </c:pt>
                <c:pt idx="118">
                  <c:v>27.380079058440288</c:v>
                </c:pt>
                <c:pt idx="119">
                  <c:v>30.33445347547066</c:v>
                </c:pt>
                <c:pt idx="120">
                  <c:v>34.692338373418274</c:v>
                </c:pt>
                <c:pt idx="121">
                  <c:v>33.791276247015524</c:v>
                </c:pt>
                <c:pt idx="122">
                  <c:v>26.508627402692184</c:v>
                </c:pt>
                <c:pt idx="123">
                  <c:v>33.463512763827403</c:v>
                </c:pt>
                <c:pt idx="124">
                  <c:v>39.920759192425869</c:v>
                </c:pt>
                <c:pt idx="125">
                  <c:v>29.913748056418221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9-4E55-A071-597AC45E1F5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СП'!$AF$12:$AF$137</c:f>
              <c:numCache>
                <c:formatCode>General</c:formatCode>
                <c:ptCount val="126"/>
                <c:pt idx="0">
                  <c:v>-8.2659167438661392</c:v>
                </c:pt>
                <c:pt idx="1">
                  <c:v>9.5729224909205808</c:v>
                </c:pt>
                <c:pt idx="2">
                  <c:v>-7.7055212508488093</c:v>
                </c:pt>
                <c:pt idx="3">
                  <c:v>14.768107703072673</c:v>
                </c:pt>
                <c:pt idx="4">
                  <c:v>-8.4634472011449713</c:v>
                </c:pt>
                <c:pt idx="5">
                  <c:v>14.799656398292459</c:v>
                </c:pt>
                <c:pt idx="6">
                  <c:v>-7.0267011133722246</c:v>
                </c:pt>
                <c:pt idx="7">
                  <c:v>-1.2965135997681516</c:v>
                </c:pt>
                <c:pt idx="8">
                  <c:v>13.716748645191185</c:v>
                </c:pt>
                <c:pt idx="9">
                  <c:v>-0.81287258617598468</c:v>
                </c:pt>
                <c:pt idx="10">
                  <c:v>-1.9796232952042985</c:v>
                </c:pt>
                <c:pt idx="11">
                  <c:v>-0.93145902653508728</c:v>
                </c:pt>
                <c:pt idx="12">
                  <c:v>0.43553154128479665</c:v>
                </c:pt>
                <c:pt idx="13">
                  <c:v>3.1857896503933061</c:v>
                </c:pt>
                <c:pt idx="14">
                  <c:v>18.239537774609872</c:v>
                </c:pt>
                <c:pt idx="15">
                  <c:v>4.1485135685293395</c:v>
                </c:pt>
                <c:pt idx="16">
                  <c:v>4.5910765599758463</c:v>
                </c:pt>
                <c:pt idx="17">
                  <c:v>17.054571867547672</c:v>
                </c:pt>
                <c:pt idx="18">
                  <c:v>11.773443679003551</c:v>
                </c:pt>
                <c:pt idx="19">
                  <c:v>-4.567920649124579</c:v>
                </c:pt>
                <c:pt idx="20">
                  <c:v>8.4598466005948652</c:v>
                </c:pt>
                <c:pt idx="21">
                  <c:v>-1.1650790499226922</c:v>
                </c:pt>
                <c:pt idx="22">
                  <c:v>16.182868898870133</c:v>
                </c:pt>
                <c:pt idx="23">
                  <c:v>19.378471679808158</c:v>
                </c:pt>
                <c:pt idx="24">
                  <c:v>7.5470656097716686</c:v>
                </c:pt>
                <c:pt idx="25">
                  <c:v>0.13368111368020053</c:v>
                </c:pt>
                <c:pt idx="26">
                  <c:v>10.681688258894418</c:v>
                </c:pt>
                <c:pt idx="27">
                  <c:v>23.671499996810212</c:v>
                </c:pt>
                <c:pt idx="28">
                  <c:v>11.571031520876726</c:v>
                </c:pt>
                <c:pt idx="29">
                  <c:v>6.7158485203513605</c:v>
                </c:pt>
                <c:pt idx="30">
                  <c:v>24.137177125297914</c:v>
                </c:pt>
                <c:pt idx="31">
                  <c:v>11.582085963538473</c:v>
                </c:pt>
                <c:pt idx="32">
                  <c:v>15.279544956102551</c:v>
                </c:pt>
                <c:pt idx="33">
                  <c:v>-0.81215644993934077</c:v>
                </c:pt>
                <c:pt idx="34">
                  <c:v>23.322237009346352</c:v>
                </c:pt>
                <c:pt idx="35">
                  <c:v>3.994195630179787</c:v>
                </c:pt>
                <c:pt idx="36">
                  <c:v>5.5939800037287322</c:v>
                </c:pt>
                <c:pt idx="37">
                  <c:v>6.6025018489585747</c:v>
                </c:pt>
                <c:pt idx="38">
                  <c:v>14.119972240605698</c:v>
                </c:pt>
                <c:pt idx="39">
                  <c:v>3.4306053479501841</c:v>
                </c:pt>
                <c:pt idx="40">
                  <c:v>2.4848400632009096</c:v>
                </c:pt>
                <c:pt idx="41">
                  <c:v>22.573175964217366</c:v>
                </c:pt>
                <c:pt idx="42">
                  <c:v>28.341318989625094</c:v>
                </c:pt>
                <c:pt idx="43">
                  <c:v>2.3980536309910221</c:v>
                </c:pt>
                <c:pt idx="44">
                  <c:v>6.6302636120776537</c:v>
                </c:pt>
                <c:pt idx="45">
                  <c:v>26.60304606604744</c:v>
                </c:pt>
                <c:pt idx="46">
                  <c:v>14.295087458920664</c:v>
                </c:pt>
                <c:pt idx="47">
                  <c:v>9.2720567506413687</c:v>
                </c:pt>
                <c:pt idx="48">
                  <c:v>17.084736678539112</c:v>
                </c:pt>
                <c:pt idx="49">
                  <c:v>7.8359923227866375</c:v>
                </c:pt>
                <c:pt idx="50">
                  <c:v>22.365110928294953</c:v>
                </c:pt>
                <c:pt idx="51">
                  <c:v>23.497620778750061</c:v>
                </c:pt>
                <c:pt idx="52">
                  <c:v>19.636028731662499</c:v>
                </c:pt>
                <c:pt idx="53">
                  <c:v>12.840053894243759</c:v>
                </c:pt>
                <c:pt idx="54">
                  <c:v>12.774013027521338</c:v>
                </c:pt>
                <c:pt idx="55">
                  <c:v>16.238678214356355</c:v>
                </c:pt>
                <c:pt idx="56">
                  <c:v>26.171806068351419</c:v>
                </c:pt>
                <c:pt idx="57">
                  <c:v>31.703781464758645</c:v>
                </c:pt>
                <c:pt idx="58">
                  <c:v>8.4460794301873765</c:v>
                </c:pt>
                <c:pt idx="59">
                  <c:v>14.080956436373393</c:v>
                </c:pt>
                <c:pt idx="60">
                  <c:v>10.462279664829202</c:v>
                </c:pt>
                <c:pt idx="61">
                  <c:v>20.446014867895801</c:v>
                </c:pt>
                <c:pt idx="62">
                  <c:v>30.70893394667371</c:v>
                </c:pt>
                <c:pt idx="63">
                  <c:v>10.262470153026218</c:v>
                </c:pt>
                <c:pt idx="64">
                  <c:v>14.140428690612104</c:v>
                </c:pt>
                <c:pt idx="65">
                  <c:v>12.217098112964342</c:v>
                </c:pt>
                <c:pt idx="66">
                  <c:v>15.606695732009911</c:v>
                </c:pt>
                <c:pt idx="67">
                  <c:v>22.141540095851393</c:v>
                </c:pt>
                <c:pt idx="68">
                  <c:v>19.538384129009341</c:v>
                </c:pt>
                <c:pt idx="69">
                  <c:v>34.876376863844364</c:v>
                </c:pt>
                <c:pt idx="70">
                  <c:v>33.005340546903852</c:v>
                </c:pt>
                <c:pt idx="71">
                  <c:v>19.374843217374291</c:v>
                </c:pt>
                <c:pt idx="72">
                  <c:v>29.004326976940149</c:v>
                </c:pt>
                <c:pt idx="73">
                  <c:v>36.176823939082972</c:v>
                </c:pt>
                <c:pt idx="74">
                  <c:v>11.276913427140389</c:v>
                </c:pt>
                <c:pt idx="75">
                  <c:v>13.882097135577165</c:v>
                </c:pt>
                <c:pt idx="76">
                  <c:v>30.264288172921528</c:v>
                </c:pt>
                <c:pt idx="77">
                  <c:v>31.619470359291387</c:v>
                </c:pt>
                <c:pt idx="78">
                  <c:v>35.965546875788974</c:v>
                </c:pt>
                <c:pt idx="79">
                  <c:v>36.073257907545489</c:v>
                </c:pt>
                <c:pt idx="80">
                  <c:v>38.702901834700171</c:v>
                </c:pt>
                <c:pt idx="81">
                  <c:v>12.911458523280707</c:v>
                </c:pt>
                <c:pt idx="82">
                  <c:v>38.305974974447629</c:v>
                </c:pt>
                <c:pt idx="83">
                  <c:v>39.65103569100318</c:v>
                </c:pt>
                <c:pt idx="84">
                  <c:v>34.33279544647327</c:v>
                </c:pt>
                <c:pt idx="85">
                  <c:v>25.532769585821733</c:v>
                </c:pt>
                <c:pt idx="86">
                  <c:v>24.906674056040988</c:v>
                </c:pt>
                <c:pt idx="87">
                  <c:v>39.891258803193125</c:v>
                </c:pt>
                <c:pt idx="88">
                  <c:v>39.596641409830937</c:v>
                </c:pt>
                <c:pt idx="89">
                  <c:v>36.274861086173082</c:v>
                </c:pt>
                <c:pt idx="90">
                  <c:v>23.754351612945861</c:v>
                </c:pt>
                <c:pt idx="91">
                  <c:v>30.217502232269332</c:v>
                </c:pt>
                <c:pt idx="92">
                  <c:v>17.578908944541858</c:v>
                </c:pt>
                <c:pt idx="93">
                  <c:v>26.90053133058921</c:v>
                </c:pt>
                <c:pt idx="94">
                  <c:v>41.076241948414641</c:v>
                </c:pt>
                <c:pt idx="95">
                  <c:v>37.23657975259141</c:v>
                </c:pt>
                <c:pt idx="96">
                  <c:v>30.238175518886532</c:v>
                </c:pt>
                <c:pt idx="97">
                  <c:v>17.680553989673513</c:v>
                </c:pt>
                <c:pt idx="98">
                  <c:v>33.364363609830697</c:v>
                </c:pt>
                <c:pt idx="99">
                  <c:v>24.899189708869155</c:v>
                </c:pt>
                <c:pt idx="100">
                  <c:v>32.21507416004799</c:v>
                </c:pt>
                <c:pt idx="101">
                  <c:v>42.407986405943603</c:v>
                </c:pt>
                <c:pt idx="102">
                  <c:v>23.266348762523869</c:v>
                </c:pt>
                <c:pt idx="103">
                  <c:v>35.583926213606105</c:v>
                </c:pt>
                <c:pt idx="104">
                  <c:v>43.863880664597687</c:v>
                </c:pt>
                <c:pt idx="105">
                  <c:v>27.371537745072807</c:v>
                </c:pt>
                <c:pt idx="106">
                  <c:v>31.989207034920959</c:v>
                </c:pt>
                <c:pt idx="107">
                  <c:v>30.017799475655245</c:v>
                </c:pt>
                <c:pt idx="108">
                  <c:v>23.760792905848358</c:v>
                </c:pt>
                <c:pt idx="109">
                  <c:v>38.109411966334868</c:v>
                </c:pt>
                <c:pt idx="110">
                  <c:v>39.828967066019779</c:v>
                </c:pt>
                <c:pt idx="111">
                  <c:v>34.948480390958643</c:v>
                </c:pt>
                <c:pt idx="112">
                  <c:v>46.158600353192114</c:v>
                </c:pt>
                <c:pt idx="113">
                  <c:v>44.918468988010076</c:v>
                </c:pt>
                <c:pt idx="114">
                  <c:v>34.420566566008539</c:v>
                </c:pt>
                <c:pt idx="115">
                  <c:v>32.832931403868628</c:v>
                </c:pt>
                <c:pt idx="116">
                  <c:v>48.372510079171931</c:v>
                </c:pt>
                <c:pt idx="117">
                  <c:v>30.225306845007857</c:v>
                </c:pt>
                <c:pt idx="118">
                  <c:v>26.650489775992327</c:v>
                </c:pt>
                <c:pt idx="119">
                  <c:v>36.63338152324107</c:v>
                </c:pt>
                <c:pt idx="120">
                  <c:v>29.934404104876108</c:v>
                </c:pt>
                <c:pt idx="121">
                  <c:v>31.017993517895395</c:v>
                </c:pt>
                <c:pt idx="122">
                  <c:v>38.556550304988988</c:v>
                </c:pt>
                <c:pt idx="123">
                  <c:v>32.737297304650873</c:v>
                </c:pt>
                <c:pt idx="124">
                  <c:v>51.417061989842942</c:v>
                </c:pt>
                <c:pt idx="125">
                  <c:v>27.380850235387886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A9-4E55-A071-597AC45E1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979680"/>
        <c:axId val="336977760"/>
      </c:scatterChart>
      <c:valAx>
        <c:axId val="33697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977760"/>
        <c:crosses val="autoZero"/>
        <c:crossBetween val="midCat"/>
      </c:valAx>
      <c:valAx>
        <c:axId val="33697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97968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05951297424117E-2"/>
          <c:y val="2.4420897044927239E-2"/>
          <c:w val="0.77208693407772722"/>
          <c:h val="0.93056677472860194"/>
        </c:manualLayout>
      </c:layout>
      <c:scatterChart>
        <c:scatterStyle val="lineMarker"/>
        <c:varyColors val="0"/>
        <c:ser>
          <c:idx val="0"/>
          <c:order val="0"/>
          <c:tx>
            <c:v>Оц. Мат.ож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СП'!$BC$12:$BC$137</c:f>
              <c:numCache>
                <c:formatCode>General</c:formatCode>
                <c:ptCount val="126"/>
                <c:pt idx="0">
                  <c:v>1.9076786399845755</c:v>
                </c:pt>
                <c:pt idx="1">
                  <c:v>5.5152589805976051</c:v>
                </c:pt>
                <c:pt idx="2">
                  <c:v>6.1259395856597507</c:v>
                </c:pt>
                <c:pt idx="3">
                  <c:v>4.9783184545804815</c:v>
                </c:pt>
                <c:pt idx="4">
                  <c:v>5.4181486491771249</c:v>
                </c:pt>
                <c:pt idx="5">
                  <c:v>5.5215749253789159</c:v>
                </c:pt>
                <c:pt idx="6">
                  <c:v>5.0209181448301505</c:v>
                </c:pt>
                <c:pt idx="7">
                  <c:v>5.5855798004699144</c:v>
                </c:pt>
                <c:pt idx="8">
                  <c:v>3.1088409916085573</c:v>
                </c:pt>
                <c:pt idx="9">
                  <c:v>6.2329187191921394</c:v>
                </c:pt>
                <c:pt idx="10">
                  <c:v>5.5821942795299151</c:v>
                </c:pt>
                <c:pt idx="11">
                  <c:v>6.8362629824548442</c:v>
                </c:pt>
                <c:pt idx="12">
                  <c:v>8.1637798179989325</c:v>
                </c:pt>
                <c:pt idx="13">
                  <c:v>6.4890325389905499</c:v>
                </c:pt>
                <c:pt idx="14">
                  <c:v>7.340098052142487</c:v>
                </c:pt>
                <c:pt idx="15">
                  <c:v>6.2923420898977112</c:v>
                </c:pt>
                <c:pt idx="16">
                  <c:v>7.6871329614742239</c:v>
                </c:pt>
                <c:pt idx="17">
                  <c:v>9.029494619412624</c:v>
                </c:pt>
                <c:pt idx="18">
                  <c:v>5.0141574458457416</c:v>
                </c:pt>
                <c:pt idx="19">
                  <c:v>9.9008554033581806</c:v>
                </c:pt>
                <c:pt idx="20">
                  <c:v>7.2759382764153706</c:v>
                </c:pt>
                <c:pt idx="21">
                  <c:v>7.6574688048816055</c:v>
                </c:pt>
                <c:pt idx="22">
                  <c:v>7.7923728522058902</c:v>
                </c:pt>
                <c:pt idx="23">
                  <c:v>9.8732644242615617</c:v>
                </c:pt>
                <c:pt idx="24">
                  <c:v>8.6055014464864694</c:v>
                </c:pt>
                <c:pt idx="25">
                  <c:v>9.1867285743889813</c:v>
                </c:pt>
                <c:pt idx="26">
                  <c:v>11.680643591333808</c:v>
                </c:pt>
                <c:pt idx="27">
                  <c:v>14.017642087924163</c:v>
                </c:pt>
                <c:pt idx="28">
                  <c:v>13.342086308984172</c:v>
                </c:pt>
                <c:pt idx="29">
                  <c:v>12.541968974862773</c:v>
                </c:pt>
                <c:pt idx="30">
                  <c:v>14.086625076156459</c:v>
                </c:pt>
                <c:pt idx="31">
                  <c:v>10.477698653866721</c:v>
                </c:pt>
                <c:pt idx="32">
                  <c:v>10.164727661907921</c:v>
                </c:pt>
                <c:pt idx="33">
                  <c:v>12.762185315053104</c:v>
                </c:pt>
                <c:pt idx="34">
                  <c:v>11.117026466135218</c:v>
                </c:pt>
                <c:pt idx="35">
                  <c:v>11.078650950238567</c:v>
                </c:pt>
                <c:pt idx="36">
                  <c:v>12.781843007057013</c:v>
                </c:pt>
                <c:pt idx="37">
                  <c:v>13.082233085845223</c:v>
                </c:pt>
                <c:pt idx="38">
                  <c:v>11.475670775152558</c:v>
                </c:pt>
                <c:pt idx="39">
                  <c:v>11.906695291010751</c:v>
                </c:pt>
                <c:pt idx="40">
                  <c:v>13.963329073744799</c:v>
                </c:pt>
                <c:pt idx="41">
                  <c:v>17.763824629018526</c:v>
                </c:pt>
                <c:pt idx="42">
                  <c:v>15.177504040300937</c:v>
                </c:pt>
                <c:pt idx="43">
                  <c:v>15.430120781565615</c:v>
                </c:pt>
                <c:pt idx="44">
                  <c:v>17.44613373211158</c:v>
                </c:pt>
                <c:pt idx="45">
                  <c:v>15.385657238479956</c:v>
                </c:pt>
                <c:pt idx="46">
                  <c:v>14.185202034970004</c:v>
                </c:pt>
                <c:pt idx="47">
                  <c:v>16.907153766831168</c:v>
                </c:pt>
                <c:pt idx="48">
                  <c:v>17.157037711245984</c:v>
                </c:pt>
                <c:pt idx="49">
                  <c:v>20.339381366727256</c:v>
                </c:pt>
                <c:pt idx="50">
                  <c:v>17.352014405734106</c:v>
                </c:pt>
                <c:pt idx="51">
                  <c:v>16.475682403910984</c:v>
                </c:pt>
                <c:pt idx="52">
                  <c:v>17.065242875293947</c:v>
                </c:pt>
                <c:pt idx="53">
                  <c:v>18.62258455208822</c:v>
                </c:pt>
                <c:pt idx="54">
                  <c:v>20.799292705052672</c:v>
                </c:pt>
                <c:pt idx="55">
                  <c:v>20.473534922895134</c:v>
                </c:pt>
                <c:pt idx="56">
                  <c:v>20.807258375605119</c:v>
                </c:pt>
                <c:pt idx="57">
                  <c:v>20.549854252926867</c:v>
                </c:pt>
                <c:pt idx="58">
                  <c:v>21.186243391317348</c:v>
                </c:pt>
                <c:pt idx="59">
                  <c:v>21.521889923292065</c:v>
                </c:pt>
                <c:pt idx="60">
                  <c:v>20.279228190656454</c:v>
                </c:pt>
                <c:pt idx="61">
                  <c:v>17.829345015035717</c:v>
                </c:pt>
                <c:pt idx="62">
                  <c:v>21.744854205632688</c:v>
                </c:pt>
                <c:pt idx="63">
                  <c:v>19.318925175239151</c:v>
                </c:pt>
                <c:pt idx="64">
                  <c:v>21.782981856231771</c:v>
                </c:pt>
                <c:pt idx="65">
                  <c:v>25.517249260687208</c:v>
                </c:pt>
                <c:pt idx="66">
                  <c:v>22.407547467871801</c:v>
                </c:pt>
                <c:pt idx="67">
                  <c:v>25.240194341268783</c:v>
                </c:pt>
                <c:pt idx="68">
                  <c:v>21.735384105135545</c:v>
                </c:pt>
                <c:pt idx="69">
                  <c:v>22.878454022430237</c:v>
                </c:pt>
                <c:pt idx="70">
                  <c:v>23.496523300456825</c:v>
                </c:pt>
                <c:pt idx="71">
                  <c:v>25.353021886729312</c:v>
                </c:pt>
                <c:pt idx="72">
                  <c:v>21.385053191893384</c:v>
                </c:pt>
                <c:pt idx="73">
                  <c:v>24.520669395065273</c:v>
                </c:pt>
                <c:pt idx="74">
                  <c:v>22.143492110943988</c:v>
                </c:pt>
                <c:pt idx="75">
                  <c:v>27.361195869616978</c:v>
                </c:pt>
                <c:pt idx="76">
                  <c:v>21.28387912724676</c:v>
                </c:pt>
                <c:pt idx="77">
                  <c:v>23.971080479412141</c:v>
                </c:pt>
                <c:pt idx="78">
                  <c:v>32.014631133774216</c:v>
                </c:pt>
                <c:pt idx="79">
                  <c:v>26.784616367792349</c:v>
                </c:pt>
                <c:pt idx="80">
                  <c:v>29.686595309417321</c:v>
                </c:pt>
                <c:pt idx="81">
                  <c:v>26.691873413692448</c:v>
                </c:pt>
                <c:pt idx="82">
                  <c:v>25.907478096015939</c:v>
                </c:pt>
                <c:pt idx="83">
                  <c:v>28.947243980046352</c:v>
                </c:pt>
                <c:pt idx="84">
                  <c:v>28.939502779454333</c:v>
                </c:pt>
                <c:pt idx="85">
                  <c:v>29.677275307151469</c:v>
                </c:pt>
                <c:pt idx="86">
                  <c:v>29.689709569722638</c:v>
                </c:pt>
                <c:pt idx="87">
                  <c:v>27.304468847982612</c:v>
                </c:pt>
                <c:pt idx="88">
                  <c:v>30.21201459800545</c:v>
                </c:pt>
                <c:pt idx="89">
                  <c:v>29.753834252444065</c:v>
                </c:pt>
                <c:pt idx="90">
                  <c:v>27.243998237289926</c:v>
                </c:pt>
                <c:pt idx="91">
                  <c:v>28.251271767909337</c:v>
                </c:pt>
                <c:pt idx="92">
                  <c:v>26.866133478520993</c:v>
                </c:pt>
                <c:pt idx="93">
                  <c:v>28.281504672053266</c:v>
                </c:pt>
                <c:pt idx="94">
                  <c:v>32.022317293655284</c:v>
                </c:pt>
                <c:pt idx="95">
                  <c:v>30.680363942141319</c:v>
                </c:pt>
                <c:pt idx="96">
                  <c:v>33.196512454444907</c:v>
                </c:pt>
                <c:pt idx="97">
                  <c:v>29.24915781979745</c:v>
                </c:pt>
                <c:pt idx="98">
                  <c:v>31.312269343212666</c:v>
                </c:pt>
                <c:pt idx="99">
                  <c:v>31.637828143605773</c:v>
                </c:pt>
                <c:pt idx="100">
                  <c:v>35.419936362050173</c:v>
                </c:pt>
                <c:pt idx="101">
                  <c:v>33.839791087572841</c:v>
                </c:pt>
                <c:pt idx="102">
                  <c:v>33.887954138588526</c:v>
                </c:pt>
                <c:pt idx="103">
                  <c:v>33.783282995408179</c:v>
                </c:pt>
                <c:pt idx="104">
                  <c:v>33.908807814037871</c:v>
                </c:pt>
                <c:pt idx="105">
                  <c:v>32.882340676635849</c:v>
                </c:pt>
                <c:pt idx="106">
                  <c:v>32.175745723598638</c:v>
                </c:pt>
                <c:pt idx="107">
                  <c:v>34.241083970372991</c:v>
                </c:pt>
                <c:pt idx="108">
                  <c:v>33.398355248333374</c:v>
                </c:pt>
                <c:pt idx="109">
                  <c:v>33.429176847733871</c:v>
                </c:pt>
                <c:pt idx="110">
                  <c:v>34.433042816849117</c:v>
                </c:pt>
                <c:pt idx="111">
                  <c:v>34.67509949127421</c:v>
                </c:pt>
                <c:pt idx="112">
                  <c:v>34.126635634969197</c:v>
                </c:pt>
                <c:pt idx="113">
                  <c:v>34.646998991055007</c:v>
                </c:pt>
                <c:pt idx="114">
                  <c:v>34.449716399073743</c:v>
                </c:pt>
                <c:pt idx="115">
                  <c:v>36.689953644239317</c:v>
                </c:pt>
                <c:pt idx="116">
                  <c:v>39.838356637609962</c:v>
                </c:pt>
                <c:pt idx="117">
                  <c:v>35.691305403526229</c:v>
                </c:pt>
                <c:pt idx="118">
                  <c:v>36.682587011839026</c:v>
                </c:pt>
                <c:pt idx="119">
                  <c:v>36.967491241811352</c:v>
                </c:pt>
                <c:pt idx="120">
                  <c:v>38.323820528093485</c:v>
                </c:pt>
                <c:pt idx="121">
                  <c:v>38.288920050166418</c:v>
                </c:pt>
                <c:pt idx="122">
                  <c:v>38.606347936475387</c:v>
                </c:pt>
                <c:pt idx="123">
                  <c:v>40.413892347079333</c:v>
                </c:pt>
                <c:pt idx="124">
                  <c:v>40.070017133954174</c:v>
                </c:pt>
                <c:pt idx="125">
                  <c:v>40.470002475715162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5-478C-8812-F5C025C87DD4}"/>
            </c:ext>
          </c:extLst>
        </c:ser>
        <c:ser>
          <c:idx val="1"/>
          <c:order val="1"/>
          <c:tx>
            <c:v>Оц.Дисп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СП'!$BD$12:$BD$137</c:f>
              <c:numCache>
                <c:formatCode>General</c:formatCode>
                <c:ptCount val="126"/>
                <c:pt idx="0">
                  <c:v>61.170602488650673</c:v>
                </c:pt>
                <c:pt idx="1">
                  <c:v>85.421634676577966</c:v>
                </c:pt>
                <c:pt idx="2">
                  <c:v>63.002193765707467</c:v>
                </c:pt>
                <c:pt idx="3">
                  <c:v>81.179940820967104</c:v>
                </c:pt>
                <c:pt idx="4">
                  <c:v>50.694641947785875</c:v>
                </c:pt>
                <c:pt idx="5">
                  <c:v>54.895097937143312</c:v>
                </c:pt>
                <c:pt idx="6">
                  <c:v>97.260041637784454</c:v>
                </c:pt>
                <c:pt idx="7">
                  <c:v>79.739698580169986</c:v>
                </c:pt>
                <c:pt idx="8">
                  <c:v>58.548030292310671</c:v>
                </c:pt>
                <c:pt idx="9">
                  <c:v>71.634938767563099</c:v>
                </c:pt>
                <c:pt idx="10">
                  <c:v>64.967376624350024</c:v>
                </c:pt>
                <c:pt idx="11">
                  <c:v>68.647993259284547</c:v>
                </c:pt>
                <c:pt idx="12">
                  <c:v>62.320101512553499</c:v>
                </c:pt>
                <c:pt idx="13">
                  <c:v>69.0764572495046</c:v>
                </c:pt>
                <c:pt idx="14">
                  <c:v>52.319921541585252</c:v>
                </c:pt>
                <c:pt idx="15">
                  <c:v>49.57142853507667</c:v>
                </c:pt>
                <c:pt idx="16">
                  <c:v>73.027444364978848</c:v>
                </c:pt>
                <c:pt idx="17">
                  <c:v>52.472467299712747</c:v>
                </c:pt>
                <c:pt idx="18">
                  <c:v>54.051525965889738</c:v>
                </c:pt>
                <c:pt idx="19">
                  <c:v>68.633935270522969</c:v>
                </c:pt>
                <c:pt idx="20">
                  <c:v>62.848109569139069</c:v>
                </c:pt>
                <c:pt idx="21">
                  <c:v>46.220971137373198</c:v>
                </c:pt>
                <c:pt idx="22">
                  <c:v>78.256696788565677</c:v>
                </c:pt>
                <c:pt idx="23">
                  <c:v>62.538616717782169</c:v>
                </c:pt>
                <c:pt idx="24">
                  <c:v>62.421380617645866</c:v>
                </c:pt>
                <c:pt idx="25">
                  <c:v>57.635598594827002</c:v>
                </c:pt>
                <c:pt idx="26">
                  <c:v>67.61353432656729</c:v>
                </c:pt>
                <c:pt idx="27">
                  <c:v>44.197634886401453</c:v>
                </c:pt>
                <c:pt idx="28">
                  <c:v>52.312709805335508</c:v>
                </c:pt>
                <c:pt idx="29">
                  <c:v>51.581769529671909</c:v>
                </c:pt>
                <c:pt idx="30">
                  <c:v>67.534479873001786</c:v>
                </c:pt>
                <c:pt idx="31">
                  <c:v>73.515687744890258</c:v>
                </c:pt>
                <c:pt idx="32">
                  <c:v>67.984296513453558</c:v>
                </c:pt>
                <c:pt idx="33">
                  <c:v>67.753387171362235</c:v>
                </c:pt>
                <c:pt idx="34">
                  <c:v>47.575456824293347</c:v>
                </c:pt>
                <c:pt idx="35">
                  <c:v>63.308282284093082</c:v>
                </c:pt>
                <c:pt idx="36">
                  <c:v>50.381189459244808</c:v>
                </c:pt>
                <c:pt idx="37">
                  <c:v>78.658910525052647</c:v>
                </c:pt>
                <c:pt idx="38">
                  <c:v>51.874231090690614</c:v>
                </c:pt>
                <c:pt idx="39">
                  <c:v>65.797265652033857</c:v>
                </c:pt>
                <c:pt idx="40">
                  <c:v>46.965690988475103</c:v>
                </c:pt>
                <c:pt idx="41">
                  <c:v>79.14316827257646</c:v>
                </c:pt>
                <c:pt idx="42">
                  <c:v>81.093686978992011</c:v>
                </c:pt>
                <c:pt idx="43">
                  <c:v>75.544211186687832</c:v>
                </c:pt>
                <c:pt idx="44">
                  <c:v>68.632310323687605</c:v>
                </c:pt>
                <c:pt idx="45">
                  <c:v>64.277014156839343</c:v>
                </c:pt>
                <c:pt idx="46">
                  <c:v>89.770732049806725</c:v>
                </c:pt>
                <c:pt idx="47">
                  <c:v>69.471208472625335</c:v>
                </c:pt>
                <c:pt idx="48">
                  <c:v>89.1770030988705</c:v>
                </c:pt>
                <c:pt idx="49">
                  <c:v>70.220356899013794</c:v>
                </c:pt>
                <c:pt idx="50">
                  <c:v>64.732219371501671</c:v>
                </c:pt>
                <c:pt idx="51">
                  <c:v>63.113512611043085</c:v>
                </c:pt>
                <c:pt idx="52">
                  <c:v>65.117421106555824</c:v>
                </c:pt>
                <c:pt idx="53">
                  <c:v>62.16741320528687</c:v>
                </c:pt>
                <c:pt idx="54">
                  <c:v>44.648185228544207</c:v>
                </c:pt>
                <c:pt idx="55">
                  <c:v>64.91067676038567</c:v>
                </c:pt>
                <c:pt idx="56">
                  <c:v>56.749851077941308</c:v>
                </c:pt>
                <c:pt idx="57">
                  <c:v>89.686655067788863</c:v>
                </c:pt>
                <c:pt idx="58">
                  <c:v>79.006456614454009</c:v>
                </c:pt>
                <c:pt idx="59">
                  <c:v>71.863852319734704</c:v>
                </c:pt>
                <c:pt idx="60">
                  <c:v>64.077984187249442</c:v>
                </c:pt>
                <c:pt idx="61">
                  <c:v>36.368488292655343</c:v>
                </c:pt>
                <c:pt idx="62">
                  <c:v>87.032015632499522</c:v>
                </c:pt>
                <c:pt idx="63">
                  <c:v>57.311281232946989</c:v>
                </c:pt>
                <c:pt idx="64">
                  <c:v>61.728044986099576</c:v>
                </c:pt>
                <c:pt idx="65">
                  <c:v>61.517628901638318</c:v>
                </c:pt>
                <c:pt idx="66">
                  <c:v>58.605130836218677</c:v>
                </c:pt>
                <c:pt idx="67">
                  <c:v>54.697296087957362</c:v>
                </c:pt>
                <c:pt idx="68">
                  <c:v>66.659655219484264</c:v>
                </c:pt>
                <c:pt idx="69">
                  <c:v>71.760633911289233</c:v>
                </c:pt>
                <c:pt idx="70">
                  <c:v>75.675430636010404</c:v>
                </c:pt>
                <c:pt idx="71">
                  <c:v>46.95071595381993</c:v>
                </c:pt>
                <c:pt idx="72">
                  <c:v>56.211407524179627</c:v>
                </c:pt>
                <c:pt idx="73">
                  <c:v>42.394311152041006</c:v>
                </c:pt>
                <c:pt idx="74">
                  <c:v>54.320491839889577</c:v>
                </c:pt>
                <c:pt idx="75">
                  <c:v>69.700433504816218</c:v>
                </c:pt>
                <c:pt idx="76">
                  <c:v>46.895704995514883</c:v>
                </c:pt>
                <c:pt idx="77">
                  <c:v>68.08048461139515</c:v>
                </c:pt>
                <c:pt idx="78">
                  <c:v>44.299640152157281</c:v>
                </c:pt>
                <c:pt idx="79">
                  <c:v>76.86423419160792</c:v>
                </c:pt>
                <c:pt idx="80">
                  <c:v>65.19260927991354</c:v>
                </c:pt>
                <c:pt idx="81">
                  <c:v>81.513411721897839</c:v>
                </c:pt>
                <c:pt idx="82">
                  <c:v>50.092820672493112</c:v>
                </c:pt>
                <c:pt idx="83">
                  <c:v>60.75740722529023</c:v>
                </c:pt>
                <c:pt idx="84">
                  <c:v>78.321352341999656</c:v>
                </c:pt>
                <c:pt idx="85">
                  <c:v>42.500462880386749</c:v>
                </c:pt>
                <c:pt idx="86">
                  <c:v>48.369888875976663</c:v>
                </c:pt>
                <c:pt idx="87">
                  <c:v>69.699685171633817</c:v>
                </c:pt>
                <c:pt idx="88">
                  <c:v>54.118283981588171</c:v>
                </c:pt>
                <c:pt idx="89">
                  <c:v>67.420917140303118</c:v>
                </c:pt>
                <c:pt idx="90">
                  <c:v>74.242415517056543</c:v>
                </c:pt>
                <c:pt idx="91">
                  <c:v>45.175650741378981</c:v>
                </c:pt>
                <c:pt idx="92">
                  <c:v>61.220146265830259</c:v>
                </c:pt>
                <c:pt idx="93">
                  <c:v>69.713241010942667</c:v>
                </c:pt>
                <c:pt idx="94">
                  <c:v>38.671853378114669</c:v>
                </c:pt>
                <c:pt idx="95">
                  <c:v>57.561139420689564</c:v>
                </c:pt>
                <c:pt idx="96">
                  <c:v>71.719865732497965</c:v>
                </c:pt>
                <c:pt idx="97">
                  <c:v>65.51331235522548</c:v>
                </c:pt>
                <c:pt idx="98">
                  <c:v>81.184680179082534</c:v>
                </c:pt>
                <c:pt idx="99">
                  <c:v>56.616415775856844</c:v>
                </c:pt>
                <c:pt idx="100">
                  <c:v>80.023661478746064</c:v>
                </c:pt>
                <c:pt idx="101">
                  <c:v>72.520505017585791</c:v>
                </c:pt>
                <c:pt idx="102">
                  <c:v>89.172816818230174</c:v>
                </c:pt>
                <c:pt idx="103">
                  <c:v>40.540320807546472</c:v>
                </c:pt>
                <c:pt idx="104">
                  <c:v>58.347994807291194</c:v>
                </c:pt>
                <c:pt idx="105">
                  <c:v>63.248904828811341</c:v>
                </c:pt>
                <c:pt idx="106">
                  <c:v>51.830042965680754</c:v>
                </c:pt>
                <c:pt idx="107">
                  <c:v>78.576213814346076</c:v>
                </c:pt>
                <c:pt idx="108">
                  <c:v>63.682289031388336</c:v>
                </c:pt>
                <c:pt idx="109">
                  <c:v>56.291217406133001</c:v>
                </c:pt>
                <c:pt idx="110">
                  <c:v>59.312857722527191</c:v>
                </c:pt>
                <c:pt idx="111">
                  <c:v>51.713891374425657</c:v>
                </c:pt>
                <c:pt idx="112">
                  <c:v>57.170105912415998</c:v>
                </c:pt>
                <c:pt idx="113">
                  <c:v>53.093750499857379</c:v>
                </c:pt>
                <c:pt idx="114">
                  <c:v>46.104536309382944</c:v>
                </c:pt>
                <c:pt idx="115">
                  <c:v>60.887916290823341</c:v>
                </c:pt>
                <c:pt idx="116">
                  <c:v>66.085561020476845</c:v>
                </c:pt>
                <c:pt idx="117">
                  <c:v>59.071655643452686</c:v>
                </c:pt>
                <c:pt idx="118">
                  <c:v>74.228322969994224</c:v>
                </c:pt>
                <c:pt idx="119">
                  <c:v>74.387270041021111</c:v>
                </c:pt>
                <c:pt idx="120">
                  <c:v>68.220237950195042</c:v>
                </c:pt>
                <c:pt idx="121">
                  <c:v>63.832740389986611</c:v>
                </c:pt>
                <c:pt idx="122">
                  <c:v>68.886313124334563</c:v>
                </c:pt>
                <c:pt idx="123">
                  <c:v>54.869097158631426</c:v>
                </c:pt>
                <c:pt idx="124">
                  <c:v>56.436037163115238</c:v>
                </c:pt>
                <c:pt idx="125">
                  <c:v>71.901084285310091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5-478C-8812-F5C025C87DD4}"/>
            </c:ext>
          </c:extLst>
        </c:ser>
        <c:ser>
          <c:idx val="2"/>
          <c:order val="2"/>
          <c:tx>
            <c:v>Оц.СКО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СП'!$BE$12:$BE$137</c:f>
              <c:numCache>
                <c:formatCode>General</c:formatCode>
                <c:ptCount val="126"/>
                <c:pt idx="0">
                  <c:v>7.8211637553915638</c:v>
                </c:pt>
                <c:pt idx="1">
                  <c:v>9.2423825216541413</c:v>
                </c:pt>
                <c:pt idx="2">
                  <c:v>7.9373921262406748</c:v>
                </c:pt>
                <c:pt idx="3">
                  <c:v>9.0099911665310248</c:v>
                </c:pt>
                <c:pt idx="4">
                  <c:v>7.1200169906950279</c:v>
                </c:pt>
                <c:pt idx="5">
                  <c:v>7.4091226158799204</c:v>
                </c:pt>
                <c:pt idx="6">
                  <c:v>9.8620505797620233</c:v>
                </c:pt>
                <c:pt idx="7">
                  <c:v>8.9297087623376594</c:v>
                </c:pt>
                <c:pt idx="8">
                  <c:v>7.6516684646102293</c:v>
                </c:pt>
                <c:pt idx="9">
                  <c:v>8.4637425981396142</c:v>
                </c:pt>
                <c:pt idx="10">
                  <c:v>8.0602342785027048</c:v>
                </c:pt>
                <c:pt idx="11">
                  <c:v>8.285408454583548</c:v>
                </c:pt>
                <c:pt idx="12">
                  <c:v>7.8943081718763359</c:v>
                </c:pt>
                <c:pt idx="13">
                  <c:v>8.3112247743340806</c:v>
                </c:pt>
                <c:pt idx="14">
                  <c:v>7.2332511045577048</c:v>
                </c:pt>
                <c:pt idx="15">
                  <c:v>7.0406980147622207</c:v>
                </c:pt>
                <c:pt idx="16">
                  <c:v>8.545609654376852</c:v>
                </c:pt>
                <c:pt idx="17">
                  <c:v>7.243788187109887</c:v>
                </c:pt>
                <c:pt idx="18">
                  <c:v>7.3519742903447192</c:v>
                </c:pt>
                <c:pt idx="19">
                  <c:v>8.2845600529251389</c:v>
                </c:pt>
                <c:pt idx="20">
                  <c:v>7.9276799613215383</c:v>
                </c:pt>
                <c:pt idx="21">
                  <c:v>6.7986006749457788</c:v>
                </c:pt>
                <c:pt idx="22">
                  <c:v>8.8462815232483791</c:v>
                </c:pt>
                <c:pt idx="23">
                  <c:v>7.9081361089565325</c:v>
                </c:pt>
                <c:pt idx="24">
                  <c:v>7.9007202594222932</c:v>
                </c:pt>
                <c:pt idx="25">
                  <c:v>7.5918112855119757</c:v>
                </c:pt>
                <c:pt idx="26">
                  <c:v>8.2227449386787672</c:v>
                </c:pt>
                <c:pt idx="27">
                  <c:v>6.6481301797122967</c:v>
                </c:pt>
                <c:pt idx="28">
                  <c:v>7.2327525745967218</c:v>
                </c:pt>
                <c:pt idx="29">
                  <c:v>7.1820449406608358</c:v>
                </c:pt>
                <c:pt idx="30">
                  <c:v>8.217936472923224</c:v>
                </c:pt>
                <c:pt idx="31">
                  <c:v>8.5741289787878898</c:v>
                </c:pt>
                <c:pt idx="32">
                  <c:v>8.2452590325261195</c:v>
                </c:pt>
                <c:pt idx="33">
                  <c:v>8.2312445700126204</c:v>
                </c:pt>
                <c:pt idx="34">
                  <c:v>6.8974964171279822</c:v>
                </c:pt>
                <c:pt idx="35">
                  <c:v>7.9566501923920896</c:v>
                </c:pt>
                <c:pt idx="36">
                  <c:v>7.0979707987033036</c:v>
                </c:pt>
                <c:pt idx="37">
                  <c:v>8.8689858791776555</c:v>
                </c:pt>
                <c:pt idx="38">
                  <c:v>7.2023767667826579</c:v>
                </c:pt>
                <c:pt idx="39">
                  <c:v>8.1115513714722827</c:v>
                </c:pt>
                <c:pt idx="40">
                  <c:v>6.8531519017511284</c:v>
                </c:pt>
                <c:pt idx="41">
                  <c:v>8.8962446162735684</c:v>
                </c:pt>
                <c:pt idx="42">
                  <c:v>9.0052033280205297</c:v>
                </c:pt>
                <c:pt idx="43">
                  <c:v>8.6916172940763925</c:v>
                </c:pt>
                <c:pt idx="44">
                  <c:v>8.2844619815463947</c:v>
                </c:pt>
                <c:pt idx="45">
                  <c:v>8.0172946906571507</c:v>
                </c:pt>
                <c:pt idx="46">
                  <c:v>9.4747417933053306</c:v>
                </c:pt>
                <c:pt idx="47">
                  <c:v>8.3349390203303422</c:v>
                </c:pt>
                <c:pt idx="48">
                  <c:v>9.4433576178640237</c:v>
                </c:pt>
                <c:pt idx="49">
                  <c:v>8.3797587613853057</c:v>
                </c:pt>
                <c:pt idx="50">
                  <c:v>8.0456335593601125</c:v>
                </c:pt>
                <c:pt idx="51">
                  <c:v>7.9444013374856057</c:v>
                </c:pt>
                <c:pt idx="52">
                  <c:v>8.069536610398135</c:v>
                </c:pt>
                <c:pt idx="53">
                  <c:v>7.8846314565290161</c:v>
                </c:pt>
                <c:pt idx="54">
                  <c:v>6.6819297533380437</c:v>
                </c:pt>
                <c:pt idx="55">
                  <c:v>8.056716251698683</c:v>
                </c:pt>
                <c:pt idx="56">
                  <c:v>7.5332497023490008</c:v>
                </c:pt>
                <c:pt idx="57">
                  <c:v>9.470303852981111</c:v>
                </c:pt>
                <c:pt idx="58">
                  <c:v>8.8885576228347656</c:v>
                </c:pt>
                <c:pt idx="59">
                  <c:v>8.4772549990981574</c:v>
                </c:pt>
                <c:pt idx="60">
                  <c:v>8.0048725278576072</c:v>
                </c:pt>
                <c:pt idx="61">
                  <c:v>6.0306291788382529</c:v>
                </c:pt>
                <c:pt idx="62">
                  <c:v>9.3290951132732864</c:v>
                </c:pt>
                <c:pt idx="63">
                  <c:v>7.5704214699676387</c:v>
                </c:pt>
                <c:pt idx="64">
                  <c:v>7.8567197344756785</c:v>
                </c:pt>
                <c:pt idx="65">
                  <c:v>7.8433174678600333</c:v>
                </c:pt>
                <c:pt idx="66">
                  <c:v>7.6553988032119316</c:v>
                </c:pt>
                <c:pt idx="67">
                  <c:v>7.3957620356496978</c:v>
                </c:pt>
                <c:pt idx="68">
                  <c:v>8.164536436288607</c:v>
                </c:pt>
                <c:pt idx="69">
                  <c:v>8.4711648497293002</c:v>
                </c:pt>
                <c:pt idx="70">
                  <c:v>8.6991626399332489</c:v>
                </c:pt>
                <c:pt idx="71">
                  <c:v>6.8520592491469259</c:v>
                </c:pt>
                <c:pt idx="72">
                  <c:v>7.4974267268296542</c:v>
                </c:pt>
                <c:pt idx="73">
                  <c:v>6.5110913948462592</c:v>
                </c:pt>
                <c:pt idx="74">
                  <c:v>7.3702436757470631</c:v>
                </c:pt>
                <c:pt idx="75">
                  <c:v>8.3486785484180803</c:v>
                </c:pt>
                <c:pt idx="76">
                  <c:v>6.8480438809571655</c:v>
                </c:pt>
                <c:pt idx="77">
                  <c:v>8.2510899044547532</c:v>
                </c:pt>
                <c:pt idx="78">
                  <c:v>6.6557974843107477</c:v>
                </c:pt>
                <c:pt idx="79">
                  <c:v>8.7672249994857498</c:v>
                </c:pt>
                <c:pt idx="80">
                  <c:v>8.0741940328378003</c:v>
                </c:pt>
                <c:pt idx="81">
                  <c:v>9.0284778186523695</c:v>
                </c:pt>
                <c:pt idx="82">
                  <c:v>7.0776281812831279</c:v>
                </c:pt>
                <c:pt idx="83">
                  <c:v>7.7947037933003092</c:v>
                </c:pt>
                <c:pt idx="84">
                  <c:v>8.8499351603274281</c:v>
                </c:pt>
                <c:pt idx="85">
                  <c:v>6.5192379064110515</c:v>
                </c:pt>
                <c:pt idx="86">
                  <c:v>6.9548464307974953</c:v>
                </c:pt>
                <c:pt idx="87">
                  <c:v>8.348633730834873</c:v>
                </c:pt>
                <c:pt idx="88">
                  <c:v>7.3565130314292366</c:v>
                </c:pt>
                <c:pt idx="89">
                  <c:v>8.2110241225015965</c:v>
                </c:pt>
                <c:pt idx="90">
                  <c:v>8.6164038622302606</c:v>
                </c:pt>
                <c:pt idx="91">
                  <c:v>6.7212834147489255</c:v>
                </c:pt>
                <c:pt idx="92">
                  <c:v>7.8243304036722696</c:v>
                </c:pt>
                <c:pt idx="93">
                  <c:v>8.3494455511095271</c:v>
                </c:pt>
                <c:pt idx="94">
                  <c:v>6.21866974345114</c:v>
                </c:pt>
                <c:pt idx="95">
                  <c:v>7.5869057869917933</c:v>
                </c:pt>
                <c:pt idx="96">
                  <c:v>8.4687582166748605</c:v>
                </c:pt>
                <c:pt idx="97">
                  <c:v>8.0940294263874204</c:v>
                </c:pt>
                <c:pt idx="98">
                  <c:v>9.0102541683951696</c:v>
                </c:pt>
                <c:pt idx="99">
                  <c:v>7.524388066537826</c:v>
                </c:pt>
                <c:pt idx="100">
                  <c:v>8.9455945290822374</c:v>
                </c:pt>
                <c:pt idx="101">
                  <c:v>8.515897193930055</c:v>
                </c:pt>
                <c:pt idx="102">
                  <c:v>9.443135963133761</c:v>
                </c:pt>
                <c:pt idx="103">
                  <c:v>6.3671281444263768</c:v>
                </c:pt>
                <c:pt idx="104">
                  <c:v>7.6385859167316559</c:v>
                </c:pt>
                <c:pt idx="105">
                  <c:v>7.9529180071726717</c:v>
                </c:pt>
                <c:pt idx="106">
                  <c:v>7.1993085060775632</c:v>
                </c:pt>
                <c:pt idx="107">
                  <c:v>8.8643225242737014</c:v>
                </c:pt>
                <c:pt idx="108">
                  <c:v>7.9801183594849228</c:v>
                </c:pt>
                <c:pt idx="109">
                  <c:v>7.5027473238896301</c:v>
                </c:pt>
                <c:pt idx="110">
                  <c:v>7.7014841246689061</c:v>
                </c:pt>
                <c:pt idx="111">
                  <c:v>7.1912371240577002</c:v>
                </c:pt>
                <c:pt idx="112">
                  <c:v>7.561091582067764</c:v>
                </c:pt>
                <c:pt idx="113">
                  <c:v>7.2865458551948592</c:v>
                </c:pt>
                <c:pt idx="114">
                  <c:v>6.790032128744528</c:v>
                </c:pt>
                <c:pt idx="115">
                  <c:v>7.8030709525688247</c:v>
                </c:pt>
                <c:pt idx="116">
                  <c:v>8.1293026158752912</c:v>
                </c:pt>
                <c:pt idx="117">
                  <c:v>7.6858087175945702</c:v>
                </c:pt>
                <c:pt idx="118">
                  <c:v>8.6155860491317835</c:v>
                </c:pt>
                <c:pt idx="119">
                  <c:v>8.6248055074315211</c:v>
                </c:pt>
                <c:pt idx="120">
                  <c:v>8.2595543433162923</c:v>
                </c:pt>
                <c:pt idx="121">
                  <c:v>7.9895394354109435</c:v>
                </c:pt>
                <c:pt idx="122">
                  <c:v>8.2997778960846027</c:v>
                </c:pt>
                <c:pt idx="123">
                  <c:v>7.4073677618052303</c:v>
                </c:pt>
                <c:pt idx="124">
                  <c:v>7.5123922397006959</c:v>
                </c:pt>
                <c:pt idx="125">
                  <c:v>8.4794507065794118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5-478C-8812-F5C025C87DD4}"/>
            </c:ext>
          </c:extLst>
        </c:ser>
        <c:ser>
          <c:idx val="3"/>
          <c:order val="3"/>
          <c:tx>
            <c:v>Дет.сост.СП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Точечный прогноз СП'!$A$12:$A$137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СП'!$B$12:$B$137</c:f>
              <c:numCache>
                <c:formatCode>General</c:formatCode>
                <c:ptCount val="126"/>
                <c:pt idx="0">
                  <c:v>3.0545255155273479</c:v>
                </c:pt>
                <c:pt idx="1">
                  <c:v>3.3461099155771081</c:v>
                </c:pt>
                <c:pt idx="2">
                  <c:v>3.637694315626868</c:v>
                </c:pt>
                <c:pt idx="3">
                  <c:v>3.9292787156766282</c:v>
                </c:pt>
                <c:pt idx="4">
                  <c:v>4.2208631157263881</c:v>
                </c:pt>
                <c:pt idx="5">
                  <c:v>4.5124475157761479</c:v>
                </c:pt>
                <c:pt idx="6">
                  <c:v>4.8040319158259077</c:v>
                </c:pt>
                <c:pt idx="7">
                  <c:v>5.0956163158756684</c:v>
                </c:pt>
                <c:pt idx="8">
                  <c:v>5.3872007159254274</c:v>
                </c:pt>
                <c:pt idx="9">
                  <c:v>5.6787851159751881</c:v>
                </c:pt>
                <c:pt idx="10">
                  <c:v>5.9703695160249479</c:v>
                </c:pt>
                <c:pt idx="11">
                  <c:v>6.2619539160747077</c:v>
                </c:pt>
                <c:pt idx="12">
                  <c:v>6.5535383161244685</c:v>
                </c:pt>
                <c:pt idx="13">
                  <c:v>6.8451227161742283</c:v>
                </c:pt>
                <c:pt idx="14">
                  <c:v>7.1367071162239881</c:v>
                </c:pt>
                <c:pt idx="15">
                  <c:v>7.428291516273748</c:v>
                </c:pt>
                <c:pt idx="16">
                  <c:v>7.7198759163235078</c:v>
                </c:pt>
                <c:pt idx="17">
                  <c:v>8.0114603163732667</c:v>
                </c:pt>
                <c:pt idx="18">
                  <c:v>8.3030447164230274</c:v>
                </c:pt>
                <c:pt idx="19">
                  <c:v>8.5946291164727882</c:v>
                </c:pt>
                <c:pt idx="20">
                  <c:v>8.8862135165225489</c:v>
                </c:pt>
                <c:pt idx="21">
                  <c:v>9.1777979165723078</c:v>
                </c:pt>
                <c:pt idx="22">
                  <c:v>9.4693823166220668</c:v>
                </c:pt>
                <c:pt idx="23">
                  <c:v>9.7609667166718275</c:v>
                </c:pt>
                <c:pt idx="24">
                  <c:v>10.052551116721588</c:v>
                </c:pt>
                <c:pt idx="25">
                  <c:v>10.344135516771349</c:v>
                </c:pt>
                <c:pt idx="26">
                  <c:v>10.635719916821108</c:v>
                </c:pt>
                <c:pt idx="27">
                  <c:v>10.927304316870869</c:v>
                </c:pt>
                <c:pt idx="28">
                  <c:v>11.218888716920628</c:v>
                </c:pt>
                <c:pt idx="29">
                  <c:v>11.510473116970388</c:v>
                </c:pt>
                <c:pt idx="30">
                  <c:v>11.802057517020147</c:v>
                </c:pt>
                <c:pt idx="31">
                  <c:v>12.093641917069908</c:v>
                </c:pt>
                <c:pt idx="32">
                  <c:v>12.385226317119669</c:v>
                </c:pt>
                <c:pt idx="33">
                  <c:v>12.676810717169428</c:v>
                </c:pt>
                <c:pt idx="34">
                  <c:v>12.968395117219188</c:v>
                </c:pt>
                <c:pt idx="35">
                  <c:v>13.259979517268947</c:v>
                </c:pt>
                <c:pt idx="36">
                  <c:v>13.551563917318708</c:v>
                </c:pt>
                <c:pt idx="37">
                  <c:v>13.843148317368469</c:v>
                </c:pt>
                <c:pt idx="38">
                  <c:v>14.134732717418228</c:v>
                </c:pt>
                <c:pt idx="39">
                  <c:v>14.426317117467988</c:v>
                </c:pt>
                <c:pt idx="40">
                  <c:v>14.717901517517747</c:v>
                </c:pt>
                <c:pt idx="41">
                  <c:v>15.009485917567508</c:v>
                </c:pt>
                <c:pt idx="42">
                  <c:v>15.301070317617269</c:v>
                </c:pt>
                <c:pt idx="43">
                  <c:v>15.592654717667028</c:v>
                </c:pt>
                <c:pt idx="44">
                  <c:v>15.884239117716788</c:v>
                </c:pt>
                <c:pt idx="45">
                  <c:v>16.175823517766545</c:v>
                </c:pt>
                <c:pt idx="46">
                  <c:v>16.46740791781631</c:v>
                </c:pt>
                <c:pt idx="47">
                  <c:v>16.758992317866067</c:v>
                </c:pt>
                <c:pt idx="48">
                  <c:v>17.050576717915828</c:v>
                </c:pt>
                <c:pt idx="49">
                  <c:v>17.342161117965588</c:v>
                </c:pt>
                <c:pt idx="50">
                  <c:v>17.633745518015346</c:v>
                </c:pt>
                <c:pt idx="51">
                  <c:v>17.92532991806511</c:v>
                </c:pt>
                <c:pt idx="52">
                  <c:v>18.216914318114867</c:v>
                </c:pt>
                <c:pt idx="53">
                  <c:v>18.508498718164628</c:v>
                </c:pt>
                <c:pt idx="54">
                  <c:v>18.800083118214388</c:v>
                </c:pt>
                <c:pt idx="55">
                  <c:v>19.091667518264149</c:v>
                </c:pt>
                <c:pt idx="56">
                  <c:v>19.383251918313906</c:v>
                </c:pt>
                <c:pt idx="57">
                  <c:v>19.674836318363667</c:v>
                </c:pt>
                <c:pt idx="58">
                  <c:v>19.966420718413428</c:v>
                </c:pt>
                <c:pt idx="59">
                  <c:v>20.258005118463188</c:v>
                </c:pt>
                <c:pt idx="60">
                  <c:v>20.549589518512949</c:v>
                </c:pt>
                <c:pt idx="61">
                  <c:v>20.841173918562706</c:v>
                </c:pt>
                <c:pt idx="62">
                  <c:v>21.132758318612467</c:v>
                </c:pt>
                <c:pt idx="63">
                  <c:v>21.424342718662228</c:v>
                </c:pt>
                <c:pt idx="64">
                  <c:v>21.715927118711988</c:v>
                </c:pt>
                <c:pt idx="65">
                  <c:v>22.007511518761749</c:v>
                </c:pt>
                <c:pt idx="66">
                  <c:v>22.299095918811506</c:v>
                </c:pt>
                <c:pt idx="67">
                  <c:v>22.590680318861267</c:v>
                </c:pt>
                <c:pt idx="68">
                  <c:v>22.882264718911028</c:v>
                </c:pt>
                <c:pt idx="69">
                  <c:v>23.173849118960788</c:v>
                </c:pt>
                <c:pt idx="70">
                  <c:v>23.465433519010549</c:v>
                </c:pt>
                <c:pt idx="71">
                  <c:v>23.757017919060306</c:v>
                </c:pt>
                <c:pt idx="72">
                  <c:v>24.048602319110067</c:v>
                </c:pt>
                <c:pt idx="73">
                  <c:v>24.340186719159828</c:v>
                </c:pt>
                <c:pt idx="74">
                  <c:v>24.631771119209589</c:v>
                </c:pt>
                <c:pt idx="75">
                  <c:v>24.923355519259349</c:v>
                </c:pt>
                <c:pt idx="76">
                  <c:v>25.214939919309106</c:v>
                </c:pt>
                <c:pt idx="77">
                  <c:v>25.506524319358867</c:v>
                </c:pt>
                <c:pt idx="78">
                  <c:v>25.798108719408628</c:v>
                </c:pt>
                <c:pt idx="79">
                  <c:v>26.089693119458389</c:v>
                </c:pt>
                <c:pt idx="80">
                  <c:v>26.381277519508149</c:v>
                </c:pt>
                <c:pt idx="81">
                  <c:v>26.672861919557906</c:v>
                </c:pt>
                <c:pt idx="82">
                  <c:v>26.964446319607667</c:v>
                </c:pt>
                <c:pt idx="83">
                  <c:v>27.256030719657428</c:v>
                </c:pt>
                <c:pt idx="84">
                  <c:v>27.547615119707189</c:v>
                </c:pt>
                <c:pt idx="85">
                  <c:v>27.839199519756949</c:v>
                </c:pt>
                <c:pt idx="86">
                  <c:v>28.130783919806706</c:v>
                </c:pt>
                <c:pt idx="87">
                  <c:v>28.422368319856467</c:v>
                </c:pt>
                <c:pt idx="88">
                  <c:v>28.713952719906228</c:v>
                </c:pt>
                <c:pt idx="89">
                  <c:v>29.005537119955989</c:v>
                </c:pt>
                <c:pt idx="90">
                  <c:v>29.297121520005749</c:v>
                </c:pt>
                <c:pt idx="91">
                  <c:v>29.588705920055506</c:v>
                </c:pt>
                <c:pt idx="92">
                  <c:v>29.880290320105267</c:v>
                </c:pt>
                <c:pt idx="93">
                  <c:v>30.171874720155028</c:v>
                </c:pt>
                <c:pt idx="94">
                  <c:v>30.463459120204789</c:v>
                </c:pt>
                <c:pt idx="95">
                  <c:v>30.755043520254546</c:v>
                </c:pt>
                <c:pt idx="96">
                  <c:v>31.046627920304307</c:v>
                </c:pt>
                <c:pt idx="97">
                  <c:v>31.338212320354067</c:v>
                </c:pt>
                <c:pt idx="98">
                  <c:v>31.629796720403828</c:v>
                </c:pt>
                <c:pt idx="99">
                  <c:v>31.921381120453589</c:v>
                </c:pt>
                <c:pt idx="100">
                  <c:v>32.212965520503346</c:v>
                </c:pt>
                <c:pt idx="101">
                  <c:v>32.504549920553103</c:v>
                </c:pt>
                <c:pt idx="102">
                  <c:v>32.796134320602867</c:v>
                </c:pt>
                <c:pt idx="103">
                  <c:v>33.087718720652632</c:v>
                </c:pt>
                <c:pt idx="104">
                  <c:v>33.379303120702389</c:v>
                </c:pt>
                <c:pt idx="105">
                  <c:v>33.670887520752146</c:v>
                </c:pt>
                <c:pt idx="106">
                  <c:v>33.962471920801903</c:v>
                </c:pt>
                <c:pt idx="107">
                  <c:v>34.254056320851667</c:v>
                </c:pt>
                <c:pt idx="108">
                  <c:v>34.545640720901432</c:v>
                </c:pt>
                <c:pt idx="109">
                  <c:v>34.837225120951189</c:v>
                </c:pt>
                <c:pt idx="110">
                  <c:v>35.128809521000946</c:v>
                </c:pt>
                <c:pt idx="111">
                  <c:v>35.42039392105071</c:v>
                </c:pt>
                <c:pt idx="112">
                  <c:v>35.711978321100467</c:v>
                </c:pt>
                <c:pt idx="113">
                  <c:v>36.003562721150224</c:v>
                </c:pt>
                <c:pt idx="114">
                  <c:v>36.295147121199989</c:v>
                </c:pt>
                <c:pt idx="115">
                  <c:v>36.586731521249746</c:v>
                </c:pt>
                <c:pt idx="116">
                  <c:v>36.87831592129951</c:v>
                </c:pt>
                <c:pt idx="117">
                  <c:v>37.169900321349267</c:v>
                </c:pt>
                <c:pt idx="118">
                  <c:v>37.461484721399025</c:v>
                </c:pt>
                <c:pt idx="119">
                  <c:v>37.753069121448789</c:v>
                </c:pt>
                <c:pt idx="120">
                  <c:v>38.044653521498546</c:v>
                </c:pt>
                <c:pt idx="121">
                  <c:v>38.33623792154831</c:v>
                </c:pt>
                <c:pt idx="122">
                  <c:v>38.627822321598067</c:v>
                </c:pt>
                <c:pt idx="123">
                  <c:v>38.919406721647825</c:v>
                </c:pt>
                <c:pt idx="124">
                  <c:v>39.210991121697589</c:v>
                </c:pt>
                <c:pt idx="125">
                  <c:v>39.502575521747346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B5-478C-8812-F5C025C8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50800"/>
        <c:axId val="565047440"/>
      </c:scatterChart>
      <c:valAx>
        <c:axId val="56505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47440"/>
        <c:crosses val="autoZero"/>
        <c:crossBetween val="midCat"/>
      </c:valAx>
      <c:valAx>
        <c:axId val="5650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5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312022861324739E-2"/>
          <c:y val="3.2561196059902986E-2"/>
          <c:w val="0.77208693407772722"/>
          <c:h val="0.93056677472860194"/>
        </c:manualLayout>
      </c:layout>
      <c:scatterChart>
        <c:scatterStyle val="lineMarker"/>
        <c:varyColors val="0"/>
        <c:ser>
          <c:idx val="0"/>
          <c:order val="0"/>
          <c:tx>
            <c:v>Оц. Мат.ож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СП'!$BC$12:$BC$137</c:f>
              <c:numCache>
                <c:formatCode>General</c:formatCode>
                <c:ptCount val="126"/>
                <c:pt idx="0">
                  <c:v>1.9076786399845755</c:v>
                </c:pt>
                <c:pt idx="1">
                  <c:v>5.5152589805976051</c:v>
                </c:pt>
                <c:pt idx="2">
                  <c:v>6.1259395856597507</c:v>
                </c:pt>
                <c:pt idx="3">
                  <c:v>4.9783184545804815</c:v>
                </c:pt>
                <c:pt idx="4">
                  <c:v>5.4181486491771249</c:v>
                </c:pt>
                <c:pt idx="5">
                  <c:v>5.5215749253789159</c:v>
                </c:pt>
                <c:pt idx="6">
                  <c:v>5.0209181448301505</c:v>
                </c:pt>
                <c:pt idx="7">
                  <c:v>5.5855798004699144</c:v>
                </c:pt>
                <c:pt idx="8">
                  <c:v>3.1088409916085573</c:v>
                </c:pt>
                <c:pt idx="9">
                  <c:v>6.2329187191921394</c:v>
                </c:pt>
                <c:pt idx="10">
                  <c:v>5.5821942795299151</c:v>
                </c:pt>
                <c:pt idx="11">
                  <c:v>6.8362629824548442</c:v>
                </c:pt>
                <c:pt idx="12">
                  <c:v>8.1637798179989325</c:v>
                </c:pt>
                <c:pt idx="13">
                  <c:v>6.4890325389905499</c:v>
                </c:pt>
                <c:pt idx="14">
                  <c:v>7.340098052142487</c:v>
                </c:pt>
                <c:pt idx="15">
                  <c:v>6.2923420898977112</c:v>
                </c:pt>
                <c:pt idx="16">
                  <c:v>7.6871329614742239</c:v>
                </c:pt>
                <c:pt idx="17">
                  <c:v>9.029494619412624</c:v>
                </c:pt>
                <c:pt idx="18">
                  <c:v>5.0141574458457416</c:v>
                </c:pt>
                <c:pt idx="19">
                  <c:v>9.9008554033581806</c:v>
                </c:pt>
                <c:pt idx="20">
                  <c:v>7.2759382764153706</c:v>
                </c:pt>
                <c:pt idx="21">
                  <c:v>7.6574688048816055</c:v>
                </c:pt>
                <c:pt idx="22">
                  <c:v>7.7923728522058902</c:v>
                </c:pt>
                <c:pt idx="23">
                  <c:v>9.8732644242615617</c:v>
                </c:pt>
                <c:pt idx="24">
                  <c:v>8.6055014464864694</c:v>
                </c:pt>
                <c:pt idx="25">
                  <c:v>9.1867285743889813</c:v>
                </c:pt>
                <c:pt idx="26">
                  <c:v>11.680643591333808</c:v>
                </c:pt>
                <c:pt idx="27">
                  <c:v>14.017642087924163</c:v>
                </c:pt>
                <c:pt idx="28">
                  <c:v>13.342086308984172</c:v>
                </c:pt>
                <c:pt idx="29">
                  <c:v>12.541968974862773</c:v>
                </c:pt>
                <c:pt idx="30">
                  <c:v>14.086625076156459</c:v>
                </c:pt>
                <c:pt idx="31">
                  <c:v>10.477698653866721</c:v>
                </c:pt>
                <c:pt idx="32">
                  <c:v>10.164727661907921</c:v>
                </c:pt>
                <c:pt idx="33">
                  <c:v>12.762185315053104</c:v>
                </c:pt>
                <c:pt idx="34">
                  <c:v>11.117026466135218</c:v>
                </c:pt>
                <c:pt idx="35">
                  <c:v>11.078650950238567</c:v>
                </c:pt>
                <c:pt idx="36">
                  <c:v>12.781843007057013</c:v>
                </c:pt>
                <c:pt idx="37">
                  <c:v>13.082233085845223</c:v>
                </c:pt>
                <c:pt idx="38">
                  <c:v>11.475670775152558</c:v>
                </c:pt>
                <c:pt idx="39">
                  <c:v>11.906695291010751</c:v>
                </c:pt>
                <c:pt idx="40">
                  <c:v>13.963329073744799</c:v>
                </c:pt>
                <c:pt idx="41">
                  <c:v>17.763824629018526</c:v>
                </c:pt>
                <c:pt idx="42">
                  <c:v>15.177504040300937</c:v>
                </c:pt>
                <c:pt idx="43">
                  <c:v>15.430120781565615</c:v>
                </c:pt>
                <c:pt idx="44">
                  <c:v>17.44613373211158</c:v>
                </c:pt>
                <c:pt idx="45">
                  <c:v>15.385657238479956</c:v>
                </c:pt>
                <c:pt idx="46">
                  <c:v>14.185202034970004</c:v>
                </c:pt>
                <c:pt idx="47">
                  <c:v>16.907153766831168</c:v>
                </c:pt>
                <c:pt idx="48">
                  <c:v>17.157037711245984</c:v>
                </c:pt>
                <c:pt idx="49">
                  <c:v>20.339381366727256</c:v>
                </c:pt>
                <c:pt idx="50">
                  <c:v>17.352014405734106</c:v>
                </c:pt>
                <c:pt idx="51">
                  <c:v>16.475682403910984</c:v>
                </c:pt>
                <c:pt idx="52">
                  <c:v>17.065242875293947</c:v>
                </c:pt>
                <c:pt idx="53">
                  <c:v>18.62258455208822</c:v>
                </c:pt>
                <c:pt idx="54">
                  <c:v>20.799292705052672</c:v>
                </c:pt>
                <c:pt idx="55">
                  <c:v>20.473534922895134</c:v>
                </c:pt>
                <c:pt idx="56">
                  <c:v>20.807258375605119</c:v>
                </c:pt>
                <c:pt idx="57">
                  <c:v>20.549854252926867</c:v>
                </c:pt>
                <c:pt idx="58">
                  <c:v>21.186243391317348</c:v>
                </c:pt>
                <c:pt idx="59">
                  <c:v>21.521889923292065</c:v>
                </c:pt>
                <c:pt idx="60">
                  <c:v>20.279228190656454</c:v>
                </c:pt>
                <c:pt idx="61">
                  <c:v>17.829345015035717</c:v>
                </c:pt>
                <c:pt idx="62">
                  <c:v>21.744854205632688</c:v>
                </c:pt>
                <c:pt idx="63">
                  <c:v>19.318925175239151</c:v>
                </c:pt>
                <c:pt idx="64">
                  <c:v>21.782981856231771</c:v>
                </c:pt>
                <c:pt idx="65">
                  <c:v>25.517249260687208</c:v>
                </c:pt>
                <c:pt idx="66">
                  <c:v>22.407547467871801</c:v>
                </c:pt>
                <c:pt idx="67">
                  <c:v>25.240194341268783</c:v>
                </c:pt>
                <c:pt idx="68">
                  <c:v>21.735384105135545</c:v>
                </c:pt>
                <c:pt idx="69">
                  <c:v>22.878454022430237</c:v>
                </c:pt>
                <c:pt idx="70">
                  <c:v>23.496523300456825</c:v>
                </c:pt>
                <c:pt idx="71">
                  <c:v>25.353021886729312</c:v>
                </c:pt>
                <c:pt idx="72">
                  <c:v>21.385053191893384</c:v>
                </c:pt>
                <c:pt idx="73">
                  <c:v>24.520669395065273</c:v>
                </c:pt>
                <c:pt idx="74">
                  <c:v>22.143492110943988</c:v>
                </c:pt>
                <c:pt idx="75">
                  <c:v>27.361195869616978</c:v>
                </c:pt>
                <c:pt idx="76">
                  <c:v>21.28387912724676</c:v>
                </c:pt>
                <c:pt idx="77">
                  <c:v>23.971080479412141</c:v>
                </c:pt>
                <c:pt idx="78">
                  <c:v>32.014631133774216</c:v>
                </c:pt>
                <c:pt idx="79">
                  <c:v>26.784616367792349</c:v>
                </c:pt>
                <c:pt idx="80">
                  <c:v>29.686595309417321</c:v>
                </c:pt>
                <c:pt idx="81">
                  <c:v>26.691873413692448</c:v>
                </c:pt>
                <c:pt idx="82">
                  <c:v>25.907478096015939</c:v>
                </c:pt>
                <c:pt idx="83">
                  <c:v>28.947243980046352</c:v>
                </c:pt>
                <c:pt idx="84">
                  <c:v>28.939502779454333</c:v>
                </c:pt>
                <c:pt idx="85">
                  <c:v>29.677275307151469</c:v>
                </c:pt>
                <c:pt idx="86">
                  <c:v>29.689709569722638</c:v>
                </c:pt>
                <c:pt idx="87">
                  <c:v>27.304468847982612</c:v>
                </c:pt>
                <c:pt idx="88">
                  <c:v>30.21201459800545</c:v>
                </c:pt>
                <c:pt idx="89">
                  <c:v>29.753834252444065</c:v>
                </c:pt>
                <c:pt idx="90">
                  <c:v>27.243998237289926</c:v>
                </c:pt>
                <c:pt idx="91">
                  <c:v>28.251271767909337</c:v>
                </c:pt>
                <c:pt idx="92">
                  <c:v>26.866133478520993</c:v>
                </c:pt>
                <c:pt idx="93">
                  <c:v>28.281504672053266</c:v>
                </c:pt>
                <c:pt idx="94">
                  <c:v>32.022317293655284</c:v>
                </c:pt>
                <c:pt idx="95">
                  <c:v>30.680363942141319</c:v>
                </c:pt>
                <c:pt idx="96">
                  <c:v>33.196512454444907</c:v>
                </c:pt>
                <c:pt idx="97">
                  <c:v>29.24915781979745</c:v>
                </c:pt>
                <c:pt idx="98">
                  <c:v>31.312269343212666</c:v>
                </c:pt>
                <c:pt idx="99">
                  <c:v>31.637828143605773</c:v>
                </c:pt>
                <c:pt idx="100">
                  <c:v>35.419936362050173</c:v>
                </c:pt>
                <c:pt idx="101">
                  <c:v>33.839791087572841</c:v>
                </c:pt>
                <c:pt idx="102">
                  <c:v>33.887954138588526</c:v>
                </c:pt>
                <c:pt idx="103">
                  <c:v>33.783282995408179</c:v>
                </c:pt>
                <c:pt idx="104">
                  <c:v>33.908807814037871</c:v>
                </c:pt>
                <c:pt idx="105">
                  <c:v>32.882340676635849</c:v>
                </c:pt>
                <c:pt idx="106">
                  <c:v>32.175745723598638</c:v>
                </c:pt>
                <c:pt idx="107">
                  <c:v>34.241083970372991</c:v>
                </c:pt>
                <c:pt idx="108">
                  <c:v>33.398355248333374</c:v>
                </c:pt>
                <c:pt idx="109">
                  <c:v>33.429176847733871</c:v>
                </c:pt>
                <c:pt idx="110">
                  <c:v>34.433042816849117</c:v>
                </c:pt>
                <c:pt idx="111">
                  <c:v>34.67509949127421</c:v>
                </c:pt>
                <c:pt idx="112">
                  <c:v>34.126635634969197</c:v>
                </c:pt>
                <c:pt idx="113">
                  <c:v>34.646998991055007</c:v>
                </c:pt>
                <c:pt idx="114">
                  <c:v>34.449716399073743</c:v>
                </c:pt>
                <c:pt idx="115">
                  <c:v>36.689953644239317</c:v>
                </c:pt>
                <c:pt idx="116">
                  <c:v>39.838356637609962</c:v>
                </c:pt>
                <c:pt idx="117">
                  <c:v>35.691305403526229</c:v>
                </c:pt>
                <c:pt idx="118">
                  <c:v>36.682587011839026</c:v>
                </c:pt>
                <c:pt idx="119">
                  <c:v>36.967491241811352</c:v>
                </c:pt>
                <c:pt idx="120">
                  <c:v>38.323820528093485</c:v>
                </c:pt>
                <c:pt idx="121">
                  <c:v>38.288920050166418</c:v>
                </c:pt>
                <c:pt idx="122">
                  <c:v>38.606347936475387</c:v>
                </c:pt>
                <c:pt idx="123">
                  <c:v>40.413892347079333</c:v>
                </c:pt>
                <c:pt idx="124">
                  <c:v>40.070017133954174</c:v>
                </c:pt>
                <c:pt idx="125">
                  <c:v>40.470002475715162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3-4619-BAB0-70BB5A40CE71}"/>
            </c:ext>
          </c:extLst>
        </c:ser>
        <c:ser>
          <c:idx val="3"/>
          <c:order val="1"/>
          <c:tx>
            <c:v>Дет.сост.СП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Точечный прогноз СП'!$A$12:$A$137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СП'!$B$12:$B$137</c:f>
              <c:numCache>
                <c:formatCode>General</c:formatCode>
                <c:ptCount val="126"/>
                <c:pt idx="0">
                  <c:v>3.0545255155273479</c:v>
                </c:pt>
                <c:pt idx="1">
                  <c:v>3.3461099155771081</c:v>
                </c:pt>
                <c:pt idx="2">
                  <c:v>3.637694315626868</c:v>
                </c:pt>
                <c:pt idx="3">
                  <c:v>3.9292787156766282</c:v>
                </c:pt>
                <c:pt idx="4">
                  <c:v>4.2208631157263881</c:v>
                </c:pt>
                <c:pt idx="5">
                  <c:v>4.5124475157761479</c:v>
                </c:pt>
                <c:pt idx="6">
                  <c:v>4.8040319158259077</c:v>
                </c:pt>
                <c:pt idx="7">
                  <c:v>5.0956163158756684</c:v>
                </c:pt>
                <c:pt idx="8">
                  <c:v>5.3872007159254274</c:v>
                </c:pt>
                <c:pt idx="9">
                  <c:v>5.6787851159751881</c:v>
                </c:pt>
                <c:pt idx="10">
                  <c:v>5.9703695160249479</c:v>
                </c:pt>
                <c:pt idx="11">
                  <c:v>6.2619539160747077</c:v>
                </c:pt>
                <c:pt idx="12">
                  <c:v>6.5535383161244685</c:v>
                </c:pt>
                <c:pt idx="13">
                  <c:v>6.8451227161742283</c:v>
                </c:pt>
                <c:pt idx="14">
                  <c:v>7.1367071162239881</c:v>
                </c:pt>
                <c:pt idx="15">
                  <c:v>7.428291516273748</c:v>
                </c:pt>
                <c:pt idx="16">
                  <c:v>7.7198759163235078</c:v>
                </c:pt>
                <c:pt idx="17">
                  <c:v>8.0114603163732667</c:v>
                </c:pt>
                <c:pt idx="18">
                  <c:v>8.3030447164230274</c:v>
                </c:pt>
                <c:pt idx="19">
                  <c:v>8.5946291164727882</c:v>
                </c:pt>
                <c:pt idx="20">
                  <c:v>8.8862135165225489</c:v>
                </c:pt>
                <c:pt idx="21">
                  <c:v>9.1777979165723078</c:v>
                </c:pt>
                <c:pt idx="22">
                  <c:v>9.4693823166220668</c:v>
                </c:pt>
                <c:pt idx="23">
                  <c:v>9.7609667166718275</c:v>
                </c:pt>
                <c:pt idx="24">
                  <c:v>10.052551116721588</c:v>
                </c:pt>
                <c:pt idx="25">
                  <c:v>10.344135516771349</c:v>
                </c:pt>
                <c:pt idx="26">
                  <c:v>10.635719916821108</c:v>
                </c:pt>
                <c:pt idx="27">
                  <c:v>10.927304316870869</c:v>
                </c:pt>
                <c:pt idx="28">
                  <c:v>11.218888716920628</c:v>
                </c:pt>
                <c:pt idx="29">
                  <c:v>11.510473116970388</c:v>
                </c:pt>
                <c:pt idx="30">
                  <c:v>11.802057517020147</c:v>
                </c:pt>
                <c:pt idx="31">
                  <c:v>12.093641917069908</c:v>
                </c:pt>
                <c:pt idx="32">
                  <c:v>12.385226317119669</c:v>
                </c:pt>
                <c:pt idx="33">
                  <c:v>12.676810717169428</c:v>
                </c:pt>
                <c:pt idx="34">
                  <c:v>12.968395117219188</c:v>
                </c:pt>
                <c:pt idx="35">
                  <c:v>13.259979517268947</c:v>
                </c:pt>
                <c:pt idx="36">
                  <c:v>13.551563917318708</c:v>
                </c:pt>
                <c:pt idx="37">
                  <c:v>13.843148317368469</c:v>
                </c:pt>
                <c:pt idx="38">
                  <c:v>14.134732717418228</c:v>
                </c:pt>
                <c:pt idx="39">
                  <c:v>14.426317117467988</c:v>
                </c:pt>
                <c:pt idx="40">
                  <c:v>14.717901517517747</c:v>
                </c:pt>
                <c:pt idx="41">
                  <c:v>15.009485917567508</c:v>
                </c:pt>
                <c:pt idx="42">
                  <c:v>15.301070317617269</c:v>
                </c:pt>
                <c:pt idx="43">
                  <c:v>15.592654717667028</c:v>
                </c:pt>
                <c:pt idx="44">
                  <c:v>15.884239117716788</c:v>
                </c:pt>
                <c:pt idx="45">
                  <c:v>16.175823517766545</c:v>
                </c:pt>
                <c:pt idx="46">
                  <c:v>16.46740791781631</c:v>
                </c:pt>
                <c:pt idx="47">
                  <c:v>16.758992317866067</c:v>
                </c:pt>
                <c:pt idx="48">
                  <c:v>17.050576717915828</c:v>
                </c:pt>
                <c:pt idx="49">
                  <c:v>17.342161117965588</c:v>
                </c:pt>
                <c:pt idx="50">
                  <c:v>17.633745518015346</c:v>
                </c:pt>
                <c:pt idx="51">
                  <c:v>17.92532991806511</c:v>
                </c:pt>
                <c:pt idx="52">
                  <c:v>18.216914318114867</c:v>
                </c:pt>
                <c:pt idx="53">
                  <c:v>18.508498718164628</c:v>
                </c:pt>
                <c:pt idx="54">
                  <c:v>18.800083118214388</c:v>
                </c:pt>
                <c:pt idx="55">
                  <c:v>19.091667518264149</c:v>
                </c:pt>
                <c:pt idx="56">
                  <c:v>19.383251918313906</c:v>
                </c:pt>
                <c:pt idx="57">
                  <c:v>19.674836318363667</c:v>
                </c:pt>
                <c:pt idx="58">
                  <c:v>19.966420718413428</c:v>
                </c:pt>
                <c:pt idx="59">
                  <c:v>20.258005118463188</c:v>
                </c:pt>
                <c:pt idx="60">
                  <c:v>20.549589518512949</c:v>
                </c:pt>
                <c:pt idx="61">
                  <c:v>20.841173918562706</c:v>
                </c:pt>
                <c:pt idx="62">
                  <c:v>21.132758318612467</c:v>
                </c:pt>
                <c:pt idx="63">
                  <c:v>21.424342718662228</c:v>
                </c:pt>
                <c:pt idx="64">
                  <c:v>21.715927118711988</c:v>
                </c:pt>
                <c:pt idx="65">
                  <c:v>22.007511518761749</c:v>
                </c:pt>
                <c:pt idx="66">
                  <c:v>22.299095918811506</c:v>
                </c:pt>
                <c:pt idx="67">
                  <c:v>22.590680318861267</c:v>
                </c:pt>
                <c:pt idx="68">
                  <c:v>22.882264718911028</c:v>
                </c:pt>
                <c:pt idx="69">
                  <c:v>23.173849118960788</c:v>
                </c:pt>
                <c:pt idx="70">
                  <c:v>23.465433519010549</c:v>
                </c:pt>
                <c:pt idx="71">
                  <c:v>23.757017919060306</c:v>
                </c:pt>
                <c:pt idx="72">
                  <c:v>24.048602319110067</c:v>
                </c:pt>
                <c:pt idx="73">
                  <c:v>24.340186719159828</c:v>
                </c:pt>
                <c:pt idx="74">
                  <c:v>24.631771119209589</c:v>
                </c:pt>
                <c:pt idx="75">
                  <c:v>24.923355519259349</c:v>
                </c:pt>
                <c:pt idx="76">
                  <c:v>25.214939919309106</c:v>
                </c:pt>
                <c:pt idx="77">
                  <c:v>25.506524319358867</c:v>
                </c:pt>
                <c:pt idx="78">
                  <c:v>25.798108719408628</c:v>
                </c:pt>
                <c:pt idx="79">
                  <c:v>26.089693119458389</c:v>
                </c:pt>
                <c:pt idx="80">
                  <c:v>26.381277519508149</c:v>
                </c:pt>
                <c:pt idx="81">
                  <c:v>26.672861919557906</c:v>
                </c:pt>
                <c:pt idx="82">
                  <c:v>26.964446319607667</c:v>
                </c:pt>
                <c:pt idx="83">
                  <c:v>27.256030719657428</c:v>
                </c:pt>
                <c:pt idx="84">
                  <c:v>27.547615119707189</c:v>
                </c:pt>
                <c:pt idx="85">
                  <c:v>27.839199519756949</c:v>
                </c:pt>
                <c:pt idx="86">
                  <c:v>28.130783919806706</c:v>
                </c:pt>
                <c:pt idx="87">
                  <c:v>28.422368319856467</c:v>
                </c:pt>
                <c:pt idx="88">
                  <c:v>28.713952719906228</c:v>
                </c:pt>
                <c:pt idx="89">
                  <c:v>29.005537119955989</c:v>
                </c:pt>
                <c:pt idx="90">
                  <c:v>29.297121520005749</c:v>
                </c:pt>
                <c:pt idx="91">
                  <c:v>29.588705920055506</c:v>
                </c:pt>
                <c:pt idx="92">
                  <c:v>29.880290320105267</c:v>
                </c:pt>
                <c:pt idx="93">
                  <c:v>30.171874720155028</c:v>
                </c:pt>
                <c:pt idx="94">
                  <c:v>30.463459120204789</c:v>
                </c:pt>
                <c:pt idx="95">
                  <c:v>30.755043520254546</c:v>
                </c:pt>
                <c:pt idx="96">
                  <c:v>31.046627920304307</c:v>
                </c:pt>
                <c:pt idx="97">
                  <c:v>31.338212320354067</c:v>
                </c:pt>
                <c:pt idx="98">
                  <c:v>31.629796720403828</c:v>
                </c:pt>
                <c:pt idx="99">
                  <c:v>31.921381120453589</c:v>
                </c:pt>
                <c:pt idx="100">
                  <c:v>32.212965520503346</c:v>
                </c:pt>
                <c:pt idx="101">
                  <c:v>32.504549920553103</c:v>
                </c:pt>
                <c:pt idx="102">
                  <c:v>32.796134320602867</c:v>
                </c:pt>
                <c:pt idx="103">
                  <c:v>33.087718720652632</c:v>
                </c:pt>
                <c:pt idx="104">
                  <c:v>33.379303120702389</c:v>
                </c:pt>
                <c:pt idx="105">
                  <c:v>33.670887520752146</c:v>
                </c:pt>
                <c:pt idx="106">
                  <c:v>33.962471920801903</c:v>
                </c:pt>
                <c:pt idx="107">
                  <c:v>34.254056320851667</c:v>
                </c:pt>
                <c:pt idx="108">
                  <c:v>34.545640720901432</c:v>
                </c:pt>
                <c:pt idx="109">
                  <c:v>34.837225120951189</c:v>
                </c:pt>
                <c:pt idx="110">
                  <c:v>35.128809521000946</c:v>
                </c:pt>
                <c:pt idx="111">
                  <c:v>35.42039392105071</c:v>
                </c:pt>
                <c:pt idx="112">
                  <c:v>35.711978321100467</c:v>
                </c:pt>
                <c:pt idx="113">
                  <c:v>36.003562721150224</c:v>
                </c:pt>
                <c:pt idx="114">
                  <c:v>36.295147121199989</c:v>
                </c:pt>
                <c:pt idx="115">
                  <c:v>36.586731521249746</c:v>
                </c:pt>
                <c:pt idx="116">
                  <c:v>36.87831592129951</c:v>
                </c:pt>
                <c:pt idx="117">
                  <c:v>37.169900321349267</c:v>
                </c:pt>
                <c:pt idx="118">
                  <c:v>37.461484721399025</c:v>
                </c:pt>
                <c:pt idx="119">
                  <c:v>37.753069121448789</c:v>
                </c:pt>
                <c:pt idx="120">
                  <c:v>38.044653521498546</c:v>
                </c:pt>
                <c:pt idx="121">
                  <c:v>38.33623792154831</c:v>
                </c:pt>
                <c:pt idx="122">
                  <c:v>38.627822321598067</c:v>
                </c:pt>
                <c:pt idx="123">
                  <c:v>38.919406721647825</c:v>
                </c:pt>
                <c:pt idx="124">
                  <c:v>39.210991121697589</c:v>
                </c:pt>
                <c:pt idx="125">
                  <c:v>39.502575521747346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F3-4619-BAB0-70BB5A40CE71}"/>
            </c:ext>
          </c:extLst>
        </c:ser>
        <c:ser>
          <c:idx val="1"/>
          <c:order val="2"/>
          <c:tx>
            <c:v>Прогноз(интер)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Точечный прогноз СП'!$AC$12:$AC$73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'1. Точечный прогноз СП'!$BF$12:$BF$73</c:f>
              <c:numCache>
                <c:formatCode>General</c:formatCode>
                <c:ptCount val="62"/>
                <c:pt idx="0">
                  <c:v>3.1500989835482449</c:v>
                </c:pt>
                <c:pt idx="1">
                  <c:v>3.4382012018456543</c:v>
                </c:pt>
                <c:pt idx="2">
                  <c:v>3.726303420143064</c:v>
                </c:pt>
                <c:pt idx="3">
                  <c:v>4.0144056384404729</c:v>
                </c:pt>
                <c:pt idx="4">
                  <c:v>4.3025078567378827</c:v>
                </c:pt>
                <c:pt idx="5">
                  <c:v>4.5906100750352916</c:v>
                </c:pt>
                <c:pt idx="6">
                  <c:v>4.8787122933327014</c:v>
                </c:pt>
                <c:pt idx="7">
                  <c:v>5.1668145116301112</c:v>
                </c:pt>
                <c:pt idx="8">
                  <c:v>5.4549167299275201</c:v>
                </c:pt>
                <c:pt idx="9">
                  <c:v>5.743018948224929</c:v>
                </c:pt>
                <c:pt idx="10">
                  <c:v>6.0311211665223388</c:v>
                </c:pt>
                <c:pt idx="11">
                  <c:v>6.3192233848197485</c:v>
                </c:pt>
                <c:pt idx="12">
                  <c:v>6.6073256031171574</c:v>
                </c:pt>
                <c:pt idx="13">
                  <c:v>6.8954278214145672</c:v>
                </c:pt>
                <c:pt idx="14">
                  <c:v>7.1835300397119761</c:v>
                </c:pt>
                <c:pt idx="15">
                  <c:v>7.4716322580093859</c:v>
                </c:pt>
                <c:pt idx="16">
                  <c:v>7.7597344763067957</c:v>
                </c:pt>
                <c:pt idx="17">
                  <c:v>8.0478366946042037</c:v>
                </c:pt>
                <c:pt idx="18">
                  <c:v>8.3359389129016144</c:v>
                </c:pt>
                <c:pt idx="19">
                  <c:v>8.6240411311990233</c:v>
                </c:pt>
                <c:pt idx="20">
                  <c:v>8.9121433494964322</c:v>
                </c:pt>
                <c:pt idx="21">
                  <c:v>9.2002455677938428</c:v>
                </c:pt>
                <c:pt idx="22">
                  <c:v>9.4883477860912517</c:v>
                </c:pt>
                <c:pt idx="23">
                  <c:v>9.7764500043886606</c:v>
                </c:pt>
                <c:pt idx="24">
                  <c:v>10.064552222686071</c:v>
                </c:pt>
                <c:pt idx="25">
                  <c:v>10.35265444098348</c:v>
                </c:pt>
                <c:pt idx="26">
                  <c:v>10.640756659280889</c:v>
                </c:pt>
                <c:pt idx="27">
                  <c:v>10.9288588775783</c:v>
                </c:pt>
                <c:pt idx="28">
                  <c:v>11.216961095875707</c:v>
                </c:pt>
                <c:pt idx="29">
                  <c:v>11.505063314173118</c:v>
                </c:pt>
                <c:pt idx="30">
                  <c:v>11.793165532470528</c:v>
                </c:pt>
                <c:pt idx="31">
                  <c:v>12.081267750767935</c:v>
                </c:pt>
                <c:pt idx="32">
                  <c:v>12.369369969065346</c:v>
                </c:pt>
                <c:pt idx="33">
                  <c:v>12.657472187362757</c:v>
                </c:pt>
                <c:pt idx="34">
                  <c:v>12.945574405660164</c:v>
                </c:pt>
                <c:pt idx="35">
                  <c:v>13.233676623957574</c:v>
                </c:pt>
                <c:pt idx="36">
                  <c:v>13.521778842254982</c:v>
                </c:pt>
                <c:pt idx="37">
                  <c:v>13.809881060552392</c:v>
                </c:pt>
                <c:pt idx="38">
                  <c:v>14.097983278849803</c:v>
                </c:pt>
                <c:pt idx="39">
                  <c:v>14.38608549714721</c:v>
                </c:pt>
                <c:pt idx="40">
                  <c:v>14.674187715444621</c:v>
                </c:pt>
                <c:pt idx="41">
                  <c:v>14.962289933742031</c:v>
                </c:pt>
                <c:pt idx="42">
                  <c:v>15.250392152039439</c:v>
                </c:pt>
                <c:pt idx="43">
                  <c:v>15.538494370336849</c:v>
                </c:pt>
                <c:pt idx="44">
                  <c:v>15.82659658863426</c:v>
                </c:pt>
                <c:pt idx="45">
                  <c:v>16.114698806931667</c:v>
                </c:pt>
                <c:pt idx="46">
                  <c:v>16.402801025229078</c:v>
                </c:pt>
                <c:pt idx="47">
                  <c:v>16.690903243526488</c:v>
                </c:pt>
                <c:pt idx="48">
                  <c:v>16.979005461823895</c:v>
                </c:pt>
                <c:pt idx="49">
                  <c:v>17.267107680121306</c:v>
                </c:pt>
                <c:pt idx="50">
                  <c:v>17.555209898418713</c:v>
                </c:pt>
                <c:pt idx="51">
                  <c:v>17.843312116716124</c:v>
                </c:pt>
                <c:pt idx="52">
                  <c:v>18.131414335013535</c:v>
                </c:pt>
                <c:pt idx="53">
                  <c:v>18.419516553310942</c:v>
                </c:pt>
                <c:pt idx="54">
                  <c:v>18.707618771608352</c:v>
                </c:pt>
                <c:pt idx="55">
                  <c:v>18.995720989905763</c:v>
                </c:pt>
                <c:pt idx="56">
                  <c:v>19.283823208203174</c:v>
                </c:pt>
                <c:pt idx="57">
                  <c:v>19.571925426500581</c:v>
                </c:pt>
                <c:pt idx="58">
                  <c:v>19.860027644797992</c:v>
                </c:pt>
                <c:pt idx="59">
                  <c:v>20.148129863095399</c:v>
                </c:pt>
                <c:pt idx="60">
                  <c:v>20.436232081392809</c:v>
                </c:pt>
                <c:pt idx="61">
                  <c:v>20.72433429969022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F3-4619-BAB0-70BB5A40CE71}"/>
            </c:ext>
          </c:extLst>
        </c:ser>
        <c:ser>
          <c:idx val="2"/>
          <c:order val="3"/>
          <c:tx>
            <c:v>Прогноз(экстр)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'1. Точечный прогноз СП'!$AC$75:$AC$137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'1. Точечный прогноз СП'!$BF$75:$BF$137</c:f>
              <c:numCache>
                <c:formatCode>General</c:formatCode>
                <c:ptCount val="63"/>
                <c:pt idx="0">
                  <c:v>21.300538736285038</c:v>
                </c:pt>
                <c:pt idx="1">
                  <c:v>21.588640954582448</c:v>
                </c:pt>
                <c:pt idx="2">
                  <c:v>21.876743172879856</c:v>
                </c:pt>
                <c:pt idx="3">
                  <c:v>22.164845391177266</c:v>
                </c:pt>
                <c:pt idx="4">
                  <c:v>22.452947609474677</c:v>
                </c:pt>
                <c:pt idx="5">
                  <c:v>22.741049827772084</c:v>
                </c:pt>
                <c:pt idx="6">
                  <c:v>23.029152046069495</c:v>
                </c:pt>
                <c:pt idx="7">
                  <c:v>23.317254264366902</c:v>
                </c:pt>
                <c:pt idx="8">
                  <c:v>23.605356482664313</c:v>
                </c:pt>
                <c:pt idx="9">
                  <c:v>23.893458700961723</c:v>
                </c:pt>
                <c:pt idx="10">
                  <c:v>24.18156091925913</c:v>
                </c:pt>
                <c:pt idx="11">
                  <c:v>24.469663137556541</c:v>
                </c:pt>
                <c:pt idx="12">
                  <c:v>24.757765355853952</c:v>
                </c:pt>
                <c:pt idx="13">
                  <c:v>25.045867574151359</c:v>
                </c:pt>
                <c:pt idx="14">
                  <c:v>25.333969792448769</c:v>
                </c:pt>
                <c:pt idx="15">
                  <c:v>25.62207201074618</c:v>
                </c:pt>
                <c:pt idx="16">
                  <c:v>25.910174229043587</c:v>
                </c:pt>
                <c:pt idx="17">
                  <c:v>26.198276447340998</c:v>
                </c:pt>
                <c:pt idx="18">
                  <c:v>26.486378665638409</c:v>
                </c:pt>
                <c:pt idx="19">
                  <c:v>26.774480883935816</c:v>
                </c:pt>
                <c:pt idx="20">
                  <c:v>27.062583102233226</c:v>
                </c:pt>
                <c:pt idx="21">
                  <c:v>27.350685320530634</c:v>
                </c:pt>
                <c:pt idx="22">
                  <c:v>27.638787538828044</c:v>
                </c:pt>
                <c:pt idx="23">
                  <c:v>27.926889757125455</c:v>
                </c:pt>
                <c:pt idx="24">
                  <c:v>28.214991975422862</c:v>
                </c:pt>
                <c:pt idx="25">
                  <c:v>28.503094193720273</c:v>
                </c:pt>
                <c:pt idx="26">
                  <c:v>28.791196412017683</c:v>
                </c:pt>
                <c:pt idx="27">
                  <c:v>29.07929863031509</c:v>
                </c:pt>
                <c:pt idx="28">
                  <c:v>29.367400848612501</c:v>
                </c:pt>
                <c:pt idx="29">
                  <c:v>29.655503066909912</c:v>
                </c:pt>
                <c:pt idx="30">
                  <c:v>29.943605285207319</c:v>
                </c:pt>
                <c:pt idx="31">
                  <c:v>30.23170750350473</c:v>
                </c:pt>
                <c:pt idx="32">
                  <c:v>30.51980972180214</c:v>
                </c:pt>
                <c:pt idx="33">
                  <c:v>30.807911940099547</c:v>
                </c:pt>
                <c:pt idx="34">
                  <c:v>31.096014158396958</c:v>
                </c:pt>
                <c:pt idx="35">
                  <c:v>31.384116376694365</c:v>
                </c:pt>
                <c:pt idx="36">
                  <c:v>31.672218594991776</c:v>
                </c:pt>
                <c:pt idx="37">
                  <c:v>31.960320813289187</c:v>
                </c:pt>
                <c:pt idx="38">
                  <c:v>32.24842303158659</c:v>
                </c:pt>
                <c:pt idx="39">
                  <c:v>32.536525249884001</c:v>
                </c:pt>
                <c:pt idx="40">
                  <c:v>32.824627468181411</c:v>
                </c:pt>
                <c:pt idx="41">
                  <c:v>33.112729686478822</c:v>
                </c:pt>
                <c:pt idx="42">
                  <c:v>33.400831904776233</c:v>
                </c:pt>
                <c:pt idx="43">
                  <c:v>33.688934123073643</c:v>
                </c:pt>
                <c:pt idx="44">
                  <c:v>33.977036341371047</c:v>
                </c:pt>
                <c:pt idx="45">
                  <c:v>34.265138559668458</c:v>
                </c:pt>
                <c:pt idx="46">
                  <c:v>34.553240777965868</c:v>
                </c:pt>
                <c:pt idx="47">
                  <c:v>34.841342996263279</c:v>
                </c:pt>
                <c:pt idx="48">
                  <c:v>35.12944521456069</c:v>
                </c:pt>
                <c:pt idx="49">
                  <c:v>35.4175474328581</c:v>
                </c:pt>
                <c:pt idx="50">
                  <c:v>35.705649651155511</c:v>
                </c:pt>
                <c:pt idx="51">
                  <c:v>35.993751869452915</c:v>
                </c:pt>
                <c:pt idx="52">
                  <c:v>36.281854087750325</c:v>
                </c:pt>
                <c:pt idx="53">
                  <c:v>36.569956306047736</c:v>
                </c:pt>
                <c:pt idx="54">
                  <c:v>36.858058524345147</c:v>
                </c:pt>
                <c:pt idx="55">
                  <c:v>37.146160742642557</c:v>
                </c:pt>
                <c:pt idx="56">
                  <c:v>37.434262960939961</c:v>
                </c:pt>
                <c:pt idx="57">
                  <c:v>37.722365179237372</c:v>
                </c:pt>
                <c:pt idx="58">
                  <c:v>38.010467397534782</c:v>
                </c:pt>
                <c:pt idx="59">
                  <c:v>38.298569615832193</c:v>
                </c:pt>
                <c:pt idx="60">
                  <c:v>38.586671834129604</c:v>
                </c:pt>
                <c:pt idx="61">
                  <c:v>38.874774052427014</c:v>
                </c:pt>
                <c:pt idx="62">
                  <c:v>39.162876270724418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F3-4619-BAB0-70BB5A40CE71}"/>
            </c:ext>
          </c:extLst>
        </c:ser>
        <c:ser>
          <c:idx val="4"/>
          <c:order val="4"/>
          <c:tx>
            <c:v>Ошибка прогноза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Точечный прогноз СП'!$AC$75:$AC$137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'1. Точечный прогноз СП'!$BG$75:$BG$137</c:f>
              <c:numCache>
                <c:formatCode>General</c:formatCode>
                <c:ptCount val="63"/>
                <c:pt idx="0">
                  <c:v>-1.9816135610458865</c:v>
                </c:pt>
                <c:pt idx="1">
                  <c:v>0.19434090164932272</c:v>
                </c:pt>
                <c:pt idx="2">
                  <c:v>3.6405060878073527</c:v>
                </c:pt>
                <c:pt idx="3">
                  <c:v>0.2427020766945347</c:v>
                </c:pt>
                <c:pt idx="4">
                  <c:v>2.7872467317941059</c:v>
                </c:pt>
                <c:pt idx="5">
                  <c:v>-1.0056657226365395</c:v>
                </c:pt>
                <c:pt idx="6">
                  <c:v>-0.15069802363925788</c:v>
                </c:pt>
                <c:pt idx="7">
                  <c:v>0.17926903608992362</c:v>
                </c:pt>
                <c:pt idx="8">
                  <c:v>1.7476654040649997</c:v>
                </c:pt>
                <c:pt idx="9">
                  <c:v>-2.5084055090683393</c:v>
                </c:pt>
                <c:pt idx="10">
                  <c:v>0.33910847580614245</c:v>
                </c:pt>
                <c:pt idx="11">
                  <c:v>-2.3261710266125526</c:v>
                </c:pt>
                <c:pt idx="12">
                  <c:v>2.6034305137630263</c:v>
                </c:pt>
                <c:pt idx="13">
                  <c:v>-3.7619884469045992</c:v>
                </c:pt>
                <c:pt idx="14">
                  <c:v>-1.3628893130366286</c:v>
                </c:pt>
                <c:pt idx="15">
                  <c:v>6.3925591230280361</c:v>
                </c:pt>
                <c:pt idx="16">
                  <c:v>0.87444213874876198</c:v>
                </c:pt>
                <c:pt idx="17">
                  <c:v>3.4883188620763228</c:v>
                </c:pt>
                <c:pt idx="18">
                  <c:v>0.20549474805403989</c:v>
                </c:pt>
                <c:pt idx="19">
                  <c:v>-0.86700278791987628</c:v>
                </c:pt>
                <c:pt idx="20">
                  <c:v>1.8846608778131255</c:v>
                </c:pt>
                <c:pt idx="21">
                  <c:v>1.5888174589236996</c:v>
                </c:pt>
                <c:pt idx="22">
                  <c:v>2.0384877683234244</c:v>
                </c:pt>
                <c:pt idx="23">
                  <c:v>1.7628198125971828</c:v>
                </c:pt>
                <c:pt idx="24">
                  <c:v>-0.91052312744024988</c:v>
                </c:pt>
                <c:pt idx="25">
                  <c:v>1.7089204042851769</c:v>
                </c:pt>
                <c:pt idx="26">
                  <c:v>0.96263784042638179</c:v>
                </c:pt>
                <c:pt idx="27">
                  <c:v>-1.8353003930251646</c:v>
                </c:pt>
                <c:pt idx="28">
                  <c:v>-1.1161290807031641</c:v>
                </c:pt>
                <c:pt idx="29">
                  <c:v>-2.7893695883889187</c:v>
                </c:pt>
                <c:pt idx="30">
                  <c:v>-1.6621006131540526</c:v>
                </c:pt>
                <c:pt idx="31">
                  <c:v>1.7906097901505547</c:v>
                </c:pt>
                <c:pt idx="32">
                  <c:v>0.16055422033917921</c:v>
                </c:pt>
                <c:pt idx="33">
                  <c:v>2.3886005143453595</c:v>
                </c:pt>
                <c:pt idx="34">
                  <c:v>-1.8468563385995083</c:v>
                </c:pt>
                <c:pt idx="35">
                  <c:v>-7.1847033481699185E-2</c:v>
                </c:pt>
                <c:pt idx="36">
                  <c:v>-3.4390451386002496E-2</c:v>
                </c:pt>
                <c:pt idx="37">
                  <c:v>3.4596155487609863</c:v>
                </c:pt>
                <c:pt idx="38">
                  <c:v>1.5913680559862513</c:v>
                </c:pt>
                <c:pt idx="39">
                  <c:v>1.3514288887045254</c:v>
                </c:pt>
                <c:pt idx="40">
                  <c:v>0.95865552722676739</c:v>
                </c:pt>
                <c:pt idx="41">
                  <c:v>0.79607812755904916</c:v>
                </c:pt>
                <c:pt idx="42">
                  <c:v>-0.51849122814038395</c:v>
                </c:pt>
                <c:pt idx="43">
                  <c:v>-1.5131883994750055</c:v>
                </c:pt>
                <c:pt idx="44">
                  <c:v>0.26404762900194356</c:v>
                </c:pt>
                <c:pt idx="45">
                  <c:v>-0.86678331133508379</c:v>
                </c:pt>
                <c:pt idx="46">
                  <c:v>-1.1240639302319977</c:v>
                </c:pt>
                <c:pt idx="47">
                  <c:v>-0.4083001794141623</c:v>
                </c:pt>
                <c:pt idx="48">
                  <c:v>-0.4543457232864796</c:v>
                </c:pt>
                <c:pt idx="49">
                  <c:v>-1.2909117978889029</c:v>
                </c:pt>
                <c:pt idx="50">
                  <c:v>-1.0586506601005041</c:v>
                </c:pt>
                <c:pt idx="51">
                  <c:v>-1.5440354703791712</c:v>
                </c:pt>
                <c:pt idx="52">
                  <c:v>0.40809955648899177</c:v>
                </c:pt>
                <c:pt idx="53">
                  <c:v>3.2684003315622263</c:v>
                </c:pt>
                <c:pt idx="54">
                  <c:v>-1.1667531208189175</c:v>
                </c:pt>
                <c:pt idx="55">
                  <c:v>-0.4635737308035317</c:v>
                </c:pt>
                <c:pt idx="56">
                  <c:v>-0.46677171912860871</c:v>
                </c:pt>
                <c:pt idx="57">
                  <c:v>0.6014553488561134</c:v>
                </c:pt>
                <c:pt idx="58">
                  <c:v>0.27845265263163554</c:v>
                </c:pt>
                <c:pt idx="59">
                  <c:v>0.30777832064319455</c:v>
                </c:pt>
                <c:pt idx="60">
                  <c:v>1.8272205129497294</c:v>
                </c:pt>
                <c:pt idx="61">
                  <c:v>1.1952430815271597</c:v>
                </c:pt>
                <c:pt idx="62">
                  <c:v>1.3071262049907446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F3-4619-BAB0-70BB5A40C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50800"/>
        <c:axId val="565047440"/>
      </c:scatterChart>
      <c:valAx>
        <c:axId val="56505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47440"/>
        <c:crosses val="autoZero"/>
        <c:crossBetween val="midCat"/>
      </c:valAx>
      <c:valAx>
        <c:axId val="5650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5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05951297424117E-2"/>
          <c:y val="2.4420897044927239E-2"/>
          <c:w val="0.77208693407772722"/>
          <c:h val="0.93056677472860194"/>
        </c:manualLayout>
      </c:layout>
      <c:scatterChart>
        <c:scatterStyle val="lineMarker"/>
        <c:varyColors val="0"/>
        <c:ser>
          <c:idx val="0"/>
          <c:order val="0"/>
          <c:tx>
            <c:v>Оц. Мат.ож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СП'!$BC$12:$BC$137</c:f>
              <c:numCache>
                <c:formatCode>General</c:formatCode>
                <c:ptCount val="126"/>
                <c:pt idx="0">
                  <c:v>1.9076786399845755</c:v>
                </c:pt>
                <c:pt idx="1">
                  <c:v>5.5152589805976051</c:v>
                </c:pt>
                <c:pt idx="2">
                  <c:v>6.1259395856597507</c:v>
                </c:pt>
                <c:pt idx="3">
                  <c:v>4.9783184545804815</c:v>
                </c:pt>
                <c:pt idx="4">
                  <c:v>5.4181486491771249</c:v>
                </c:pt>
                <c:pt idx="5">
                  <c:v>5.5215749253789159</c:v>
                </c:pt>
                <c:pt idx="6">
                  <c:v>5.0209181448301505</c:v>
                </c:pt>
                <c:pt idx="7">
                  <c:v>5.5855798004699144</c:v>
                </c:pt>
                <c:pt idx="8">
                  <c:v>3.1088409916085573</c:v>
                </c:pt>
                <c:pt idx="9">
                  <c:v>6.2329187191921394</c:v>
                </c:pt>
                <c:pt idx="10">
                  <c:v>5.5821942795299151</c:v>
                </c:pt>
                <c:pt idx="11">
                  <c:v>6.8362629824548442</c:v>
                </c:pt>
                <c:pt idx="12">
                  <c:v>8.1637798179989325</c:v>
                </c:pt>
                <c:pt idx="13">
                  <c:v>6.4890325389905499</c:v>
                </c:pt>
                <c:pt idx="14">
                  <c:v>7.340098052142487</c:v>
                </c:pt>
                <c:pt idx="15">
                  <c:v>6.2923420898977112</c:v>
                </c:pt>
                <c:pt idx="16">
                  <c:v>7.6871329614742239</c:v>
                </c:pt>
                <c:pt idx="17">
                  <c:v>9.029494619412624</c:v>
                </c:pt>
                <c:pt idx="18">
                  <c:v>5.0141574458457416</c:v>
                </c:pt>
                <c:pt idx="19">
                  <c:v>9.9008554033581806</c:v>
                </c:pt>
                <c:pt idx="20">
                  <c:v>7.2759382764153706</c:v>
                </c:pt>
                <c:pt idx="21">
                  <c:v>7.6574688048816055</c:v>
                </c:pt>
                <c:pt idx="22">
                  <c:v>7.7923728522058902</c:v>
                </c:pt>
                <c:pt idx="23">
                  <c:v>9.8732644242615617</c:v>
                </c:pt>
                <c:pt idx="24">
                  <c:v>8.6055014464864694</c:v>
                </c:pt>
                <c:pt idx="25">
                  <c:v>9.1867285743889813</c:v>
                </c:pt>
                <c:pt idx="26">
                  <c:v>11.680643591333808</c:v>
                </c:pt>
                <c:pt idx="27">
                  <c:v>14.017642087924163</c:v>
                </c:pt>
                <c:pt idx="28">
                  <c:v>13.342086308984172</c:v>
                </c:pt>
                <c:pt idx="29">
                  <c:v>12.541968974862773</c:v>
                </c:pt>
                <c:pt idx="30">
                  <c:v>14.086625076156459</c:v>
                </c:pt>
                <c:pt idx="31">
                  <c:v>10.477698653866721</c:v>
                </c:pt>
                <c:pt idx="32">
                  <c:v>10.164727661907921</c:v>
                </c:pt>
                <c:pt idx="33">
                  <c:v>12.762185315053104</c:v>
                </c:pt>
                <c:pt idx="34">
                  <c:v>11.117026466135218</c:v>
                </c:pt>
                <c:pt idx="35">
                  <c:v>11.078650950238567</c:v>
                </c:pt>
                <c:pt idx="36">
                  <c:v>12.781843007057013</c:v>
                </c:pt>
                <c:pt idx="37">
                  <c:v>13.082233085845223</c:v>
                </c:pt>
                <c:pt idx="38">
                  <c:v>11.475670775152558</c:v>
                </c:pt>
                <c:pt idx="39">
                  <c:v>11.906695291010751</c:v>
                </c:pt>
                <c:pt idx="40">
                  <c:v>13.963329073744799</c:v>
                </c:pt>
                <c:pt idx="41">
                  <c:v>17.763824629018526</c:v>
                </c:pt>
                <c:pt idx="42">
                  <c:v>15.177504040300937</c:v>
                </c:pt>
                <c:pt idx="43">
                  <c:v>15.430120781565615</c:v>
                </c:pt>
                <c:pt idx="44">
                  <c:v>17.44613373211158</c:v>
                </c:pt>
                <c:pt idx="45">
                  <c:v>15.385657238479956</c:v>
                </c:pt>
                <c:pt idx="46">
                  <c:v>14.185202034970004</c:v>
                </c:pt>
                <c:pt idx="47">
                  <c:v>16.907153766831168</c:v>
                </c:pt>
                <c:pt idx="48">
                  <c:v>17.157037711245984</c:v>
                </c:pt>
                <c:pt idx="49">
                  <c:v>20.339381366727256</c:v>
                </c:pt>
                <c:pt idx="50">
                  <c:v>17.352014405734106</c:v>
                </c:pt>
                <c:pt idx="51">
                  <c:v>16.475682403910984</c:v>
                </c:pt>
                <c:pt idx="52">
                  <c:v>17.065242875293947</c:v>
                </c:pt>
                <c:pt idx="53">
                  <c:v>18.62258455208822</c:v>
                </c:pt>
                <c:pt idx="54">
                  <c:v>20.799292705052672</c:v>
                </c:pt>
                <c:pt idx="55">
                  <c:v>20.473534922895134</c:v>
                </c:pt>
                <c:pt idx="56">
                  <c:v>20.807258375605119</c:v>
                </c:pt>
                <c:pt idx="57">
                  <c:v>20.549854252926867</c:v>
                </c:pt>
                <c:pt idx="58">
                  <c:v>21.186243391317348</c:v>
                </c:pt>
                <c:pt idx="59">
                  <c:v>21.521889923292065</c:v>
                </c:pt>
                <c:pt idx="60">
                  <c:v>20.279228190656454</c:v>
                </c:pt>
                <c:pt idx="61">
                  <c:v>17.829345015035717</c:v>
                </c:pt>
                <c:pt idx="62">
                  <c:v>21.744854205632688</c:v>
                </c:pt>
                <c:pt idx="63">
                  <c:v>19.318925175239151</c:v>
                </c:pt>
                <c:pt idx="64">
                  <c:v>21.782981856231771</c:v>
                </c:pt>
                <c:pt idx="65">
                  <c:v>25.517249260687208</c:v>
                </c:pt>
                <c:pt idx="66">
                  <c:v>22.407547467871801</c:v>
                </c:pt>
                <c:pt idx="67">
                  <c:v>25.240194341268783</c:v>
                </c:pt>
                <c:pt idx="68">
                  <c:v>21.735384105135545</c:v>
                </c:pt>
                <c:pt idx="69">
                  <c:v>22.878454022430237</c:v>
                </c:pt>
                <c:pt idx="70">
                  <c:v>23.496523300456825</c:v>
                </c:pt>
                <c:pt idx="71">
                  <c:v>25.353021886729312</c:v>
                </c:pt>
                <c:pt idx="72">
                  <c:v>21.385053191893384</c:v>
                </c:pt>
                <c:pt idx="73">
                  <c:v>24.520669395065273</c:v>
                </c:pt>
                <c:pt idx="74">
                  <c:v>22.143492110943988</c:v>
                </c:pt>
                <c:pt idx="75">
                  <c:v>27.361195869616978</c:v>
                </c:pt>
                <c:pt idx="76">
                  <c:v>21.28387912724676</c:v>
                </c:pt>
                <c:pt idx="77">
                  <c:v>23.971080479412141</c:v>
                </c:pt>
                <c:pt idx="78">
                  <c:v>32.014631133774216</c:v>
                </c:pt>
                <c:pt idx="79">
                  <c:v>26.784616367792349</c:v>
                </c:pt>
                <c:pt idx="80">
                  <c:v>29.686595309417321</c:v>
                </c:pt>
                <c:pt idx="81">
                  <c:v>26.691873413692448</c:v>
                </c:pt>
                <c:pt idx="82">
                  <c:v>25.907478096015939</c:v>
                </c:pt>
                <c:pt idx="83">
                  <c:v>28.947243980046352</c:v>
                </c:pt>
                <c:pt idx="84">
                  <c:v>28.939502779454333</c:v>
                </c:pt>
                <c:pt idx="85">
                  <c:v>29.677275307151469</c:v>
                </c:pt>
                <c:pt idx="86">
                  <c:v>29.689709569722638</c:v>
                </c:pt>
                <c:pt idx="87">
                  <c:v>27.304468847982612</c:v>
                </c:pt>
                <c:pt idx="88">
                  <c:v>30.21201459800545</c:v>
                </c:pt>
                <c:pt idx="89">
                  <c:v>29.753834252444065</c:v>
                </c:pt>
                <c:pt idx="90">
                  <c:v>27.243998237289926</c:v>
                </c:pt>
                <c:pt idx="91">
                  <c:v>28.251271767909337</c:v>
                </c:pt>
                <c:pt idx="92">
                  <c:v>26.866133478520993</c:v>
                </c:pt>
                <c:pt idx="93">
                  <c:v>28.281504672053266</c:v>
                </c:pt>
                <c:pt idx="94">
                  <c:v>32.022317293655284</c:v>
                </c:pt>
                <c:pt idx="95">
                  <c:v>30.680363942141319</c:v>
                </c:pt>
                <c:pt idx="96">
                  <c:v>33.196512454444907</c:v>
                </c:pt>
                <c:pt idx="97">
                  <c:v>29.24915781979745</c:v>
                </c:pt>
                <c:pt idx="98">
                  <c:v>31.312269343212666</c:v>
                </c:pt>
                <c:pt idx="99">
                  <c:v>31.637828143605773</c:v>
                </c:pt>
                <c:pt idx="100">
                  <c:v>35.419936362050173</c:v>
                </c:pt>
                <c:pt idx="101">
                  <c:v>33.839791087572841</c:v>
                </c:pt>
                <c:pt idx="102">
                  <c:v>33.887954138588526</c:v>
                </c:pt>
                <c:pt idx="103">
                  <c:v>33.783282995408179</c:v>
                </c:pt>
                <c:pt idx="104">
                  <c:v>33.908807814037871</c:v>
                </c:pt>
                <c:pt idx="105">
                  <c:v>32.882340676635849</c:v>
                </c:pt>
                <c:pt idx="106">
                  <c:v>32.175745723598638</c:v>
                </c:pt>
                <c:pt idx="107">
                  <c:v>34.241083970372991</c:v>
                </c:pt>
                <c:pt idx="108">
                  <c:v>33.398355248333374</c:v>
                </c:pt>
                <c:pt idx="109">
                  <c:v>33.429176847733871</c:v>
                </c:pt>
                <c:pt idx="110">
                  <c:v>34.433042816849117</c:v>
                </c:pt>
                <c:pt idx="111">
                  <c:v>34.67509949127421</c:v>
                </c:pt>
                <c:pt idx="112">
                  <c:v>34.126635634969197</c:v>
                </c:pt>
                <c:pt idx="113">
                  <c:v>34.646998991055007</c:v>
                </c:pt>
                <c:pt idx="114">
                  <c:v>34.449716399073743</c:v>
                </c:pt>
                <c:pt idx="115">
                  <c:v>36.689953644239317</c:v>
                </c:pt>
                <c:pt idx="116">
                  <c:v>39.838356637609962</c:v>
                </c:pt>
                <c:pt idx="117">
                  <c:v>35.691305403526229</c:v>
                </c:pt>
                <c:pt idx="118">
                  <c:v>36.682587011839026</c:v>
                </c:pt>
                <c:pt idx="119">
                  <c:v>36.967491241811352</c:v>
                </c:pt>
                <c:pt idx="120">
                  <c:v>38.323820528093485</c:v>
                </c:pt>
                <c:pt idx="121">
                  <c:v>38.288920050166418</c:v>
                </c:pt>
                <c:pt idx="122">
                  <c:v>38.606347936475387</c:v>
                </c:pt>
                <c:pt idx="123">
                  <c:v>40.413892347079333</c:v>
                </c:pt>
                <c:pt idx="124">
                  <c:v>40.070017133954174</c:v>
                </c:pt>
                <c:pt idx="125">
                  <c:v>40.470002475715162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5-44A7-ACA2-219BF6AC07D4}"/>
            </c:ext>
          </c:extLst>
        </c:ser>
        <c:ser>
          <c:idx val="1"/>
          <c:order val="1"/>
          <c:tx>
            <c:v>Оц.Дисп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СП'!$BD$12:$BD$137</c:f>
              <c:numCache>
                <c:formatCode>General</c:formatCode>
                <c:ptCount val="126"/>
                <c:pt idx="0">
                  <c:v>61.170602488650673</c:v>
                </c:pt>
                <c:pt idx="1">
                  <c:v>85.421634676577966</c:v>
                </c:pt>
                <c:pt idx="2">
                  <c:v>63.002193765707467</c:v>
                </c:pt>
                <c:pt idx="3">
                  <c:v>81.179940820967104</c:v>
                </c:pt>
                <c:pt idx="4">
                  <c:v>50.694641947785875</c:v>
                </c:pt>
                <c:pt idx="5">
                  <c:v>54.895097937143312</c:v>
                </c:pt>
                <c:pt idx="6">
                  <c:v>97.260041637784454</c:v>
                </c:pt>
                <c:pt idx="7">
                  <c:v>79.739698580169986</c:v>
                </c:pt>
                <c:pt idx="8">
                  <c:v>58.548030292310671</c:v>
                </c:pt>
                <c:pt idx="9">
                  <c:v>71.634938767563099</c:v>
                </c:pt>
                <c:pt idx="10">
                  <c:v>64.967376624350024</c:v>
                </c:pt>
                <c:pt idx="11">
                  <c:v>68.647993259284547</c:v>
                </c:pt>
                <c:pt idx="12">
                  <c:v>62.320101512553499</c:v>
                </c:pt>
                <c:pt idx="13">
                  <c:v>69.0764572495046</c:v>
                </c:pt>
                <c:pt idx="14">
                  <c:v>52.319921541585252</c:v>
                </c:pt>
                <c:pt idx="15">
                  <c:v>49.57142853507667</c:v>
                </c:pt>
                <c:pt idx="16">
                  <c:v>73.027444364978848</c:v>
                </c:pt>
                <c:pt idx="17">
                  <c:v>52.472467299712747</c:v>
                </c:pt>
                <c:pt idx="18">
                  <c:v>54.051525965889738</c:v>
                </c:pt>
                <c:pt idx="19">
                  <c:v>68.633935270522969</c:v>
                </c:pt>
                <c:pt idx="20">
                  <c:v>62.848109569139069</c:v>
                </c:pt>
                <c:pt idx="21">
                  <c:v>46.220971137373198</c:v>
                </c:pt>
                <c:pt idx="22">
                  <c:v>78.256696788565677</c:v>
                </c:pt>
                <c:pt idx="23">
                  <c:v>62.538616717782169</c:v>
                </c:pt>
                <c:pt idx="24">
                  <c:v>62.421380617645866</c:v>
                </c:pt>
                <c:pt idx="25">
                  <c:v>57.635598594827002</c:v>
                </c:pt>
                <c:pt idx="26">
                  <c:v>67.61353432656729</c:v>
                </c:pt>
                <c:pt idx="27">
                  <c:v>44.197634886401453</c:v>
                </c:pt>
                <c:pt idx="28">
                  <c:v>52.312709805335508</c:v>
                </c:pt>
                <c:pt idx="29">
                  <c:v>51.581769529671909</c:v>
                </c:pt>
                <c:pt idx="30">
                  <c:v>67.534479873001786</c:v>
                </c:pt>
                <c:pt idx="31">
                  <c:v>73.515687744890258</c:v>
                </c:pt>
                <c:pt idx="32">
                  <c:v>67.984296513453558</c:v>
                </c:pt>
                <c:pt idx="33">
                  <c:v>67.753387171362235</c:v>
                </c:pt>
                <c:pt idx="34">
                  <c:v>47.575456824293347</c:v>
                </c:pt>
                <c:pt idx="35">
                  <c:v>63.308282284093082</c:v>
                </c:pt>
                <c:pt idx="36">
                  <c:v>50.381189459244808</c:v>
                </c:pt>
                <c:pt idx="37">
                  <c:v>78.658910525052647</c:v>
                </c:pt>
                <c:pt idx="38">
                  <c:v>51.874231090690614</c:v>
                </c:pt>
                <c:pt idx="39">
                  <c:v>65.797265652033857</c:v>
                </c:pt>
                <c:pt idx="40">
                  <c:v>46.965690988475103</c:v>
                </c:pt>
                <c:pt idx="41">
                  <c:v>79.14316827257646</c:v>
                </c:pt>
                <c:pt idx="42">
                  <c:v>81.093686978992011</c:v>
                </c:pt>
                <c:pt idx="43">
                  <c:v>75.544211186687832</c:v>
                </c:pt>
                <c:pt idx="44">
                  <c:v>68.632310323687605</c:v>
                </c:pt>
                <c:pt idx="45">
                  <c:v>64.277014156839343</c:v>
                </c:pt>
                <c:pt idx="46">
                  <c:v>89.770732049806725</c:v>
                </c:pt>
                <c:pt idx="47">
                  <c:v>69.471208472625335</c:v>
                </c:pt>
                <c:pt idx="48">
                  <c:v>89.1770030988705</c:v>
                </c:pt>
                <c:pt idx="49">
                  <c:v>70.220356899013794</c:v>
                </c:pt>
                <c:pt idx="50">
                  <c:v>64.732219371501671</c:v>
                </c:pt>
                <c:pt idx="51">
                  <c:v>63.113512611043085</c:v>
                </c:pt>
                <c:pt idx="52">
                  <c:v>65.117421106555824</c:v>
                </c:pt>
                <c:pt idx="53">
                  <c:v>62.16741320528687</c:v>
                </c:pt>
                <c:pt idx="54">
                  <c:v>44.648185228544207</c:v>
                </c:pt>
                <c:pt idx="55">
                  <c:v>64.91067676038567</c:v>
                </c:pt>
                <c:pt idx="56">
                  <c:v>56.749851077941308</c:v>
                </c:pt>
                <c:pt idx="57">
                  <c:v>89.686655067788863</c:v>
                </c:pt>
                <c:pt idx="58">
                  <c:v>79.006456614454009</c:v>
                </c:pt>
                <c:pt idx="59">
                  <c:v>71.863852319734704</c:v>
                </c:pt>
                <c:pt idx="60">
                  <c:v>64.077984187249442</c:v>
                </c:pt>
                <c:pt idx="61">
                  <c:v>36.368488292655343</c:v>
                </c:pt>
                <c:pt idx="62">
                  <c:v>87.032015632499522</c:v>
                </c:pt>
                <c:pt idx="63">
                  <c:v>57.311281232946989</c:v>
                </c:pt>
                <c:pt idx="64">
                  <c:v>61.728044986099576</c:v>
                </c:pt>
                <c:pt idx="65">
                  <c:v>61.517628901638318</c:v>
                </c:pt>
                <c:pt idx="66">
                  <c:v>58.605130836218677</c:v>
                </c:pt>
                <c:pt idx="67">
                  <c:v>54.697296087957362</c:v>
                </c:pt>
                <c:pt idx="68">
                  <c:v>66.659655219484264</c:v>
                </c:pt>
                <c:pt idx="69">
                  <c:v>71.760633911289233</c:v>
                </c:pt>
                <c:pt idx="70">
                  <c:v>75.675430636010404</c:v>
                </c:pt>
                <c:pt idx="71">
                  <c:v>46.95071595381993</c:v>
                </c:pt>
                <c:pt idx="72">
                  <c:v>56.211407524179627</c:v>
                </c:pt>
                <c:pt idx="73">
                  <c:v>42.394311152041006</c:v>
                </c:pt>
                <c:pt idx="74">
                  <c:v>54.320491839889577</c:v>
                </c:pt>
                <c:pt idx="75">
                  <c:v>69.700433504816218</c:v>
                </c:pt>
                <c:pt idx="76">
                  <c:v>46.895704995514883</c:v>
                </c:pt>
                <c:pt idx="77">
                  <c:v>68.08048461139515</c:v>
                </c:pt>
                <c:pt idx="78">
                  <c:v>44.299640152157281</c:v>
                </c:pt>
                <c:pt idx="79">
                  <c:v>76.86423419160792</c:v>
                </c:pt>
                <c:pt idx="80">
                  <c:v>65.19260927991354</c:v>
                </c:pt>
                <c:pt idx="81">
                  <c:v>81.513411721897839</c:v>
                </c:pt>
                <c:pt idx="82">
                  <c:v>50.092820672493112</c:v>
                </c:pt>
                <c:pt idx="83">
                  <c:v>60.75740722529023</c:v>
                </c:pt>
                <c:pt idx="84">
                  <c:v>78.321352341999656</c:v>
                </c:pt>
                <c:pt idx="85">
                  <c:v>42.500462880386749</c:v>
                </c:pt>
                <c:pt idx="86">
                  <c:v>48.369888875976663</c:v>
                </c:pt>
                <c:pt idx="87">
                  <c:v>69.699685171633817</c:v>
                </c:pt>
                <c:pt idx="88">
                  <c:v>54.118283981588171</c:v>
                </c:pt>
                <c:pt idx="89">
                  <c:v>67.420917140303118</c:v>
                </c:pt>
                <c:pt idx="90">
                  <c:v>74.242415517056543</c:v>
                </c:pt>
                <c:pt idx="91">
                  <c:v>45.175650741378981</c:v>
                </c:pt>
                <c:pt idx="92">
                  <c:v>61.220146265830259</c:v>
                </c:pt>
                <c:pt idx="93">
                  <c:v>69.713241010942667</c:v>
                </c:pt>
                <c:pt idx="94">
                  <c:v>38.671853378114669</c:v>
                </c:pt>
                <c:pt idx="95">
                  <c:v>57.561139420689564</c:v>
                </c:pt>
                <c:pt idx="96">
                  <c:v>71.719865732497965</c:v>
                </c:pt>
                <c:pt idx="97">
                  <c:v>65.51331235522548</c:v>
                </c:pt>
                <c:pt idx="98">
                  <c:v>81.184680179082534</c:v>
                </c:pt>
                <c:pt idx="99">
                  <c:v>56.616415775856844</c:v>
                </c:pt>
                <c:pt idx="100">
                  <c:v>80.023661478746064</c:v>
                </c:pt>
                <c:pt idx="101">
                  <c:v>72.520505017585791</c:v>
                </c:pt>
                <c:pt idx="102">
                  <c:v>89.172816818230174</c:v>
                </c:pt>
                <c:pt idx="103">
                  <c:v>40.540320807546472</c:v>
                </c:pt>
                <c:pt idx="104">
                  <c:v>58.347994807291194</c:v>
                </c:pt>
                <c:pt idx="105">
                  <c:v>63.248904828811341</c:v>
                </c:pt>
                <c:pt idx="106">
                  <c:v>51.830042965680754</c:v>
                </c:pt>
                <c:pt idx="107">
                  <c:v>78.576213814346076</c:v>
                </c:pt>
                <c:pt idx="108">
                  <c:v>63.682289031388336</c:v>
                </c:pt>
                <c:pt idx="109">
                  <c:v>56.291217406133001</c:v>
                </c:pt>
                <c:pt idx="110">
                  <c:v>59.312857722527191</c:v>
                </c:pt>
                <c:pt idx="111">
                  <c:v>51.713891374425657</c:v>
                </c:pt>
                <c:pt idx="112">
                  <c:v>57.170105912415998</c:v>
                </c:pt>
                <c:pt idx="113">
                  <c:v>53.093750499857379</c:v>
                </c:pt>
                <c:pt idx="114">
                  <c:v>46.104536309382944</c:v>
                </c:pt>
                <c:pt idx="115">
                  <c:v>60.887916290823341</c:v>
                </c:pt>
                <c:pt idx="116">
                  <c:v>66.085561020476845</c:v>
                </c:pt>
                <c:pt idx="117">
                  <c:v>59.071655643452686</c:v>
                </c:pt>
                <c:pt idx="118">
                  <c:v>74.228322969994224</c:v>
                </c:pt>
                <c:pt idx="119">
                  <c:v>74.387270041021111</c:v>
                </c:pt>
                <c:pt idx="120">
                  <c:v>68.220237950195042</c:v>
                </c:pt>
                <c:pt idx="121">
                  <c:v>63.832740389986611</c:v>
                </c:pt>
                <c:pt idx="122">
                  <c:v>68.886313124334563</c:v>
                </c:pt>
                <c:pt idx="123">
                  <c:v>54.869097158631426</c:v>
                </c:pt>
                <c:pt idx="124">
                  <c:v>56.436037163115238</c:v>
                </c:pt>
                <c:pt idx="125">
                  <c:v>71.901084285310091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5-44A7-ACA2-219BF6AC07D4}"/>
            </c:ext>
          </c:extLst>
        </c:ser>
        <c:ser>
          <c:idx val="2"/>
          <c:order val="2"/>
          <c:tx>
            <c:v>Оц.СКО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СП'!$BE$12:$BE$137</c:f>
              <c:numCache>
                <c:formatCode>General</c:formatCode>
                <c:ptCount val="126"/>
                <c:pt idx="0">
                  <c:v>7.8211637553915638</c:v>
                </c:pt>
                <c:pt idx="1">
                  <c:v>9.2423825216541413</c:v>
                </c:pt>
                <c:pt idx="2">
                  <c:v>7.9373921262406748</c:v>
                </c:pt>
                <c:pt idx="3">
                  <c:v>9.0099911665310248</c:v>
                </c:pt>
                <c:pt idx="4">
                  <c:v>7.1200169906950279</c:v>
                </c:pt>
                <c:pt idx="5">
                  <c:v>7.4091226158799204</c:v>
                </c:pt>
                <c:pt idx="6">
                  <c:v>9.8620505797620233</c:v>
                </c:pt>
                <c:pt idx="7">
                  <c:v>8.9297087623376594</c:v>
                </c:pt>
                <c:pt idx="8">
                  <c:v>7.6516684646102293</c:v>
                </c:pt>
                <c:pt idx="9">
                  <c:v>8.4637425981396142</c:v>
                </c:pt>
                <c:pt idx="10">
                  <c:v>8.0602342785027048</c:v>
                </c:pt>
                <c:pt idx="11">
                  <c:v>8.285408454583548</c:v>
                </c:pt>
                <c:pt idx="12">
                  <c:v>7.8943081718763359</c:v>
                </c:pt>
                <c:pt idx="13">
                  <c:v>8.3112247743340806</c:v>
                </c:pt>
                <c:pt idx="14">
                  <c:v>7.2332511045577048</c:v>
                </c:pt>
                <c:pt idx="15">
                  <c:v>7.0406980147622207</c:v>
                </c:pt>
                <c:pt idx="16">
                  <c:v>8.545609654376852</c:v>
                </c:pt>
                <c:pt idx="17">
                  <c:v>7.243788187109887</c:v>
                </c:pt>
                <c:pt idx="18">
                  <c:v>7.3519742903447192</c:v>
                </c:pt>
                <c:pt idx="19">
                  <c:v>8.2845600529251389</c:v>
                </c:pt>
                <c:pt idx="20">
                  <c:v>7.9276799613215383</c:v>
                </c:pt>
                <c:pt idx="21">
                  <c:v>6.7986006749457788</c:v>
                </c:pt>
                <c:pt idx="22">
                  <c:v>8.8462815232483791</c:v>
                </c:pt>
                <c:pt idx="23">
                  <c:v>7.9081361089565325</c:v>
                </c:pt>
                <c:pt idx="24">
                  <c:v>7.9007202594222932</c:v>
                </c:pt>
                <c:pt idx="25">
                  <c:v>7.5918112855119757</c:v>
                </c:pt>
                <c:pt idx="26">
                  <c:v>8.2227449386787672</c:v>
                </c:pt>
                <c:pt idx="27">
                  <c:v>6.6481301797122967</c:v>
                </c:pt>
                <c:pt idx="28">
                  <c:v>7.2327525745967218</c:v>
                </c:pt>
                <c:pt idx="29">
                  <c:v>7.1820449406608358</c:v>
                </c:pt>
                <c:pt idx="30">
                  <c:v>8.217936472923224</c:v>
                </c:pt>
                <c:pt idx="31">
                  <c:v>8.5741289787878898</c:v>
                </c:pt>
                <c:pt idx="32">
                  <c:v>8.2452590325261195</c:v>
                </c:pt>
                <c:pt idx="33">
                  <c:v>8.2312445700126204</c:v>
                </c:pt>
                <c:pt idx="34">
                  <c:v>6.8974964171279822</c:v>
                </c:pt>
                <c:pt idx="35">
                  <c:v>7.9566501923920896</c:v>
                </c:pt>
                <c:pt idx="36">
                  <c:v>7.0979707987033036</c:v>
                </c:pt>
                <c:pt idx="37">
                  <c:v>8.8689858791776555</c:v>
                </c:pt>
                <c:pt idx="38">
                  <c:v>7.2023767667826579</c:v>
                </c:pt>
                <c:pt idx="39">
                  <c:v>8.1115513714722827</c:v>
                </c:pt>
                <c:pt idx="40">
                  <c:v>6.8531519017511284</c:v>
                </c:pt>
                <c:pt idx="41">
                  <c:v>8.8962446162735684</c:v>
                </c:pt>
                <c:pt idx="42">
                  <c:v>9.0052033280205297</c:v>
                </c:pt>
                <c:pt idx="43">
                  <c:v>8.6916172940763925</c:v>
                </c:pt>
                <c:pt idx="44">
                  <c:v>8.2844619815463947</c:v>
                </c:pt>
                <c:pt idx="45">
                  <c:v>8.0172946906571507</c:v>
                </c:pt>
                <c:pt idx="46">
                  <c:v>9.4747417933053306</c:v>
                </c:pt>
                <c:pt idx="47">
                  <c:v>8.3349390203303422</c:v>
                </c:pt>
                <c:pt idx="48">
                  <c:v>9.4433576178640237</c:v>
                </c:pt>
                <c:pt idx="49">
                  <c:v>8.3797587613853057</c:v>
                </c:pt>
                <c:pt idx="50">
                  <c:v>8.0456335593601125</c:v>
                </c:pt>
                <c:pt idx="51">
                  <c:v>7.9444013374856057</c:v>
                </c:pt>
                <c:pt idx="52">
                  <c:v>8.069536610398135</c:v>
                </c:pt>
                <c:pt idx="53">
                  <c:v>7.8846314565290161</c:v>
                </c:pt>
                <c:pt idx="54">
                  <c:v>6.6819297533380437</c:v>
                </c:pt>
                <c:pt idx="55">
                  <c:v>8.056716251698683</c:v>
                </c:pt>
                <c:pt idx="56">
                  <c:v>7.5332497023490008</c:v>
                </c:pt>
                <c:pt idx="57">
                  <c:v>9.470303852981111</c:v>
                </c:pt>
                <c:pt idx="58">
                  <c:v>8.8885576228347656</c:v>
                </c:pt>
                <c:pt idx="59">
                  <c:v>8.4772549990981574</c:v>
                </c:pt>
                <c:pt idx="60">
                  <c:v>8.0048725278576072</c:v>
                </c:pt>
                <c:pt idx="61">
                  <c:v>6.0306291788382529</c:v>
                </c:pt>
                <c:pt idx="62">
                  <c:v>9.3290951132732864</c:v>
                </c:pt>
                <c:pt idx="63">
                  <c:v>7.5704214699676387</c:v>
                </c:pt>
                <c:pt idx="64">
                  <c:v>7.8567197344756785</c:v>
                </c:pt>
                <c:pt idx="65">
                  <c:v>7.8433174678600333</c:v>
                </c:pt>
                <c:pt idx="66">
                  <c:v>7.6553988032119316</c:v>
                </c:pt>
                <c:pt idx="67">
                  <c:v>7.3957620356496978</c:v>
                </c:pt>
                <c:pt idx="68">
                  <c:v>8.164536436288607</c:v>
                </c:pt>
                <c:pt idx="69">
                  <c:v>8.4711648497293002</c:v>
                </c:pt>
                <c:pt idx="70">
                  <c:v>8.6991626399332489</c:v>
                </c:pt>
                <c:pt idx="71">
                  <c:v>6.8520592491469259</c:v>
                </c:pt>
                <c:pt idx="72">
                  <c:v>7.4974267268296542</c:v>
                </c:pt>
                <c:pt idx="73">
                  <c:v>6.5110913948462592</c:v>
                </c:pt>
                <c:pt idx="74">
                  <c:v>7.3702436757470631</c:v>
                </c:pt>
                <c:pt idx="75">
                  <c:v>8.3486785484180803</c:v>
                </c:pt>
                <c:pt idx="76">
                  <c:v>6.8480438809571655</c:v>
                </c:pt>
                <c:pt idx="77">
                  <c:v>8.2510899044547532</c:v>
                </c:pt>
                <c:pt idx="78">
                  <c:v>6.6557974843107477</c:v>
                </c:pt>
                <c:pt idx="79">
                  <c:v>8.7672249994857498</c:v>
                </c:pt>
                <c:pt idx="80">
                  <c:v>8.0741940328378003</c:v>
                </c:pt>
                <c:pt idx="81">
                  <c:v>9.0284778186523695</c:v>
                </c:pt>
                <c:pt idx="82">
                  <c:v>7.0776281812831279</c:v>
                </c:pt>
                <c:pt idx="83">
                  <c:v>7.7947037933003092</c:v>
                </c:pt>
                <c:pt idx="84">
                  <c:v>8.8499351603274281</c:v>
                </c:pt>
                <c:pt idx="85">
                  <c:v>6.5192379064110515</c:v>
                </c:pt>
                <c:pt idx="86">
                  <c:v>6.9548464307974953</c:v>
                </c:pt>
                <c:pt idx="87">
                  <c:v>8.348633730834873</c:v>
                </c:pt>
                <c:pt idx="88">
                  <c:v>7.3565130314292366</c:v>
                </c:pt>
                <c:pt idx="89">
                  <c:v>8.2110241225015965</c:v>
                </c:pt>
                <c:pt idx="90">
                  <c:v>8.6164038622302606</c:v>
                </c:pt>
                <c:pt idx="91">
                  <c:v>6.7212834147489255</c:v>
                </c:pt>
                <c:pt idx="92">
                  <c:v>7.8243304036722696</c:v>
                </c:pt>
                <c:pt idx="93">
                  <c:v>8.3494455511095271</c:v>
                </c:pt>
                <c:pt idx="94">
                  <c:v>6.21866974345114</c:v>
                </c:pt>
                <c:pt idx="95">
                  <c:v>7.5869057869917933</c:v>
                </c:pt>
                <c:pt idx="96">
                  <c:v>8.4687582166748605</c:v>
                </c:pt>
                <c:pt idx="97">
                  <c:v>8.0940294263874204</c:v>
                </c:pt>
                <c:pt idx="98">
                  <c:v>9.0102541683951696</c:v>
                </c:pt>
                <c:pt idx="99">
                  <c:v>7.524388066537826</c:v>
                </c:pt>
                <c:pt idx="100">
                  <c:v>8.9455945290822374</c:v>
                </c:pt>
                <c:pt idx="101">
                  <c:v>8.515897193930055</c:v>
                </c:pt>
                <c:pt idx="102">
                  <c:v>9.443135963133761</c:v>
                </c:pt>
                <c:pt idx="103">
                  <c:v>6.3671281444263768</c:v>
                </c:pt>
                <c:pt idx="104">
                  <c:v>7.6385859167316559</c:v>
                </c:pt>
                <c:pt idx="105">
                  <c:v>7.9529180071726717</c:v>
                </c:pt>
                <c:pt idx="106">
                  <c:v>7.1993085060775632</c:v>
                </c:pt>
                <c:pt idx="107">
                  <c:v>8.8643225242737014</c:v>
                </c:pt>
                <c:pt idx="108">
                  <c:v>7.9801183594849228</c:v>
                </c:pt>
                <c:pt idx="109">
                  <c:v>7.5027473238896301</c:v>
                </c:pt>
                <c:pt idx="110">
                  <c:v>7.7014841246689061</c:v>
                </c:pt>
                <c:pt idx="111">
                  <c:v>7.1912371240577002</c:v>
                </c:pt>
                <c:pt idx="112">
                  <c:v>7.561091582067764</c:v>
                </c:pt>
                <c:pt idx="113">
                  <c:v>7.2865458551948592</c:v>
                </c:pt>
                <c:pt idx="114">
                  <c:v>6.790032128744528</c:v>
                </c:pt>
                <c:pt idx="115">
                  <c:v>7.8030709525688247</c:v>
                </c:pt>
                <c:pt idx="116">
                  <c:v>8.1293026158752912</c:v>
                </c:pt>
                <c:pt idx="117">
                  <c:v>7.6858087175945702</c:v>
                </c:pt>
                <c:pt idx="118">
                  <c:v>8.6155860491317835</c:v>
                </c:pt>
                <c:pt idx="119">
                  <c:v>8.6248055074315211</c:v>
                </c:pt>
                <c:pt idx="120">
                  <c:v>8.2595543433162923</c:v>
                </c:pt>
                <c:pt idx="121">
                  <c:v>7.9895394354109435</c:v>
                </c:pt>
                <c:pt idx="122">
                  <c:v>8.2997778960846027</c:v>
                </c:pt>
                <c:pt idx="123">
                  <c:v>7.4073677618052303</c:v>
                </c:pt>
                <c:pt idx="124">
                  <c:v>7.5123922397006959</c:v>
                </c:pt>
                <c:pt idx="125">
                  <c:v>8.4794507065794118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45-44A7-ACA2-219BF6AC07D4}"/>
            </c:ext>
          </c:extLst>
        </c:ser>
        <c:ser>
          <c:idx val="3"/>
          <c:order val="3"/>
          <c:tx>
            <c:v>Дет.сост.СП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Точечный прогноз СП'!$A$12:$A$137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СП'!$B$12:$B$137</c:f>
              <c:numCache>
                <c:formatCode>General</c:formatCode>
                <c:ptCount val="126"/>
                <c:pt idx="0">
                  <c:v>3.0545255155273479</c:v>
                </c:pt>
                <c:pt idx="1">
                  <c:v>3.3461099155771081</c:v>
                </c:pt>
                <c:pt idx="2">
                  <c:v>3.637694315626868</c:v>
                </c:pt>
                <c:pt idx="3">
                  <c:v>3.9292787156766282</c:v>
                </c:pt>
                <c:pt idx="4">
                  <c:v>4.2208631157263881</c:v>
                </c:pt>
                <c:pt idx="5">
                  <c:v>4.5124475157761479</c:v>
                </c:pt>
                <c:pt idx="6">
                  <c:v>4.8040319158259077</c:v>
                </c:pt>
                <c:pt idx="7">
                  <c:v>5.0956163158756684</c:v>
                </c:pt>
                <c:pt idx="8">
                  <c:v>5.3872007159254274</c:v>
                </c:pt>
                <c:pt idx="9">
                  <c:v>5.6787851159751881</c:v>
                </c:pt>
                <c:pt idx="10">
                  <c:v>5.9703695160249479</c:v>
                </c:pt>
                <c:pt idx="11">
                  <c:v>6.2619539160747077</c:v>
                </c:pt>
                <c:pt idx="12">
                  <c:v>6.5535383161244685</c:v>
                </c:pt>
                <c:pt idx="13">
                  <c:v>6.8451227161742283</c:v>
                </c:pt>
                <c:pt idx="14">
                  <c:v>7.1367071162239881</c:v>
                </c:pt>
                <c:pt idx="15">
                  <c:v>7.428291516273748</c:v>
                </c:pt>
                <c:pt idx="16">
                  <c:v>7.7198759163235078</c:v>
                </c:pt>
                <c:pt idx="17">
                  <c:v>8.0114603163732667</c:v>
                </c:pt>
                <c:pt idx="18">
                  <c:v>8.3030447164230274</c:v>
                </c:pt>
                <c:pt idx="19">
                  <c:v>8.5946291164727882</c:v>
                </c:pt>
                <c:pt idx="20">
                  <c:v>8.8862135165225489</c:v>
                </c:pt>
                <c:pt idx="21">
                  <c:v>9.1777979165723078</c:v>
                </c:pt>
                <c:pt idx="22">
                  <c:v>9.4693823166220668</c:v>
                </c:pt>
                <c:pt idx="23">
                  <c:v>9.7609667166718275</c:v>
                </c:pt>
                <c:pt idx="24">
                  <c:v>10.052551116721588</c:v>
                </c:pt>
                <c:pt idx="25">
                  <c:v>10.344135516771349</c:v>
                </c:pt>
                <c:pt idx="26">
                  <c:v>10.635719916821108</c:v>
                </c:pt>
                <c:pt idx="27">
                  <c:v>10.927304316870869</c:v>
                </c:pt>
                <c:pt idx="28">
                  <c:v>11.218888716920628</c:v>
                </c:pt>
                <c:pt idx="29">
                  <c:v>11.510473116970388</c:v>
                </c:pt>
                <c:pt idx="30">
                  <c:v>11.802057517020147</c:v>
                </c:pt>
                <c:pt idx="31">
                  <c:v>12.093641917069908</c:v>
                </c:pt>
                <c:pt idx="32">
                  <c:v>12.385226317119669</c:v>
                </c:pt>
                <c:pt idx="33">
                  <c:v>12.676810717169428</c:v>
                </c:pt>
                <c:pt idx="34">
                  <c:v>12.968395117219188</c:v>
                </c:pt>
                <c:pt idx="35">
                  <c:v>13.259979517268947</c:v>
                </c:pt>
                <c:pt idx="36">
                  <c:v>13.551563917318708</c:v>
                </c:pt>
                <c:pt idx="37">
                  <c:v>13.843148317368469</c:v>
                </c:pt>
                <c:pt idx="38">
                  <c:v>14.134732717418228</c:v>
                </c:pt>
                <c:pt idx="39">
                  <c:v>14.426317117467988</c:v>
                </c:pt>
                <c:pt idx="40">
                  <c:v>14.717901517517747</c:v>
                </c:pt>
                <c:pt idx="41">
                  <c:v>15.009485917567508</c:v>
                </c:pt>
                <c:pt idx="42">
                  <c:v>15.301070317617269</c:v>
                </c:pt>
                <c:pt idx="43">
                  <c:v>15.592654717667028</c:v>
                </c:pt>
                <c:pt idx="44">
                  <c:v>15.884239117716788</c:v>
                </c:pt>
                <c:pt idx="45">
                  <c:v>16.175823517766545</c:v>
                </c:pt>
                <c:pt idx="46">
                  <c:v>16.46740791781631</c:v>
                </c:pt>
                <c:pt idx="47">
                  <c:v>16.758992317866067</c:v>
                </c:pt>
                <c:pt idx="48">
                  <c:v>17.050576717915828</c:v>
                </c:pt>
                <c:pt idx="49">
                  <c:v>17.342161117965588</c:v>
                </c:pt>
                <c:pt idx="50">
                  <c:v>17.633745518015346</c:v>
                </c:pt>
                <c:pt idx="51">
                  <c:v>17.92532991806511</c:v>
                </c:pt>
                <c:pt idx="52">
                  <c:v>18.216914318114867</c:v>
                </c:pt>
                <c:pt idx="53">
                  <c:v>18.508498718164628</c:v>
                </c:pt>
                <c:pt idx="54">
                  <c:v>18.800083118214388</c:v>
                </c:pt>
                <c:pt idx="55">
                  <c:v>19.091667518264149</c:v>
                </c:pt>
                <c:pt idx="56">
                  <c:v>19.383251918313906</c:v>
                </c:pt>
                <c:pt idx="57">
                  <c:v>19.674836318363667</c:v>
                </c:pt>
                <c:pt idx="58">
                  <c:v>19.966420718413428</c:v>
                </c:pt>
                <c:pt idx="59">
                  <c:v>20.258005118463188</c:v>
                </c:pt>
                <c:pt idx="60">
                  <c:v>20.549589518512949</c:v>
                </c:pt>
                <c:pt idx="61">
                  <c:v>20.841173918562706</c:v>
                </c:pt>
                <c:pt idx="62">
                  <c:v>21.132758318612467</c:v>
                </c:pt>
                <c:pt idx="63">
                  <c:v>21.424342718662228</c:v>
                </c:pt>
                <c:pt idx="64">
                  <c:v>21.715927118711988</c:v>
                </c:pt>
                <c:pt idx="65">
                  <c:v>22.007511518761749</c:v>
                </c:pt>
                <c:pt idx="66">
                  <c:v>22.299095918811506</c:v>
                </c:pt>
                <c:pt idx="67">
                  <c:v>22.590680318861267</c:v>
                </c:pt>
                <c:pt idx="68">
                  <c:v>22.882264718911028</c:v>
                </c:pt>
                <c:pt idx="69">
                  <c:v>23.173849118960788</c:v>
                </c:pt>
                <c:pt idx="70">
                  <c:v>23.465433519010549</c:v>
                </c:pt>
                <c:pt idx="71">
                  <c:v>23.757017919060306</c:v>
                </c:pt>
                <c:pt idx="72">
                  <c:v>24.048602319110067</c:v>
                </c:pt>
                <c:pt idx="73">
                  <c:v>24.340186719159828</c:v>
                </c:pt>
                <c:pt idx="74">
                  <c:v>24.631771119209589</c:v>
                </c:pt>
                <c:pt idx="75">
                  <c:v>24.923355519259349</c:v>
                </c:pt>
                <c:pt idx="76">
                  <c:v>25.214939919309106</c:v>
                </c:pt>
                <c:pt idx="77">
                  <c:v>25.506524319358867</c:v>
                </c:pt>
                <c:pt idx="78">
                  <c:v>25.798108719408628</c:v>
                </c:pt>
                <c:pt idx="79">
                  <c:v>26.089693119458389</c:v>
                </c:pt>
                <c:pt idx="80">
                  <c:v>26.381277519508149</c:v>
                </c:pt>
                <c:pt idx="81">
                  <c:v>26.672861919557906</c:v>
                </c:pt>
                <c:pt idx="82">
                  <c:v>26.964446319607667</c:v>
                </c:pt>
                <c:pt idx="83">
                  <c:v>27.256030719657428</c:v>
                </c:pt>
                <c:pt idx="84">
                  <c:v>27.547615119707189</c:v>
                </c:pt>
                <c:pt idx="85">
                  <c:v>27.839199519756949</c:v>
                </c:pt>
                <c:pt idx="86">
                  <c:v>28.130783919806706</c:v>
                </c:pt>
                <c:pt idx="87">
                  <c:v>28.422368319856467</c:v>
                </c:pt>
                <c:pt idx="88">
                  <c:v>28.713952719906228</c:v>
                </c:pt>
                <c:pt idx="89">
                  <c:v>29.005537119955989</c:v>
                </c:pt>
                <c:pt idx="90">
                  <c:v>29.297121520005749</c:v>
                </c:pt>
                <c:pt idx="91">
                  <c:v>29.588705920055506</c:v>
                </c:pt>
                <c:pt idx="92">
                  <c:v>29.880290320105267</c:v>
                </c:pt>
                <c:pt idx="93">
                  <c:v>30.171874720155028</c:v>
                </c:pt>
                <c:pt idx="94">
                  <c:v>30.463459120204789</c:v>
                </c:pt>
                <c:pt idx="95">
                  <c:v>30.755043520254546</c:v>
                </c:pt>
                <c:pt idx="96">
                  <c:v>31.046627920304307</c:v>
                </c:pt>
                <c:pt idx="97">
                  <c:v>31.338212320354067</c:v>
                </c:pt>
                <c:pt idx="98">
                  <c:v>31.629796720403828</c:v>
                </c:pt>
                <c:pt idx="99">
                  <c:v>31.921381120453589</c:v>
                </c:pt>
                <c:pt idx="100">
                  <c:v>32.212965520503346</c:v>
                </c:pt>
                <c:pt idx="101">
                  <c:v>32.504549920553103</c:v>
                </c:pt>
                <c:pt idx="102">
                  <c:v>32.796134320602867</c:v>
                </c:pt>
                <c:pt idx="103">
                  <c:v>33.087718720652632</c:v>
                </c:pt>
                <c:pt idx="104">
                  <c:v>33.379303120702389</c:v>
                </c:pt>
                <c:pt idx="105">
                  <c:v>33.670887520752146</c:v>
                </c:pt>
                <c:pt idx="106">
                  <c:v>33.962471920801903</c:v>
                </c:pt>
                <c:pt idx="107">
                  <c:v>34.254056320851667</c:v>
                </c:pt>
                <c:pt idx="108">
                  <c:v>34.545640720901432</c:v>
                </c:pt>
                <c:pt idx="109">
                  <c:v>34.837225120951189</c:v>
                </c:pt>
                <c:pt idx="110">
                  <c:v>35.128809521000946</c:v>
                </c:pt>
                <c:pt idx="111">
                  <c:v>35.42039392105071</c:v>
                </c:pt>
                <c:pt idx="112">
                  <c:v>35.711978321100467</c:v>
                </c:pt>
                <c:pt idx="113">
                  <c:v>36.003562721150224</c:v>
                </c:pt>
                <c:pt idx="114">
                  <c:v>36.295147121199989</c:v>
                </c:pt>
                <c:pt idx="115">
                  <c:v>36.586731521249746</c:v>
                </c:pt>
                <c:pt idx="116">
                  <c:v>36.87831592129951</c:v>
                </c:pt>
                <c:pt idx="117">
                  <c:v>37.169900321349267</c:v>
                </c:pt>
                <c:pt idx="118">
                  <c:v>37.461484721399025</c:v>
                </c:pt>
                <c:pt idx="119">
                  <c:v>37.753069121448789</c:v>
                </c:pt>
                <c:pt idx="120">
                  <c:v>38.044653521498546</c:v>
                </c:pt>
                <c:pt idx="121">
                  <c:v>38.33623792154831</c:v>
                </c:pt>
                <c:pt idx="122">
                  <c:v>38.627822321598067</c:v>
                </c:pt>
                <c:pt idx="123">
                  <c:v>38.919406721647825</c:v>
                </c:pt>
                <c:pt idx="124">
                  <c:v>39.210991121697589</c:v>
                </c:pt>
                <c:pt idx="125">
                  <c:v>39.502575521747346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45-44A7-ACA2-219BF6AC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50800"/>
        <c:axId val="565047440"/>
      </c:scatterChart>
      <c:valAx>
        <c:axId val="56505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47440"/>
        <c:crosses val="autoZero"/>
        <c:crossBetween val="midCat"/>
      </c:valAx>
      <c:valAx>
        <c:axId val="5650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5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312022861324739E-2"/>
          <c:y val="3.2561196059902986E-2"/>
          <c:w val="0.77208693407772722"/>
          <c:h val="0.93056677472860194"/>
        </c:manualLayout>
      </c:layout>
      <c:scatterChart>
        <c:scatterStyle val="lineMarker"/>
        <c:varyColors val="0"/>
        <c:ser>
          <c:idx val="0"/>
          <c:order val="0"/>
          <c:tx>
            <c:v>Оц. Мат.ож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 Точечный прогноз СП'!$AC$12:$AC$137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СП'!$BC$12:$BC$137</c:f>
              <c:numCache>
                <c:formatCode>General</c:formatCode>
                <c:ptCount val="126"/>
                <c:pt idx="0">
                  <c:v>1.9076786399845755</c:v>
                </c:pt>
                <c:pt idx="1">
                  <c:v>5.5152589805976051</c:v>
                </c:pt>
                <c:pt idx="2">
                  <c:v>6.1259395856597507</c:v>
                </c:pt>
                <c:pt idx="3">
                  <c:v>4.9783184545804815</c:v>
                </c:pt>
                <c:pt idx="4">
                  <c:v>5.4181486491771249</c:v>
                </c:pt>
                <c:pt idx="5">
                  <c:v>5.5215749253789159</c:v>
                </c:pt>
                <c:pt idx="6">
                  <c:v>5.0209181448301505</c:v>
                </c:pt>
                <c:pt idx="7">
                  <c:v>5.5855798004699144</c:v>
                </c:pt>
                <c:pt idx="8">
                  <c:v>3.1088409916085573</c:v>
                </c:pt>
                <c:pt idx="9">
                  <c:v>6.2329187191921394</c:v>
                </c:pt>
                <c:pt idx="10">
                  <c:v>5.5821942795299151</c:v>
                </c:pt>
                <c:pt idx="11">
                  <c:v>6.8362629824548442</c:v>
                </c:pt>
                <c:pt idx="12">
                  <c:v>8.1637798179989325</c:v>
                </c:pt>
                <c:pt idx="13">
                  <c:v>6.4890325389905499</c:v>
                </c:pt>
                <c:pt idx="14">
                  <c:v>7.340098052142487</c:v>
                </c:pt>
                <c:pt idx="15">
                  <c:v>6.2923420898977112</c:v>
                </c:pt>
                <c:pt idx="16">
                  <c:v>7.6871329614742239</c:v>
                </c:pt>
                <c:pt idx="17">
                  <c:v>9.029494619412624</c:v>
                </c:pt>
                <c:pt idx="18">
                  <c:v>5.0141574458457416</c:v>
                </c:pt>
                <c:pt idx="19">
                  <c:v>9.9008554033581806</c:v>
                </c:pt>
                <c:pt idx="20">
                  <c:v>7.2759382764153706</c:v>
                </c:pt>
                <c:pt idx="21">
                  <c:v>7.6574688048816055</c:v>
                </c:pt>
                <c:pt idx="22">
                  <c:v>7.7923728522058902</c:v>
                </c:pt>
                <c:pt idx="23">
                  <c:v>9.8732644242615617</c:v>
                </c:pt>
                <c:pt idx="24">
                  <c:v>8.6055014464864694</c:v>
                </c:pt>
                <c:pt idx="25">
                  <c:v>9.1867285743889813</c:v>
                </c:pt>
                <c:pt idx="26">
                  <c:v>11.680643591333808</c:v>
                </c:pt>
                <c:pt idx="27">
                  <c:v>14.017642087924163</c:v>
                </c:pt>
                <c:pt idx="28">
                  <c:v>13.342086308984172</c:v>
                </c:pt>
                <c:pt idx="29">
                  <c:v>12.541968974862773</c:v>
                </c:pt>
                <c:pt idx="30">
                  <c:v>14.086625076156459</c:v>
                </c:pt>
                <c:pt idx="31">
                  <c:v>10.477698653866721</c:v>
                </c:pt>
                <c:pt idx="32">
                  <c:v>10.164727661907921</c:v>
                </c:pt>
                <c:pt idx="33">
                  <c:v>12.762185315053104</c:v>
                </c:pt>
                <c:pt idx="34">
                  <c:v>11.117026466135218</c:v>
                </c:pt>
                <c:pt idx="35">
                  <c:v>11.078650950238567</c:v>
                </c:pt>
                <c:pt idx="36">
                  <c:v>12.781843007057013</c:v>
                </c:pt>
                <c:pt idx="37">
                  <c:v>13.082233085845223</c:v>
                </c:pt>
                <c:pt idx="38">
                  <c:v>11.475670775152558</c:v>
                </c:pt>
                <c:pt idx="39">
                  <c:v>11.906695291010751</c:v>
                </c:pt>
                <c:pt idx="40">
                  <c:v>13.963329073744799</c:v>
                </c:pt>
                <c:pt idx="41">
                  <c:v>17.763824629018526</c:v>
                </c:pt>
                <c:pt idx="42">
                  <c:v>15.177504040300937</c:v>
                </c:pt>
                <c:pt idx="43">
                  <c:v>15.430120781565615</c:v>
                </c:pt>
                <c:pt idx="44">
                  <c:v>17.44613373211158</c:v>
                </c:pt>
                <c:pt idx="45">
                  <c:v>15.385657238479956</c:v>
                </c:pt>
                <c:pt idx="46">
                  <c:v>14.185202034970004</c:v>
                </c:pt>
                <c:pt idx="47">
                  <c:v>16.907153766831168</c:v>
                </c:pt>
                <c:pt idx="48">
                  <c:v>17.157037711245984</c:v>
                </c:pt>
                <c:pt idx="49">
                  <c:v>20.339381366727256</c:v>
                </c:pt>
                <c:pt idx="50">
                  <c:v>17.352014405734106</c:v>
                </c:pt>
                <c:pt idx="51">
                  <c:v>16.475682403910984</c:v>
                </c:pt>
                <c:pt idx="52">
                  <c:v>17.065242875293947</c:v>
                </c:pt>
                <c:pt idx="53">
                  <c:v>18.62258455208822</c:v>
                </c:pt>
                <c:pt idx="54">
                  <c:v>20.799292705052672</c:v>
                </c:pt>
                <c:pt idx="55">
                  <c:v>20.473534922895134</c:v>
                </c:pt>
                <c:pt idx="56">
                  <c:v>20.807258375605119</c:v>
                </c:pt>
                <c:pt idx="57">
                  <c:v>20.549854252926867</c:v>
                </c:pt>
                <c:pt idx="58">
                  <c:v>21.186243391317348</c:v>
                </c:pt>
                <c:pt idx="59">
                  <c:v>21.521889923292065</c:v>
                </c:pt>
                <c:pt idx="60">
                  <c:v>20.279228190656454</c:v>
                </c:pt>
                <c:pt idx="61">
                  <c:v>17.829345015035717</c:v>
                </c:pt>
                <c:pt idx="62">
                  <c:v>21.744854205632688</c:v>
                </c:pt>
                <c:pt idx="63">
                  <c:v>19.318925175239151</c:v>
                </c:pt>
                <c:pt idx="64">
                  <c:v>21.782981856231771</c:v>
                </c:pt>
                <c:pt idx="65">
                  <c:v>25.517249260687208</c:v>
                </c:pt>
                <c:pt idx="66">
                  <c:v>22.407547467871801</c:v>
                </c:pt>
                <c:pt idx="67">
                  <c:v>25.240194341268783</c:v>
                </c:pt>
                <c:pt idx="68">
                  <c:v>21.735384105135545</c:v>
                </c:pt>
                <c:pt idx="69">
                  <c:v>22.878454022430237</c:v>
                </c:pt>
                <c:pt idx="70">
                  <c:v>23.496523300456825</c:v>
                </c:pt>
                <c:pt idx="71">
                  <c:v>25.353021886729312</c:v>
                </c:pt>
                <c:pt idx="72">
                  <c:v>21.385053191893384</c:v>
                </c:pt>
                <c:pt idx="73">
                  <c:v>24.520669395065273</c:v>
                </c:pt>
                <c:pt idx="74">
                  <c:v>22.143492110943988</c:v>
                </c:pt>
                <c:pt idx="75">
                  <c:v>27.361195869616978</c:v>
                </c:pt>
                <c:pt idx="76">
                  <c:v>21.28387912724676</c:v>
                </c:pt>
                <c:pt idx="77">
                  <c:v>23.971080479412141</c:v>
                </c:pt>
                <c:pt idx="78">
                  <c:v>32.014631133774216</c:v>
                </c:pt>
                <c:pt idx="79">
                  <c:v>26.784616367792349</c:v>
                </c:pt>
                <c:pt idx="80">
                  <c:v>29.686595309417321</c:v>
                </c:pt>
                <c:pt idx="81">
                  <c:v>26.691873413692448</c:v>
                </c:pt>
                <c:pt idx="82">
                  <c:v>25.907478096015939</c:v>
                </c:pt>
                <c:pt idx="83">
                  <c:v>28.947243980046352</c:v>
                </c:pt>
                <c:pt idx="84">
                  <c:v>28.939502779454333</c:v>
                </c:pt>
                <c:pt idx="85">
                  <c:v>29.677275307151469</c:v>
                </c:pt>
                <c:pt idx="86">
                  <c:v>29.689709569722638</c:v>
                </c:pt>
                <c:pt idx="87">
                  <c:v>27.304468847982612</c:v>
                </c:pt>
                <c:pt idx="88">
                  <c:v>30.21201459800545</c:v>
                </c:pt>
                <c:pt idx="89">
                  <c:v>29.753834252444065</c:v>
                </c:pt>
                <c:pt idx="90">
                  <c:v>27.243998237289926</c:v>
                </c:pt>
                <c:pt idx="91">
                  <c:v>28.251271767909337</c:v>
                </c:pt>
                <c:pt idx="92">
                  <c:v>26.866133478520993</c:v>
                </c:pt>
                <c:pt idx="93">
                  <c:v>28.281504672053266</c:v>
                </c:pt>
                <c:pt idx="94">
                  <c:v>32.022317293655284</c:v>
                </c:pt>
                <c:pt idx="95">
                  <c:v>30.680363942141319</c:v>
                </c:pt>
                <c:pt idx="96">
                  <c:v>33.196512454444907</c:v>
                </c:pt>
                <c:pt idx="97">
                  <c:v>29.24915781979745</c:v>
                </c:pt>
                <c:pt idx="98">
                  <c:v>31.312269343212666</c:v>
                </c:pt>
                <c:pt idx="99">
                  <c:v>31.637828143605773</c:v>
                </c:pt>
                <c:pt idx="100">
                  <c:v>35.419936362050173</c:v>
                </c:pt>
                <c:pt idx="101">
                  <c:v>33.839791087572841</c:v>
                </c:pt>
                <c:pt idx="102">
                  <c:v>33.887954138588526</c:v>
                </c:pt>
                <c:pt idx="103">
                  <c:v>33.783282995408179</c:v>
                </c:pt>
                <c:pt idx="104">
                  <c:v>33.908807814037871</c:v>
                </c:pt>
                <c:pt idx="105">
                  <c:v>32.882340676635849</c:v>
                </c:pt>
                <c:pt idx="106">
                  <c:v>32.175745723598638</c:v>
                </c:pt>
                <c:pt idx="107">
                  <c:v>34.241083970372991</c:v>
                </c:pt>
                <c:pt idx="108">
                  <c:v>33.398355248333374</c:v>
                </c:pt>
                <c:pt idx="109">
                  <c:v>33.429176847733871</c:v>
                </c:pt>
                <c:pt idx="110">
                  <c:v>34.433042816849117</c:v>
                </c:pt>
                <c:pt idx="111">
                  <c:v>34.67509949127421</c:v>
                </c:pt>
                <c:pt idx="112">
                  <c:v>34.126635634969197</c:v>
                </c:pt>
                <c:pt idx="113">
                  <c:v>34.646998991055007</c:v>
                </c:pt>
                <c:pt idx="114">
                  <c:v>34.449716399073743</c:v>
                </c:pt>
                <c:pt idx="115">
                  <c:v>36.689953644239317</c:v>
                </c:pt>
                <c:pt idx="116">
                  <c:v>39.838356637609962</c:v>
                </c:pt>
                <c:pt idx="117">
                  <c:v>35.691305403526229</c:v>
                </c:pt>
                <c:pt idx="118">
                  <c:v>36.682587011839026</c:v>
                </c:pt>
                <c:pt idx="119">
                  <c:v>36.967491241811352</c:v>
                </c:pt>
                <c:pt idx="120">
                  <c:v>38.323820528093485</c:v>
                </c:pt>
                <c:pt idx="121">
                  <c:v>38.288920050166418</c:v>
                </c:pt>
                <c:pt idx="122">
                  <c:v>38.606347936475387</c:v>
                </c:pt>
                <c:pt idx="123">
                  <c:v>40.413892347079333</c:v>
                </c:pt>
                <c:pt idx="124">
                  <c:v>40.070017133954174</c:v>
                </c:pt>
                <c:pt idx="125">
                  <c:v>40.470002475715162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5-416E-8353-0514B84EF1AC}"/>
            </c:ext>
          </c:extLst>
        </c:ser>
        <c:ser>
          <c:idx val="3"/>
          <c:order val="1"/>
          <c:tx>
            <c:v>Дет.сост.СП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'1. Точечный прогноз СП'!$A$12:$A$137</c:f>
              <c:numCache>
                <c:formatCode>General</c:formatCode>
                <c:ptCount val="1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</c:numCache>
            </c:numRef>
          </c:xVal>
          <c:yVal>
            <c:numRef>
              <c:f>'1. Точечный прогноз СП'!$B$12:$B$137</c:f>
              <c:numCache>
                <c:formatCode>General</c:formatCode>
                <c:ptCount val="126"/>
                <c:pt idx="0">
                  <c:v>3.0545255155273479</c:v>
                </c:pt>
                <c:pt idx="1">
                  <c:v>3.3461099155771081</c:v>
                </c:pt>
                <c:pt idx="2">
                  <c:v>3.637694315626868</c:v>
                </c:pt>
                <c:pt idx="3">
                  <c:v>3.9292787156766282</c:v>
                </c:pt>
                <c:pt idx="4">
                  <c:v>4.2208631157263881</c:v>
                </c:pt>
                <c:pt idx="5">
                  <c:v>4.5124475157761479</c:v>
                </c:pt>
                <c:pt idx="6">
                  <c:v>4.8040319158259077</c:v>
                </c:pt>
                <c:pt idx="7">
                  <c:v>5.0956163158756684</c:v>
                </c:pt>
                <c:pt idx="8">
                  <c:v>5.3872007159254274</c:v>
                </c:pt>
                <c:pt idx="9">
                  <c:v>5.6787851159751881</c:v>
                </c:pt>
                <c:pt idx="10">
                  <c:v>5.9703695160249479</c:v>
                </c:pt>
                <c:pt idx="11">
                  <c:v>6.2619539160747077</c:v>
                </c:pt>
                <c:pt idx="12">
                  <c:v>6.5535383161244685</c:v>
                </c:pt>
                <c:pt idx="13">
                  <c:v>6.8451227161742283</c:v>
                </c:pt>
                <c:pt idx="14">
                  <c:v>7.1367071162239881</c:v>
                </c:pt>
                <c:pt idx="15">
                  <c:v>7.428291516273748</c:v>
                </c:pt>
                <c:pt idx="16">
                  <c:v>7.7198759163235078</c:v>
                </c:pt>
                <c:pt idx="17">
                  <c:v>8.0114603163732667</c:v>
                </c:pt>
                <c:pt idx="18">
                  <c:v>8.3030447164230274</c:v>
                </c:pt>
                <c:pt idx="19">
                  <c:v>8.5946291164727882</c:v>
                </c:pt>
                <c:pt idx="20">
                  <c:v>8.8862135165225489</c:v>
                </c:pt>
                <c:pt idx="21">
                  <c:v>9.1777979165723078</c:v>
                </c:pt>
                <c:pt idx="22">
                  <c:v>9.4693823166220668</c:v>
                </c:pt>
                <c:pt idx="23">
                  <c:v>9.7609667166718275</c:v>
                </c:pt>
                <c:pt idx="24">
                  <c:v>10.052551116721588</c:v>
                </c:pt>
                <c:pt idx="25">
                  <c:v>10.344135516771349</c:v>
                </c:pt>
                <c:pt idx="26">
                  <c:v>10.635719916821108</c:v>
                </c:pt>
                <c:pt idx="27">
                  <c:v>10.927304316870869</c:v>
                </c:pt>
                <c:pt idx="28">
                  <c:v>11.218888716920628</c:v>
                </c:pt>
                <c:pt idx="29">
                  <c:v>11.510473116970388</c:v>
                </c:pt>
                <c:pt idx="30">
                  <c:v>11.802057517020147</c:v>
                </c:pt>
                <c:pt idx="31">
                  <c:v>12.093641917069908</c:v>
                </c:pt>
                <c:pt idx="32">
                  <c:v>12.385226317119669</c:v>
                </c:pt>
                <c:pt idx="33">
                  <c:v>12.676810717169428</c:v>
                </c:pt>
                <c:pt idx="34">
                  <c:v>12.968395117219188</c:v>
                </c:pt>
                <c:pt idx="35">
                  <c:v>13.259979517268947</c:v>
                </c:pt>
                <c:pt idx="36">
                  <c:v>13.551563917318708</c:v>
                </c:pt>
                <c:pt idx="37">
                  <c:v>13.843148317368469</c:v>
                </c:pt>
                <c:pt idx="38">
                  <c:v>14.134732717418228</c:v>
                </c:pt>
                <c:pt idx="39">
                  <c:v>14.426317117467988</c:v>
                </c:pt>
                <c:pt idx="40">
                  <c:v>14.717901517517747</c:v>
                </c:pt>
                <c:pt idx="41">
                  <c:v>15.009485917567508</c:v>
                </c:pt>
                <c:pt idx="42">
                  <c:v>15.301070317617269</c:v>
                </c:pt>
                <c:pt idx="43">
                  <c:v>15.592654717667028</c:v>
                </c:pt>
                <c:pt idx="44">
                  <c:v>15.884239117716788</c:v>
                </c:pt>
                <c:pt idx="45">
                  <c:v>16.175823517766545</c:v>
                </c:pt>
                <c:pt idx="46">
                  <c:v>16.46740791781631</c:v>
                </c:pt>
                <c:pt idx="47">
                  <c:v>16.758992317866067</c:v>
                </c:pt>
                <c:pt idx="48">
                  <c:v>17.050576717915828</c:v>
                </c:pt>
                <c:pt idx="49">
                  <c:v>17.342161117965588</c:v>
                </c:pt>
                <c:pt idx="50">
                  <c:v>17.633745518015346</c:v>
                </c:pt>
                <c:pt idx="51">
                  <c:v>17.92532991806511</c:v>
                </c:pt>
                <c:pt idx="52">
                  <c:v>18.216914318114867</c:v>
                </c:pt>
                <c:pt idx="53">
                  <c:v>18.508498718164628</c:v>
                </c:pt>
                <c:pt idx="54">
                  <c:v>18.800083118214388</c:v>
                </c:pt>
                <c:pt idx="55">
                  <c:v>19.091667518264149</c:v>
                </c:pt>
                <c:pt idx="56">
                  <c:v>19.383251918313906</c:v>
                </c:pt>
                <c:pt idx="57">
                  <c:v>19.674836318363667</c:v>
                </c:pt>
                <c:pt idx="58">
                  <c:v>19.966420718413428</c:v>
                </c:pt>
                <c:pt idx="59">
                  <c:v>20.258005118463188</c:v>
                </c:pt>
                <c:pt idx="60">
                  <c:v>20.549589518512949</c:v>
                </c:pt>
                <c:pt idx="61">
                  <c:v>20.841173918562706</c:v>
                </c:pt>
                <c:pt idx="62">
                  <c:v>21.132758318612467</c:v>
                </c:pt>
                <c:pt idx="63">
                  <c:v>21.424342718662228</c:v>
                </c:pt>
                <c:pt idx="64">
                  <c:v>21.715927118711988</c:v>
                </c:pt>
                <c:pt idx="65">
                  <c:v>22.007511518761749</c:v>
                </c:pt>
                <c:pt idx="66">
                  <c:v>22.299095918811506</c:v>
                </c:pt>
                <c:pt idx="67">
                  <c:v>22.590680318861267</c:v>
                </c:pt>
                <c:pt idx="68">
                  <c:v>22.882264718911028</c:v>
                </c:pt>
                <c:pt idx="69">
                  <c:v>23.173849118960788</c:v>
                </c:pt>
                <c:pt idx="70">
                  <c:v>23.465433519010549</c:v>
                </c:pt>
                <c:pt idx="71">
                  <c:v>23.757017919060306</c:v>
                </c:pt>
                <c:pt idx="72">
                  <c:v>24.048602319110067</c:v>
                </c:pt>
                <c:pt idx="73">
                  <c:v>24.340186719159828</c:v>
                </c:pt>
                <c:pt idx="74">
                  <c:v>24.631771119209589</c:v>
                </c:pt>
                <c:pt idx="75">
                  <c:v>24.923355519259349</c:v>
                </c:pt>
                <c:pt idx="76">
                  <c:v>25.214939919309106</c:v>
                </c:pt>
                <c:pt idx="77">
                  <c:v>25.506524319358867</c:v>
                </c:pt>
                <c:pt idx="78">
                  <c:v>25.798108719408628</c:v>
                </c:pt>
                <c:pt idx="79">
                  <c:v>26.089693119458389</c:v>
                </c:pt>
                <c:pt idx="80">
                  <c:v>26.381277519508149</c:v>
                </c:pt>
                <c:pt idx="81">
                  <c:v>26.672861919557906</c:v>
                </c:pt>
                <c:pt idx="82">
                  <c:v>26.964446319607667</c:v>
                </c:pt>
                <c:pt idx="83">
                  <c:v>27.256030719657428</c:v>
                </c:pt>
                <c:pt idx="84">
                  <c:v>27.547615119707189</c:v>
                </c:pt>
                <c:pt idx="85">
                  <c:v>27.839199519756949</c:v>
                </c:pt>
                <c:pt idx="86">
                  <c:v>28.130783919806706</c:v>
                </c:pt>
                <c:pt idx="87">
                  <c:v>28.422368319856467</c:v>
                </c:pt>
                <c:pt idx="88">
                  <c:v>28.713952719906228</c:v>
                </c:pt>
                <c:pt idx="89">
                  <c:v>29.005537119955989</c:v>
                </c:pt>
                <c:pt idx="90">
                  <c:v>29.297121520005749</c:v>
                </c:pt>
                <c:pt idx="91">
                  <c:v>29.588705920055506</c:v>
                </c:pt>
                <c:pt idx="92">
                  <c:v>29.880290320105267</c:v>
                </c:pt>
                <c:pt idx="93">
                  <c:v>30.171874720155028</c:v>
                </c:pt>
                <c:pt idx="94">
                  <c:v>30.463459120204789</c:v>
                </c:pt>
                <c:pt idx="95">
                  <c:v>30.755043520254546</c:v>
                </c:pt>
                <c:pt idx="96">
                  <c:v>31.046627920304307</c:v>
                </c:pt>
                <c:pt idx="97">
                  <c:v>31.338212320354067</c:v>
                </c:pt>
                <c:pt idx="98">
                  <c:v>31.629796720403828</c:v>
                </c:pt>
                <c:pt idx="99">
                  <c:v>31.921381120453589</c:v>
                </c:pt>
                <c:pt idx="100">
                  <c:v>32.212965520503346</c:v>
                </c:pt>
                <c:pt idx="101">
                  <c:v>32.504549920553103</c:v>
                </c:pt>
                <c:pt idx="102">
                  <c:v>32.796134320602867</c:v>
                </c:pt>
                <c:pt idx="103">
                  <c:v>33.087718720652632</c:v>
                </c:pt>
                <c:pt idx="104">
                  <c:v>33.379303120702389</c:v>
                </c:pt>
                <c:pt idx="105">
                  <c:v>33.670887520752146</c:v>
                </c:pt>
                <c:pt idx="106">
                  <c:v>33.962471920801903</c:v>
                </c:pt>
                <c:pt idx="107">
                  <c:v>34.254056320851667</c:v>
                </c:pt>
                <c:pt idx="108">
                  <c:v>34.545640720901432</c:v>
                </c:pt>
                <c:pt idx="109">
                  <c:v>34.837225120951189</c:v>
                </c:pt>
                <c:pt idx="110">
                  <c:v>35.128809521000946</c:v>
                </c:pt>
                <c:pt idx="111">
                  <c:v>35.42039392105071</c:v>
                </c:pt>
                <c:pt idx="112">
                  <c:v>35.711978321100467</c:v>
                </c:pt>
                <c:pt idx="113">
                  <c:v>36.003562721150224</c:v>
                </c:pt>
                <c:pt idx="114">
                  <c:v>36.295147121199989</c:v>
                </c:pt>
                <c:pt idx="115">
                  <c:v>36.586731521249746</c:v>
                </c:pt>
                <c:pt idx="116">
                  <c:v>36.87831592129951</c:v>
                </c:pt>
                <c:pt idx="117">
                  <c:v>37.169900321349267</c:v>
                </c:pt>
                <c:pt idx="118">
                  <c:v>37.461484721399025</c:v>
                </c:pt>
                <c:pt idx="119">
                  <c:v>37.753069121448789</c:v>
                </c:pt>
                <c:pt idx="120">
                  <c:v>38.044653521498546</c:v>
                </c:pt>
                <c:pt idx="121">
                  <c:v>38.33623792154831</c:v>
                </c:pt>
                <c:pt idx="122">
                  <c:v>38.627822321598067</c:v>
                </c:pt>
                <c:pt idx="123">
                  <c:v>38.919406721647825</c:v>
                </c:pt>
                <c:pt idx="124">
                  <c:v>39.210991121697589</c:v>
                </c:pt>
                <c:pt idx="125">
                  <c:v>39.502575521747346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E5-416E-8353-0514B84EF1AC}"/>
            </c:ext>
          </c:extLst>
        </c:ser>
        <c:ser>
          <c:idx val="1"/>
          <c:order val="2"/>
          <c:tx>
            <c:v>Прогноз(интер)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'1. Точечный прогноз СП'!$AC$12:$AC$73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'1. Точечный прогноз СП'!$BF$12:$BF$73</c:f>
              <c:numCache>
                <c:formatCode>General</c:formatCode>
                <c:ptCount val="62"/>
                <c:pt idx="0">
                  <c:v>3.1500989835482449</c:v>
                </c:pt>
                <c:pt idx="1">
                  <c:v>3.4382012018456543</c:v>
                </c:pt>
                <c:pt idx="2">
                  <c:v>3.726303420143064</c:v>
                </c:pt>
                <c:pt idx="3">
                  <c:v>4.0144056384404729</c:v>
                </c:pt>
                <c:pt idx="4">
                  <c:v>4.3025078567378827</c:v>
                </c:pt>
                <c:pt idx="5">
                  <c:v>4.5906100750352916</c:v>
                </c:pt>
                <c:pt idx="6">
                  <c:v>4.8787122933327014</c:v>
                </c:pt>
                <c:pt idx="7">
                  <c:v>5.1668145116301112</c:v>
                </c:pt>
                <c:pt idx="8">
                  <c:v>5.4549167299275201</c:v>
                </c:pt>
                <c:pt idx="9">
                  <c:v>5.743018948224929</c:v>
                </c:pt>
                <c:pt idx="10">
                  <c:v>6.0311211665223388</c:v>
                </c:pt>
                <c:pt idx="11">
                  <c:v>6.3192233848197485</c:v>
                </c:pt>
                <c:pt idx="12">
                  <c:v>6.6073256031171574</c:v>
                </c:pt>
                <c:pt idx="13">
                  <c:v>6.8954278214145672</c:v>
                </c:pt>
                <c:pt idx="14">
                  <c:v>7.1835300397119761</c:v>
                </c:pt>
                <c:pt idx="15">
                  <c:v>7.4716322580093859</c:v>
                </c:pt>
                <c:pt idx="16">
                  <c:v>7.7597344763067957</c:v>
                </c:pt>
                <c:pt idx="17">
                  <c:v>8.0478366946042037</c:v>
                </c:pt>
                <c:pt idx="18">
                  <c:v>8.3359389129016144</c:v>
                </c:pt>
                <c:pt idx="19">
                  <c:v>8.6240411311990233</c:v>
                </c:pt>
                <c:pt idx="20">
                  <c:v>8.9121433494964322</c:v>
                </c:pt>
                <c:pt idx="21">
                  <c:v>9.2002455677938428</c:v>
                </c:pt>
                <c:pt idx="22">
                  <c:v>9.4883477860912517</c:v>
                </c:pt>
                <c:pt idx="23">
                  <c:v>9.7764500043886606</c:v>
                </c:pt>
                <c:pt idx="24">
                  <c:v>10.064552222686071</c:v>
                </c:pt>
                <c:pt idx="25">
                  <c:v>10.35265444098348</c:v>
                </c:pt>
                <c:pt idx="26">
                  <c:v>10.640756659280889</c:v>
                </c:pt>
                <c:pt idx="27">
                  <c:v>10.9288588775783</c:v>
                </c:pt>
                <c:pt idx="28">
                  <c:v>11.216961095875707</c:v>
                </c:pt>
                <c:pt idx="29">
                  <c:v>11.505063314173118</c:v>
                </c:pt>
                <c:pt idx="30">
                  <c:v>11.793165532470528</c:v>
                </c:pt>
                <c:pt idx="31">
                  <c:v>12.081267750767935</c:v>
                </c:pt>
                <c:pt idx="32">
                  <c:v>12.369369969065346</c:v>
                </c:pt>
                <c:pt idx="33">
                  <c:v>12.657472187362757</c:v>
                </c:pt>
                <c:pt idx="34">
                  <c:v>12.945574405660164</c:v>
                </c:pt>
                <c:pt idx="35">
                  <c:v>13.233676623957574</c:v>
                </c:pt>
                <c:pt idx="36">
                  <c:v>13.521778842254982</c:v>
                </c:pt>
                <c:pt idx="37">
                  <c:v>13.809881060552392</c:v>
                </c:pt>
                <c:pt idx="38">
                  <c:v>14.097983278849803</c:v>
                </c:pt>
                <c:pt idx="39">
                  <c:v>14.38608549714721</c:v>
                </c:pt>
                <c:pt idx="40">
                  <c:v>14.674187715444621</c:v>
                </c:pt>
                <c:pt idx="41">
                  <c:v>14.962289933742031</c:v>
                </c:pt>
                <c:pt idx="42">
                  <c:v>15.250392152039439</c:v>
                </c:pt>
                <c:pt idx="43">
                  <c:v>15.538494370336849</c:v>
                </c:pt>
                <c:pt idx="44">
                  <c:v>15.82659658863426</c:v>
                </c:pt>
                <c:pt idx="45">
                  <c:v>16.114698806931667</c:v>
                </c:pt>
                <c:pt idx="46">
                  <c:v>16.402801025229078</c:v>
                </c:pt>
                <c:pt idx="47">
                  <c:v>16.690903243526488</c:v>
                </c:pt>
                <c:pt idx="48">
                  <c:v>16.979005461823895</c:v>
                </c:pt>
                <c:pt idx="49">
                  <c:v>17.267107680121306</c:v>
                </c:pt>
                <c:pt idx="50">
                  <c:v>17.555209898418713</c:v>
                </c:pt>
                <c:pt idx="51">
                  <c:v>17.843312116716124</c:v>
                </c:pt>
                <c:pt idx="52">
                  <c:v>18.131414335013535</c:v>
                </c:pt>
                <c:pt idx="53">
                  <c:v>18.419516553310942</c:v>
                </c:pt>
                <c:pt idx="54">
                  <c:v>18.707618771608352</c:v>
                </c:pt>
                <c:pt idx="55">
                  <c:v>18.995720989905763</c:v>
                </c:pt>
                <c:pt idx="56">
                  <c:v>19.283823208203174</c:v>
                </c:pt>
                <c:pt idx="57">
                  <c:v>19.571925426500581</c:v>
                </c:pt>
                <c:pt idx="58">
                  <c:v>19.860027644797992</c:v>
                </c:pt>
                <c:pt idx="59">
                  <c:v>20.148129863095399</c:v>
                </c:pt>
                <c:pt idx="60">
                  <c:v>20.436232081392809</c:v>
                </c:pt>
                <c:pt idx="61">
                  <c:v>20.72433429969022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E5-416E-8353-0514B84EF1AC}"/>
            </c:ext>
          </c:extLst>
        </c:ser>
        <c:ser>
          <c:idx val="2"/>
          <c:order val="3"/>
          <c:tx>
            <c:v>Прогноз(экстр)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'1. Точечный прогноз СП'!$AC$75:$AC$137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'1. Точечный прогноз СП'!$BF$75:$BF$137</c:f>
              <c:numCache>
                <c:formatCode>General</c:formatCode>
                <c:ptCount val="63"/>
                <c:pt idx="0">
                  <c:v>21.300538736285038</c:v>
                </c:pt>
                <c:pt idx="1">
                  <c:v>21.588640954582448</c:v>
                </c:pt>
                <c:pt idx="2">
                  <c:v>21.876743172879856</c:v>
                </c:pt>
                <c:pt idx="3">
                  <c:v>22.164845391177266</c:v>
                </c:pt>
                <c:pt idx="4">
                  <c:v>22.452947609474677</c:v>
                </c:pt>
                <c:pt idx="5">
                  <c:v>22.741049827772084</c:v>
                </c:pt>
                <c:pt idx="6">
                  <c:v>23.029152046069495</c:v>
                </c:pt>
                <c:pt idx="7">
                  <c:v>23.317254264366902</c:v>
                </c:pt>
                <c:pt idx="8">
                  <c:v>23.605356482664313</c:v>
                </c:pt>
                <c:pt idx="9">
                  <c:v>23.893458700961723</c:v>
                </c:pt>
                <c:pt idx="10">
                  <c:v>24.18156091925913</c:v>
                </c:pt>
                <c:pt idx="11">
                  <c:v>24.469663137556541</c:v>
                </c:pt>
                <c:pt idx="12">
                  <c:v>24.757765355853952</c:v>
                </c:pt>
                <c:pt idx="13">
                  <c:v>25.045867574151359</c:v>
                </c:pt>
                <c:pt idx="14">
                  <c:v>25.333969792448769</c:v>
                </c:pt>
                <c:pt idx="15">
                  <c:v>25.62207201074618</c:v>
                </c:pt>
                <c:pt idx="16">
                  <c:v>25.910174229043587</c:v>
                </c:pt>
                <c:pt idx="17">
                  <c:v>26.198276447340998</c:v>
                </c:pt>
                <c:pt idx="18">
                  <c:v>26.486378665638409</c:v>
                </c:pt>
                <c:pt idx="19">
                  <c:v>26.774480883935816</c:v>
                </c:pt>
                <c:pt idx="20">
                  <c:v>27.062583102233226</c:v>
                </c:pt>
                <c:pt idx="21">
                  <c:v>27.350685320530634</c:v>
                </c:pt>
                <c:pt idx="22">
                  <c:v>27.638787538828044</c:v>
                </c:pt>
                <c:pt idx="23">
                  <c:v>27.926889757125455</c:v>
                </c:pt>
                <c:pt idx="24">
                  <c:v>28.214991975422862</c:v>
                </c:pt>
                <c:pt idx="25">
                  <c:v>28.503094193720273</c:v>
                </c:pt>
                <c:pt idx="26">
                  <c:v>28.791196412017683</c:v>
                </c:pt>
                <c:pt idx="27">
                  <c:v>29.07929863031509</c:v>
                </c:pt>
                <c:pt idx="28">
                  <c:v>29.367400848612501</c:v>
                </c:pt>
                <c:pt idx="29">
                  <c:v>29.655503066909912</c:v>
                </c:pt>
                <c:pt idx="30">
                  <c:v>29.943605285207319</c:v>
                </c:pt>
                <c:pt idx="31">
                  <c:v>30.23170750350473</c:v>
                </c:pt>
                <c:pt idx="32">
                  <c:v>30.51980972180214</c:v>
                </c:pt>
                <c:pt idx="33">
                  <c:v>30.807911940099547</c:v>
                </c:pt>
                <c:pt idx="34">
                  <c:v>31.096014158396958</c:v>
                </c:pt>
                <c:pt idx="35">
                  <c:v>31.384116376694365</c:v>
                </c:pt>
                <c:pt idx="36">
                  <c:v>31.672218594991776</c:v>
                </c:pt>
                <c:pt idx="37">
                  <c:v>31.960320813289187</c:v>
                </c:pt>
                <c:pt idx="38">
                  <c:v>32.24842303158659</c:v>
                </c:pt>
                <c:pt idx="39">
                  <c:v>32.536525249884001</c:v>
                </c:pt>
                <c:pt idx="40">
                  <c:v>32.824627468181411</c:v>
                </c:pt>
                <c:pt idx="41">
                  <c:v>33.112729686478822</c:v>
                </c:pt>
                <c:pt idx="42">
                  <c:v>33.400831904776233</c:v>
                </c:pt>
                <c:pt idx="43">
                  <c:v>33.688934123073643</c:v>
                </c:pt>
                <c:pt idx="44">
                  <c:v>33.977036341371047</c:v>
                </c:pt>
                <c:pt idx="45">
                  <c:v>34.265138559668458</c:v>
                </c:pt>
                <c:pt idx="46">
                  <c:v>34.553240777965868</c:v>
                </c:pt>
                <c:pt idx="47">
                  <c:v>34.841342996263279</c:v>
                </c:pt>
                <c:pt idx="48">
                  <c:v>35.12944521456069</c:v>
                </c:pt>
                <c:pt idx="49">
                  <c:v>35.4175474328581</c:v>
                </c:pt>
                <c:pt idx="50">
                  <c:v>35.705649651155511</c:v>
                </c:pt>
                <c:pt idx="51">
                  <c:v>35.993751869452915</c:v>
                </c:pt>
                <c:pt idx="52">
                  <c:v>36.281854087750325</c:v>
                </c:pt>
                <c:pt idx="53">
                  <c:v>36.569956306047736</c:v>
                </c:pt>
                <c:pt idx="54">
                  <c:v>36.858058524345147</c:v>
                </c:pt>
                <c:pt idx="55">
                  <c:v>37.146160742642557</c:v>
                </c:pt>
                <c:pt idx="56">
                  <c:v>37.434262960939961</c:v>
                </c:pt>
                <c:pt idx="57">
                  <c:v>37.722365179237372</c:v>
                </c:pt>
                <c:pt idx="58">
                  <c:v>38.010467397534782</c:v>
                </c:pt>
                <c:pt idx="59">
                  <c:v>38.298569615832193</c:v>
                </c:pt>
                <c:pt idx="60">
                  <c:v>38.586671834129604</c:v>
                </c:pt>
                <c:pt idx="61">
                  <c:v>38.874774052427014</c:v>
                </c:pt>
                <c:pt idx="62">
                  <c:v>39.162876270724418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E5-416E-8353-0514B84EF1AC}"/>
            </c:ext>
          </c:extLst>
        </c:ser>
        <c:ser>
          <c:idx val="4"/>
          <c:order val="4"/>
          <c:tx>
            <c:v>Ошибка прогноза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'1. Точечный прогноз СП'!$AC$75:$AC$137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'1. Точечный прогноз СП'!$BG$75:$BG$137</c:f>
              <c:numCache>
                <c:formatCode>General</c:formatCode>
                <c:ptCount val="63"/>
                <c:pt idx="0">
                  <c:v>-1.9816135610458865</c:v>
                </c:pt>
                <c:pt idx="1">
                  <c:v>0.19434090164932272</c:v>
                </c:pt>
                <c:pt idx="2">
                  <c:v>3.6405060878073527</c:v>
                </c:pt>
                <c:pt idx="3">
                  <c:v>0.2427020766945347</c:v>
                </c:pt>
                <c:pt idx="4">
                  <c:v>2.7872467317941059</c:v>
                </c:pt>
                <c:pt idx="5">
                  <c:v>-1.0056657226365395</c:v>
                </c:pt>
                <c:pt idx="6">
                  <c:v>-0.15069802363925788</c:v>
                </c:pt>
                <c:pt idx="7">
                  <c:v>0.17926903608992362</c:v>
                </c:pt>
                <c:pt idx="8">
                  <c:v>1.7476654040649997</c:v>
                </c:pt>
                <c:pt idx="9">
                  <c:v>-2.5084055090683393</c:v>
                </c:pt>
                <c:pt idx="10">
                  <c:v>0.33910847580614245</c:v>
                </c:pt>
                <c:pt idx="11">
                  <c:v>-2.3261710266125526</c:v>
                </c:pt>
                <c:pt idx="12">
                  <c:v>2.6034305137630263</c:v>
                </c:pt>
                <c:pt idx="13">
                  <c:v>-3.7619884469045992</c:v>
                </c:pt>
                <c:pt idx="14">
                  <c:v>-1.3628893130366286</c:v>
                </c:pt>
                <c:pt idx="15">
                  <c:v>6.3925591230280361</c:v>
                </c:pt>
                <c:pt idx="16">
                  <c:v>0.87444213874876198</c:v>
                </c:pt>
                <c:pt idx="17">
                  <c:v>3.4883188620763228</c:v>
                </c:pt>
                <c:pt idx="18">
                  <c:v>0.20549474805403989</c:v>
                </c:pt>
                <c:pt idx="19">
                  <c:v>-0.86700278791987628</c:v>
                </c:pt>
                <c:pt idx="20">
                  <c:v>1.8846608778131255</c:v>
                </c:pt>
                <c:pt idx="21">
                  <c:v>1.5888174589236996</c:v>
                </c:pt>
                <c:pt idx="22">
                  <c:v>2.0384877683234244</c:v>
                </c:pt>
                <c:pt idx="23">
                  <c:v>1.7628198125971828</c:v>
                </c:pt>
                <c:pt idx="24">
                  <c:v>-0.91052312744024988</c:v>
                </c:pt>
                <c:pt idx="25">
                  <c:v>1.7089204042851769</c:v>
                </c:pt>
                <c:pt idx="26">
                  <c:v>0.96263784042638179</c:v>
                </c:pt>
                <c:pt idx="27">
                  <c:v>-1.8353003930251646</c:v>
                </c:pt>
                <c:pt idx="28">
                  <c:v>-1.1161290807031641</c:v>
                </c:pt>
                <c:pt idx="29">
                  <c:v>-2.7893695883889187</c:v>
                </c:pt>
                <c:pt idx="30">
                  <c:v>-1.6621006131540526</c:v>
                </c:pt>
                <c:pt idx="31">
                  <c:v>1.7906097901505547</c:v>
                </c:pt>
                <c:pt idx="32">
                  <c:v>0.16055422033917921</c:v>
                </c:pt>
                <c:pt idx="33">
                  <c:v>2.3886005143453595</c:v>
                </c:pt>
                <c:pt idx="34">
                  <c:v>-1.8468563385995083</c:v>
                </c:pt>
                <c:pt idx="35">
                  <c:v>-7.1847033481699185E-2</c:v>
                </c:pt>
                <c:pt idx="36">
                  <c:v>-3.4390451386002496E-2</c:v>
                </c:pt>
                <c:pt idx="37">
                  <c:v>3.4596155487609863</c:v>
                </c:pt>
                <c:pt idx="38">
                  <c:v>1.5913680559862513</c:v>
                </c:pt>
                <c:pt idx="39">
                  <c:v>1.3514288887045254</c:v>
                </c:pt>
                <c:pt idx="40">
                  <c:v>0.95865552722676739</c:v>
                </c:pt>
                <c:pt idx="41">
                  <c:v>0.79607812755904916</c:v>
                </c:pt>
                <c:pt idx="42">
                  <c:v>-0.51849122814038395</c:v>
                </c:pt>
                <c:pt idx="43">
                  <c:v>-1.5131883994750055</c:v>
                </c:pt>
                <c:pt idx="44">
                  <c:v>0.26404762900194356</c:v>
                </c:pt>
                <c:pt idx="45">
                  <c:v>-0.86678331133508379</c:v>
                </c:pt>
                <c:pt idx="46">
                  <c:v>-1.1240639302319977</c:v>
                </c:pt>
                <c:pt idx="47">
                  <c:v>-0.4083001794141623</c:v>
                </c:pt>
                <c:pt idx="48">
                  <c:v>-0.4543457232864796</c:v>
                </c:pt>
                <c:pt idx="49">
                  <c:v>-1.2909117978889029</c:v>
                </c:pt>
                <c:pt idx="50">
                  <c:v>-1.0586506601005041</c:v>
                </c:pt>
                <c:pt idx="51">
                  <c:v>-1.5440354703791712</c:v>
                </c:pt>
                <c:pt idx="52">
                  <c:v>0.40809955648899177</c:v>
                </c:pt>
                <c:pt idx="53">
                  <c:v>3.2684003315622263</c:v>
                </c:pt>
                <c:pt idx="54">
                  <c:v>-1.1667531208189175</c:v>
                </c:pt>
                <c:pt idx="55">
                  <c:v>-0.4635737308035317</c:v>
                </c:pt>
                <c:pt idx="56">
                  <c:v>-0.46677171912860871</c:v>
                </c:pt>
                <c:pt idx="57">
                  <c:v>0.6014553488561134</c:v>
                </c:pt>
                <c:pt idx="58">
                  <c:v>0.27845265263163554</c:v>
                </c:pt>
                <c:pt idx="59">
                  <c:v>0.30777832064319455</c:v>
                </c:pt>
                <c:pt idx="60">
                  <c:v>1.8272205129497294</c:v>
                </c:pt>
                <c:pt idx="61">
                  <c:v>1.1952430815271597</c:v>
                </c:pt>
                <c:pt idx="62">
                  <c:v>1.3071262049907446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E5-416E-8353-0514B84EF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50800"/>
        <c:axId val="565047440"/>
      </c:scatterChart>
      <c:valAx>
        <c:axId val="56505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47440"/>
        <c:crosses val="autoZero"/>
        <c:crossBetween val="midCat"/>
      </c:valAx>
      <c:valAx>
        <c:axId val="5650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050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Интервальный прогноз СП'!$BJ$9</c:f>
              <c:strCache>
                <c:ptCount val="1"/>
                <c:pt idx="0">
                  <c:v>Прогноз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'2. Интервальный прогноз СП'!$BL$9:$CI$9</c:f>
              <c:numCache>
                <c:formatCode>General</c:formatCode>
                <c:ptCount val="24"/>
                <c:pt idx="0">
                  <c:v>42.150315075574454</c:v>
                </c:pt>
                <c:pt idx="1">
                  <c:v>40.783190688614752</c:v>
                </c:pt>
                <c:pt idx="2">
                  <c:v>36.486286299622925</c:v>
                </c:pt>
                <c:pt idx="3">
                  <c:v>36.127013635261243</c:v>
                </c:pt>
                <c:pt idx="4">
                  <c:v>36.161224039637588</c:v>
                </c:pt>
                <c:pt idx="5">
                  <c:v>36.143041477500262</c:v>
                </c:pt>
                <c:pt idx="6">
                  <c:v>36.191251423325973</c:v>
                </c:pt>
                <c:pt idx="7">
                  <c:v>37.1556173910881</c:v>
                </c:pt>
                <c:pt idx="8">
                  <c:v>36.837908642074602</c:v>
                </c:pt>
                <c:pt idx="9">
                  <c:v>37.293548120328161</c:v>
                </c:pt>
                <c:pt idx="10">
                  <c:v>37.538019349437555</c:v>
                </c:pt>
                <c:pt idx="11">
                  <c:v>37.914893373612543</c:v>
                </c:pt>
                <c:pt idx="12">
                  <c:v>38.19271441170126</c:v>
                </c:pt>
                <c:pt idx="13">
                  <c:v>38.272832195974523</c:v>
                </c:pt>
                <c:pt idx="14">
                  <c:v>37.722878322646956</c:v>
                </c:pt>
                <c:pt idx="15">
                  <c:v>37.513500935105327</c:v>
                </c:pt>
                <c:pt idx="16">
                  <c:v>37.92724052061952</c:v>
                </c:pt>
                <c:pt idx="17">
                  <c:v>38.121541863888083</c:v>
                </c:pt>
                <c:pt idx="18">
                  <c:v>38.200102146335425</c:v>
                </c:pt>
                <c:pt idx="19">
                  <c:v>38.497595510886065</c:v>
                </c:pt>
                <c:pt idx="20">
                  <c:v>38.688838053615214</c:v>
                </c:pt>
                <c:pt idx="21">
                  <c:v>38.711139929659851</c:v>
                </c:pt>
                <c:pt idx="22">
                  <c:v>38.876516737631121</c:v>
                </c:pt>
                <c:pt idx="23">
                  <c:v>38.844453827541059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1-4D9E-BC48-1A36CFD80E24}"/>
            </c:ext>
          </c:extLst>
        </c:ser>
        <c:ser>
          <c:idx val="1"/>
          <c:order val="1"/>
          <c:tx>
            <c:strRef>
              <c:f>'2. Интервальный прогноз СП'!$BJ$10</c:f>
              <c:strCache>
                <c:ptCount val="1"/>
                <c:pt idx="0">
                  <c:v>Прогн.ОТ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'2. Интервальный прогноз СП'!$BL$10:$CI$10</c:f>
              <c:numCache>
                <c:formatCode>General</c:formatCode>
                <c:ptCount val="24"/>
                <c:pt idx="0">
                  <c:v>40.734164089483315</c:v>
                </c:pt>
                <c:pt idx="1">
                  <c:v>35.876062279396734</c:v>
                </c:pt>
                <c:pt idx="2">
                  <c:v>9.9914058842790041</c:v>
                </c:pt>
                <c:pt idx="3">
                  <c:v>13.331477273053096</c:v>
                </c:pt>
                <c:pt idx="4">
                  <c:v>15.84276600019318</c:v>
                </c:pt>
                <c:pt idx="5">
                  <c:v>17.770058094795864</c:v>
                </c:pt>
                <c:pt idx="6">
                  <c:v>19.180072706120363</c:v>
                </c:pt>
                <c:pt idx="7">
                  <c:v>18.963505743874627</c:v>
                </c:pt>
                <c:pt idx="8">
                  <c:v>19.41203146768833</c:v>
                </c:pt>
                <c:pt idx="9">
                  <c:v>20.685267556197992</c:v>
                </c:pt>
                <c:pt idx="10">
                  <c:v>21.497540709593313</c:v>
                </c:pt>
                <c:pt idx="11">
                  <c:v>22.040290660612026</c:v>
                </c:pt>
                <c:pt idx="12">
                  <c:v>23.096151453734347</c:v>
                </c:pt>
                <c:pt idx="13">
                  <c:v>23.715753524051681</c:v>
                </c:pt>
                <c:pt idx="14">
                  <c:v>22.114913585702865</c:v>
                </c:pt>
                <c:pt idx="15">
                  <c:v>22.396105406726154</c:v>
                </c:pt>
                <c:pt idx="16">
                  <c:v>22.389958485182383</c:v>
                </c:pt>
                <c:pt idx="17">
                  <c:v>22.920528904202985</c:v>
                </c:pt>
                <c:pt idx="18">
                  <c:v>23.357944984161946</c:v>
                </c:pt>
                <c:pt idx="19">
                  <c:v>23.50426106028597</c:v>
                </c:pt>
                <c:pt idx="20">
                  <c:v>23.805765164786877</c:v>
                </c:pt>
                <c:pt idx="21">
                  <c:v>24.327782832758839</c:v>
                </c:pt>
                <c:pt idx="22">
                  <c:v>24.608459193253132</c:v>
                </c:pt>
                <c:pt idx="23">
                  <c:v>24.832804208009982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1-4D9E-BC48-1A36CFD80E24}"/>
            </c:ext>
          </c:extLst>
        </c:ser>
        <c:ser>
          <c:idx val="2"/>
          <c:order val="2"/>
          <c:tx>
            <c:strRef>
              <c:f>'2. Интервальный прогноз СП'!$BJ$11</c:f>
              <c:strCache>
                <c:ptCount val="1"/>
                <c:pt idx="0">
                  <c:v>Прогн.ДО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'2. Интервальный прогноз СП'!$BL$11:$CI$11</c:f>
              <c:numCache>
                <c:formatCode>General</c:formatCode>
                <c:ptCount val="24"/>
                <c:pt idx="0">
                  <c:v>43.566466061665594</c:v>
                </c:pt>
                <c:pt idx="1">
                  <c:v>45.69031909783277</c:v>
                </c:pt>
                <c:pt idx="2">
                  <c:v>62.981166714966847</c:v>
                </c:pt>
                <c:pt idx="3">
                  <c:v>58.922549997469389</c:v>
                </c:pt>
                <c:pt idx="4">
                  <c:v>56.479682079081996</c:v>
                </c:pt>
                <c:pt idx="5">
                  <c:v>54.516024860204659</c:v>
                </c:pt>
                <c:pt idx="6">
                  <c:v>53.202430140531582</c:v>
                </c:pt>
                <c:pt idx="7">
                  <c:v>55.347729038301573</c:v>
                </c:pt>
                <c:pt idx="8">
                  <c:v>54.263785816460874</c:v>
                </c:pt>
                <c:pt idx="9">
                  <c:v>53.90182868445833</c:v>
                </c:pt>
                <c:pt idx="10">
                  <c:v>53.5784979892818</c:v>
                </c:pt>
                <c:pt idx="11">
                  <c:v>53.789496086613056</c:v>
                </c:pt>
                <c:pt idx="12">
                  <c:v>53.28927736966817</c:v>
                </c:pt>
                <c:pt idx="13">
                  <c:v>52.829910867897368</c:v>
                </c:pt>
                <c:pt idx="14">
                  <c:v>53.330843059591047</c:v>
                </c:pt>
                <c:pt idx="15">
                  <c:v>52.630896463484504</c:v>
                </c:pt>
                <c:pt idx="16">
                  <c:v>53.464522556056657</c:v>
                </c:pt>
                <c:pt idx="17">
                  <c:v>53.322554823573185</c:v>
                </c:pt>
                <c:pt idx="18">
                  <c:v>53.042259308508903</c:v>
                </c:pt>
                <c:pt idx="19">
                  <c:v>53.49092996148616</c:v>
                </c:pt>
                <c:pt idx="20">
                  <c:v>53.571910942443552</c:v>
                </c:pt>
                <c:pt idx="21">
                  <c:v>53.094497026560859</c:v>
                </c:pt>
                <c:pt idx="22">
                  <c:v>53.14457428200911</c:v>
                </c:pt>
                <c:pt idx="23">
                  <c:v>52.856103447072137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D1-4D9E-BC48-1A36CFD80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3613840"/>
        <c:axId val="573607120"/>
      </c:lineChart>
      <c:catAx>
        <c:axId val="573613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607120"/>
        <c:crosses val="autoZero"/>
        <c:auto val="1"/>
        <c:lblAlgn val="ctr"/>
        <c:lblOffset val="100"/>
        <c:noMultiLvlLbl val="0"/>
      </c:catAx>
      <c:valAx>
        <c:axId val="5736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361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До 3 сигма интерполяция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 Интервальный прогноз СП'!$CJ$13:$CJ$74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'2. Интервальный прогноз СП'!$CT$13:$CT$74</c:f>
              <c:numCache>
                <c:formatCode>General</c:formatCode>
                <c:ptCount val="62"/>
                <c:pt idx="0">
                  <c:v>9.0310500094620387</c:v>
                </c:pt>
                <c:pt idx="1">
                  <c:v>9.1913070653711824</c:v>
                </c:pt>
                <c:pt idx="2">
                  <c:v>9.3530871033812524</c:v>
                </c:pt>
                <c:pt idx="3">
                  <c:v>9.5164941628934869</c:v>
                </c:pt>
                <c:pt idx="4">
                  <c:v>9.6816404022913503</c:v>
                </c:pt>
                <c:pt idx="5">
                  <c:v>9.8486466860651554</c:v>
                </c:pt>
                <c:pt idx="6">
                  <c:v>10.017643183819274</c:v>
                </c:pt>
                <c:pt idx="7">
                  <c:v>10.188769970819088</c:v>
                </c:pt>
                <c:pt idx="8">
                  <c:v>10.362177616180865</c:v>
                </c:pt>
                <c:pt idx="9">
                  <c:v>10.538027740522908</c:v>
                </c:pt>
                <c:pt idx="10">
                  <c:v>10.716493519834447</c:v>
                </c:pt>
                <c:pt idx="11">
                  <c:v>10.897760106478732</c:v>
                </c:pt>
                <c:pt idx="12">
                  <c:v>11.082024931702026</c:v>
                </c:pt>
                <c:pt idx="13">
                  <c:v>11.269497846953591</c:v>
                </c:pt>
                <c:pt idx="14">
                  <c:v>11.46040105406855</c:v>
                </c:pt>
                <c:pt idx="15">
                  <c:v>11.654968767461369</c:v>
                </c:pt>
                <c:pt idx="16">
                  <c:v>11.85344654570282</c:v>
                </c:pt>
                <c:pt idx="17">
                  <c:v>12.05609022626426</c:v>
                </c:pt>
                <c:pt idx="18">
                  <c:v>12.26316439714541</c:v>
                </c:pt>
                <c:pt idx="19">
                  <c:v>12.474940344116437</c:v>
                </c:pt>
                <c:pt idx="20">
                  <c:v>12.691693424062386</c:v>
                </c:pt>
                <c:pt idx="21">
                  <c:v>12.913699834944236</c:v>
                </c:pt>
                <c:pt idx="22">
                  <c:v>13.1412327822422</c:v>
                </c:pt>
                <c:pt idx="23">
                  <c:v>13.374558080573895</c:v>
                </c:pt>
                <c:pt idx="24">
                  <c:v>13.613929276265214</c:v>
                </c:pt>
                <c:pt idx="25">
                  <c:v>13.859582429018317</c:v>
                </c:pt>
                <c:pt idx="26">
                  <c:v>14.111730743573663</c:v>
                </c:pt>
                <c:pt idx="27">
                  <c:v>14.370559288817596</c:v>
                </c:pt>
                <c:pt idx="28">
                  <c:v>14.636220074607998</c:v>
                </c:pt>
                <c:pt idx="29">
                  <c:v>14.908827768434087</c:v>
                </c:pt>
                <c:pt idx="30">
                  <c:v>15.188456319501764</c:v>
                </c:pt>
                <c:pt idx="31">
                  <c:v>15.475136714937001</c:v>
                </c:pt>
                <c:pt idx="32">
                  <c:v>15.768856023929565</c:v>
                </c:pt>
                <c:pt idx="33">
                  <c:v>16.069557797733395</c:v>
                </c:pt>
                <c:pt idx="34">
                  <c:v>16.377143796991863</c:v>
                </c:pt>
                <c:pt idx="35">
                  <c:v>16.691476925014204</c:v>
                </c:pt>
                <c:pt idx="36">
                  <c:v>17.012385167839312</c:v>
                </c:pt>
                <c:pt idx="37">
                  <c:v>17.339666287764768</c:v>
                </c:pt>
                <c:pt idx="38">
                  <c:v>17.673092990809984</c:v>
                </c:pt>
                <c:pt idx="39">
                  <c:v>18.012418290052874</c:v>
                </c:pt>
                <c:pt idx="40">
                  <c:v>18.357380811766159</c:v>
                </c:pt>
                <c:pt idx="41">
                  <c:v>18.707709833104445</c:v>
                </c:pt>
                <c:pt idx="42">
                  <c:v>19.063129891166348</c:v>
                </c:pt>
                <c:pt idx="43">
                  <c:v>19.42336485648131</c:v>
                </c:pt>
                <c:pt idx="44">
                  <c:v>19.788141413701737</c:v>
                </c:pt>
                <c:pt idx="45">
                  <c:v>20.157191934751435</c:v>
                </c:pt>
                <c:pt idx="46">
                  <c:v>20.530256762986337</c:v>
                </c:pt>
                <c:pt idx="47">
                  <c:v>20.907085950705017</c:v>
                </c:pt>
                <c:pt idx="48">
                  <c:v>21.287440507343874</c:v>
                </c:pt>
                <c:pt idx="49">
                  <c:v>21.671093223284693</c:v>
                </c:pt>
                <c:pt idx="50">
                  <c:v>22.057829136030033</c:v>
                </c:pt>
                <c:pt idx="51">
                  <c:v>22.447445703187213</c:v>
                </c:pt>
                <c:pt idx="52">
                  <c:v>22.839752741683093</c:v>
                </c:pt>
                <c:pt idx="53">
                  <c:v>23.234572186083295</c:v>
                </c:pt>
                <c:pt idx="54">
                  <c:v>23.631737711702055</c:v>
                </c:pt>
                <c:pt idx="55">
                  <c:v>24.031094260994667</c:v>
                </c:pt>
                <c:pt idx="56">
                  <c:v>24.432497504934751</c:v>
                </c:pt>
                <c:pt idx="57">
                  <c:v>24.835813264934046</c:v>
                </c:pt>
                <c:pt idx="58">
                  <c:v>25.240916915476468</c:v>
                </c:pt>
                <c:pt idx="59">
                  <c:v>25.647692783036799</c:v>
                </c:pt>
                <c:pt idx="60">
                  <c:v>26.056033553006934</c:v>
                </c:pt>
                <c:pt idx="61">
                  <c:v>26.465839693195466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68-4608-945A-0F026B2C46CA}"/>
            </c:ext>
          </c:extLst>
        </c:ser>
        <c:ser>
          <c:idx val="1"/>
          <c:order val="1"/>
          <c:tx>
            <c:v>До 3 сигма экстраполяиця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 Интервальный прогноз СП'!$CJ$76:$CJ$138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'2. Интервальный прогноз СП'!$CT$76:$CT$138</c:f>
              <c:numCache>
                <c:formatCode>General</c:formatCode>
                <c:ptCount val="63"/>
                <c:pt idx="0">
                  <c:v>27.289485570688122</c:v>
                </c:pt>
                <c:pt idx="1">
                  <c:v>27.703160305893075</c:v>
                </c:pt>
                <c:pt idx="2">
                  <c:v>28.117969440721915</c:v>
                </c:pt>
                <c:pt idx="3">
                  <c:v>28.533844607582793</c:v>
                </c:pt>
                <c:pt idx="4">
                  <c:v>28.950722328669087</c:v>
                </c:pt>
                <c:pt idx="5">
                  <c:v>29.368543637805772</c:v>
                </c:pt>
                <c:pt idx="6">
                  <c:v>29.78725373038986</c:v>
                </c:pt>
                <c:pt idx="7">
                  <c:v>30.206801640021844</c:v>
                </c:pt>
                <c:pt idx="8">
                  <c:v>30.627139940298655</c:v>
                </c:pt>
                <c:pt idx="9">
                  <c:v>31.0482244701785</c:v>
                </c:pt>
                <c:pt idx="10">
                  <c:v>31.47001408131781</c:v>
                </c:pt>
                <c:pt idx="11">
                  <c:v>31.892470405804939</c:v>
                </c:pt>
                <c:pt idx="12">
                  <c:v>32.315557642765917</c:v>
                </c:pt>
                <c:pt idx="13">
                  <c:v>32.739242362384033</c:v>
                </c:pt>
                <c:pt idx="14">
                  <c:v>33.163493325952764</c:v>
                </c:pt>
                <c:pt idx="15">
                  <c:v>33.588281320664869</c:v>
                </c:pt>
                <c:pt idx="16">
                  <c:v>34.013579007926417</c:v>
                </c:pt>
                <c:pt idx="17">
                  <c:v>34.43936078407036</c:v>
                </c:pt>
                <c:pt idx="18">
                  <c:v>34.865602652428201</c:v>
                </c:pt>
                <c:pt idx="19">
                  <c:v>35.292282105799138</c:v>
                </c:pt>
                <c:pt idx="20">
                  <c:v>35.719378018433112</c:v>
                </c:pt>
                <c:pt idx="21">
                  <c:v>36.14687054671672</c:v>
                </c:pt>
                <c:pt idx="22">
                  <c:v>36.574741037818725</c:v>
                </c:pt>
                <c:pt idx="23">
                  <c:v>37.002971945615364</c:v>
                </c:pt>
                <c:pt idx="24">
                  <c:v>37.431546753273906</c:v>
                </c:pt>
                <c:pt idx="25">
                  <c:v>37.860449901927083</c:v>
                </c:pt>
                <c:pt idx="26">
                  <c:v>38.289666724920451</c:v>
                </c:pt>
                <c:pt idx="27">
                  <c:v>38.719183387160534</c:v>
                </c:pt>
                <c:pt idx="28">
                  <c:v>39.148986829133008</c:v>
                </c:pt>
                <c:pt idx="29">
                  <c:v>39.579064715198342</c:v>
                </c:pt>
                <c:pt idx="30">
                  <c:v>40.009405385807128</c:v>
                </c:pt>
                <c:pt idx="31">
                  <c:v>40.439997813308821</c:v>
                </c:pt>
                <c:pt idx="32">
                  <c:v>40.870831561056576</c:v>
                </c:pt>
                <c:pt idx="33">
                  <c:v>41.301896745536986</c:v>
                </c:pt>
                <c:pt idx="34">
                  <c:v>41.733184001277479</c:v>
                </c:pt>
                <c:pt idx="35">
                  <c:v>42.164684448305671</c:v>
                </c:pt>
                <c:pt idx="36">
                  <c:v>42.596389661954881</c:v>
                </c:pt>
                <c:pt idx="37">
                  <c:v>43.02829164482776</c:v>
                </c:pt>
                <c:pt idx="38">
                  <c:v>43.460382800746366</c:v>
                </c:pt>
                <c:pt idx="39">
                  <c:v>43.892655910531715</c:v>
                </c:pt>
                <c:pt idx="40">
                  <c:v>44.325104109469535</c:v>
                </c:pt>
                <c:pt idx="41">
                  <c:v>44.757720866330729</c:v>
                </c:pt>
                <c:pt idx="42">
                  <c:v>45.190499963826838</c:v>
                </c:pt>
                <c:pt idx="43">
                  <c:v>45.623435480390178</c:v>
                </c:pt>
                <c:pt idx="44">
                  <c:v>46.056521773178176</c:v>
                </c:pt>
                <c:pt idx="45">
                  <c:v>46.489753462209308</c:v>
                </c:pt>
                <c:pt idx="46">
                  <c:v>46.923125415546238</c:v>
                </c:pt>
                <c:pt idx="47">
                  <c:v>47.356632735447974</c:v>
                </c:pt>
                <c:pt idx="48">
                  <c:v>47.790270745420116</c:v>
                </c:pt>
                <c:pt idx="49">
                  <c:v>48.224034978097087</c:v>
                </c:pt>
                <c:pt idx="50">
                  <c:v>48.65792116389639</c:v>
                </c:pt>
                <c:pt idx="51">
                  <c:v>49.0919252203892</c:v>
                </c:pt>
                <c:pt idx="52">
                  <c:v>49.526043242336151</c:v>
                </c:pt>
                <c:pt idx="53">
                  <c:v>49.960271492341334</c:v>
                </c:pt>
                <c:pt idx="54">
                  <c:v>50.394606392081087</c:v>
                </c:pt>
                <c:pt idx="55">
                  <c:v>50.829044514067483</c:v>
                </c:pt>
                <c:pt idx="56">
                  <c:v>51.263582573909645</c:v>
                </c:pt>
                <c:pt idx="57">
                  <c:v>51.698217423038749</c:v>
                </c:pt>
                <c:pt idx="58">
                  <c:v>52.132946041865232</c:v>
                </c:pt>
                <c:pt idx="59">
                  <c:v>52.567765533338957</c:v>
                </c:pt>
                <c:pt idx="60">
                  <c:v>53.002673116885532</c:v>
                </c:pt>
                <c:pt idx="61">
                  <c:v>53.437666122693699</c:v>
                </c:pt>
                <c:pt idx="62">
                  <c:v>53.87274198633073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8-4608-945A-0F026B2C46CA}"/>
            </c:ext>
          </c:extLst>
        </c:ser>
        <c:ser>
          <c:idx val="2"/>
          <c:order val="2"/>
          <c:tx>
            <c:v>От 3 сигма интерполяция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 Интервальный прогноз СП'!$CJ$13:$CJ$74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'2. Интервальный прогноз СП'!$CS$13:$CS$74</c:f>
              <c:numCache>
                <c:formatCode>General</c:formatCode>
                <c:ptCount val="62"/>
                <c:pt idx="0">
                  <c:v>-2.4937957598453471</c:v>
                </c:pt>
                <c:pt idx="1">
                  <c:v>-2.0848395885107665</c:v>
                </c:pt>
                <c:pt idx="2">
                  <c:v>-1.677406399277114</c:v>
                </c:pt>
                <c:pt idx="3">
                  <c:v>-1.2716002315456238</c:v>
                </c:pt>
                <c:pt idx="4">
                  <c:v>-0.86753324369976426</c:v>
                </c:pt>
                <c:pt idx="5">
                  <c:v>-0.46532630022984822</c:v>
                </c:pt>
                <c:pt idx="6">
                  <c:v>-6.5109570740241374E-2</c:v>
                </c:pt>
                <c:pt idx="7">
                  <c:v>0.33297686950366767</c:v>
                </c:pt>
                <c:pt idx="8">
                  <c:v>0.72878245138561315</c:v>
                </c:pt>
                <c:pt idx="9">
                  <c:v>1.1221455542872949</c:v>
                </c:pt>
                <c:pt idx="10">
                  <c:v>1.5128930022194771</c:v>
                </c:pt>
                <c:pt idx="11">
                  <c:v>1.9008396428189176</c:v>
                </c:pt>
                <c:pt idx="12">
                  <c:v>2.2857880448393466</c:v>
                </c:pt>
                <c:pt idx="13">
                  <c:v>2.6675283568315038</c:v>
                </c:pt>
                <c:pt idx="14">
                  <c:v>3.045838376960269</c:v>
                </c:pt>
                <c:pt idx="15">
                  <c:v>3.4204838908111723</c:v>
                </c:pt>
                <c:pt idx="16">
                  <c:v>3.7912193398134475</c:v>
                </c:pt>
                <c:pt idx="17">
                  <c:v>4.1577888864957293</c:v>
                </c:pt>
                <c:pt idx="18">
                  <c:v>4.5199279428583026</c:v>
                </c:pt>
                <c:pt idx="19">
                  <c:v>4.8773652231309965</c:v>
                </c:pt>
                <c:pt idx="20">
                  <c:v>5.2298253704287747</c:v>
                </c:pt>
                <c:pt idx="21">
                  <c:v>5.5770321867906469</c:v>
                </c:pt>
                <c:pt idx="22">
                  <c:v>5.9187124667364071</c:v>
                </c:pt>
                <c:pt idx="23">
                  <c:v>6.2546003956484357</c:v>
                </c:pt>
                <c:pt idx="24">
                  <c:v>6.5844424272008384</c:v>
                </c:pt>
                <c:pt idx="25">
                  <c:v>6.9080025016914606</c:v>
                </c:pt>
                <c:pt idx="26">
                  <c:v>7.2250674143798355</c:v>
                </c:pt>
                <c:pt idx="27">
                  <c:v>7.5354520963796299</c:v>
                </c:pt>
                <c:pt idx="28">
                  <c:v>7.8390045378329489</c:v>
                </c:pt>
                <c:pt idx="29">
                  <c:v>8.1356100712505821</c:v>
                </c:pt>
                <c:pt idx="30">
                  <c:v>8.4251947474266302</c:v>
                </c:pt>
                <c:pt idx="31">
                  <c:v>8.7077275792351152</c:v>
                </c:pt>
                <c:pt idx="32">
                  <c:v>8.983221497486273</c:v>
                </c:pt>
                <c:pt idx="33">
                  <c:v>9.2517329509261703</c:v>
                </c:pt>
                <c:pt idx="34">
                  <c:v>9.5133601789114248</c:v>
                </c:pt>
                <c:pt idx="35">
                  <c:v>9.7682402781328079</c:v>
                </c:pt>
                <c:pt idx="36">
                  <c:v>10.016545262551421</c:v>
                </c:pt>
                <c:pt idx="37">
                  <c:v>10.258477369869688</c:v>
                </c:pt>
                <c:pt idx="38">
                  <c:v>10.494263894068196</c:v>
                </c:pt>
                <c:pt idx="39">
                  <c:v>10.724151822069029</c:v>
                </c:pt>
                <c:pt idx="40">
                  <c:v>10.948402527599466</c:v>
                </c:pt>
                <c:pt idx="41">
                  <c:v>11.167286733504906</c:v>
                </c:pt>
                <c:pt idx="42">
                  <c:v>11.381079902686725</c:v>
                </c:pt>
                <c:pt idx="43">
                  <c:v>11.590058164615485</c:v>
                </c:pt>
                <c:pt idx="44">
                  <c:v>11.794494834638783</c:v>
                </c:pt>
                <c:pt idx="45">
                  <c:v>11.994657540832808</c:v>
                </c:pt>
                <c:pt idx="46">
                  <c:v>12.190805939841628</c:v>
                </c:pt>
                <c:pt idx="47">
                  <c:v>12.383189979366669</c:v>
                </c:pt>
                <c:pt idx="48">
                  <c:v>12.572048649971535</c:v>
                </c:pt>
                <c:pt idx="49">
                  <c:v>12.757609161274443</c:v>
                </c:pt>
                <c:pt idx="50">
                  <c:v>12.940086475772826</c:v>
                </c:pt>
                <c:pt idx="51">
                  <c:v>13.119683135859377</c:v>
                </c:pt>
                <c:pt idx="52">
                  <c:v>13.296589324607218</c:v>
                </c:pt>
                <c:pt idx="53">
                  <c:v>13.470983107450738</c:v>
                </c:pt>
                <c:pt idx="54">
                  <c:v>13.6430308090757</c:v>
                </c:pt>
                <c:pt idx="55">
                  <c:v>13.81288748702681</c:v>
                </c:pt>
                <c:pt idx="56">
                  <c:v>13.980697470330448</c:v>
                </c:pt>
                <c:pt idx="57">
                  <c:v>14.146594937574875</c:v>
                </c:pt>
                <c:pt idx="58">
                  <c:v>14.310704514276175</c:v>
                </c:pt>
                <c:pt idx="59">
                  <c:v>14.473141873959566</c:v>
                </c:pt>
                <c:pt idx="60">
                  <c:v>14.634014331233152</c:v>
                </c:pt>
                <c:pt idx="61">
                  <c:v>14.793421418288357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68-4608-945A-0F026B2C46CA}"/>
            </c:ext>
          </c:extLst>
        </c:ser>
        <c:ser>
          <c:idx val="3"/>
          <c:order val="3"/>
          <c:tx>
            <c:v>От 3 сигма экстраполяция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 Интервальный прогноз СП'!$CJ$76:$CJ$138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'2. Интервальный прогноз СП'!$CS$76:$CS$138</c:f>
              <c:numCache>
                <c:formatCode>General</c:formatCode>
                <c:ptCount val="63"/>
                <c:pt idx="0">
                  <c:v>15.108201995283144</c:v>
                </c:pt>
                <c:pt idx="1">
                  <c:v>15.263740487321915</c:v>
                </c:pt>
                <c:pt idx="2">
                  <c:v>15.418144579736795</c:v>
                </c:pt>
                <c:pt idx="3">
                  <c:v>15.57148264011964</c:v>
                </c:pt>
                <c:pt idx="4">
                  <c:v>15.72381814627707</c:v>
                </c:pt>
                <c:pt idx="5">
                  <c:v>15.875210064384104</c:v>
                </c:pt>
                <c:pt idx="6">
                  <c:v>16.025713199043739</c:v>
                </c:pt>
                <c:pt idx="7">
                  <c:v>16.175378516655478</c:v>
                </c:pt>
                <c:pt idx="8">
                  <c:v>16.324253443622403</c:v>
                </c:pt>
                <c:pt idx="9">
                  <c:v>16.47238214098628</c:v>
                </c:pt>
                <c:pt idx="10">
                  <c:v>16.619805757090692</c:v>
                </c:pt>
                <c:pt idx="11">
                  <c:v>16.766562659847285</c:v>
                </c:pt>
                <c:pt idx="12">
                  <c:v>16.912688650130029</c:v>
                </c:pt>
                <c:pt idx="13">
                  <c:v>17.058217157755635</c:v>
                </c:pt>
                <c:pt idx="14">
                  <c:v>17.203179421430626</c:v>
                </c:pt>
                <c:pt idx="15">
                  <c:v>17.347604653962243</c:v>
                </c:pt>
                <c:pt idx="16">
                  <c:v>17.491520193944417</c:v>
                </c:pt>
                <c:pt idx="17">
                  <c:v>17.634951645044193</c:v>
                </c:pt>
                <c:pt idx="18">
                  <c:v>17.777923003930077</c:v>
                </c:pt>
                <c:pt idx="19">
                  <c:v>17.920456777802876</c:v>
                </c:pt>
                <c:pt idx="20">
                  <c:v>18.062574092412625</c:v>
                </c:pt>
                <c:pt idx="21">
                  <c:v>18.204294791372739</c:v>
                </c:pt>
                <c:pt idx="22">
                  <c:v>18.345637527514455</c:v>
                </c:pt>
                <c:pt idx="23">
                  <c:v>18.486619846961538</c:v>
                </c:pt>
                <c:pt idx="24">
                  <c:v>18.627258266546715</c:v>
                </c:pt>
                <c:pt idx="25">
                  <c:v>18.76756834513726</c:v>
                </c:pt>
                <c:pt idx="26">
                  <c:v>18.907564749387618</c:v>
                </c:pt>
                <c:pt idx="27">
                  <c:v>19.047261314391257</c:v>
                </c:pt>
                <c:pt idx="28">
                  <c:v>19.186671099662505</c:v>
                </c:pt>
                <c:pt idx="29">
                  <c:v>19.325806440840893</c:v>
                </c:pt>
                <c:pt idx="30">
                  <c:v>19.46467899747584</c:v>
                </c:pt>
                <c:pt idx="31">
                  <c:v>19.603299797217872</c:v>
                </c:pt>
                <c:pt idx="32">
                  <c:v>19.741679276713839</c:v>
                </c:pt>
                <c:pt idx="33">
                  <c:v>19.879827319477151</c:v>
                </c:pt>
                <c:pt idx="34">
                  <c:v>20.01775329098038</c:v>
                </c:pt>
                <c:pt idx="35">
                  <c:v>20.15546607119591</c:v>
                </c:pt>
                <c:pt idx="36">
                  <c:v>20.292974084790423</c:v>
                </c:pt>
                <c:pt idx="37">
                  <c:v>20.430285329161261</c:v>
                </c:pt>
                <c:pt idx="38">
                  <c:v>20.567407400486381</c:v>
                </c:pt>
                <c:pt idx="39">
                  <c:v>20.70434751794475</c:v>
                </c:pt>
                <c:pt idx="40">
                  <c:v>20.84111254625067</c:v>
                </c:pt>
                <c:pt idx="41">
                  <c:v>20.977709016633202</c:v>
                </c:pt>
                <c:pt idx="42">
                  <c:v>21.114143146380815</c:v>
                </c:pt>
                <c:pt idx="43">
                  <c:v>21.250420857061194</c:v>
                </c:pt>
                <c:pt idx="44">
                  <c:v>21.386547791516922</c:v>
                </c:pt>
                <c:pt idx="45">
                  <c:v>21.522529329729505</c:v>
                </c:pt>
                <c:pt idx="46">
                  <c:v>21.658370603636303</c:v>
                </c:pt>
                <c:pt idx="47">
                  <c:v>21.794076510978282</c:v>
                </c:pt>
                <c:pt idx="48">
                  <c:v>21.929651728249869</c:v>
                </c:pt>
                <c:pt idx="49">
                  <c:v>22.065100722816631</c:v>
                </c:pt>
                <c:pt idx="50">
                  <c:v>22.200427764261047</c:v>
                </c:pt>
                <c:pt idx="51">
                  <c:v>22.335636935011959</c:v>
                </c:pt>
                <c:pt idx="52">
                  <c:v>22.470732140308733</c:v>
                </c:pt>
                <c:pt idx="53">
                  <c:v>22.605717117547272</c:v>
                </c:pt>
                <c:pt idx="54">
                  <c:v>22.740595445051241</c:v>
                </c:pt>
                <c:pt idx="55">
                  <c:v>22.875370550308567</c:v>
                </c:pt>
                <c:pt idx="56">
                  <c:v>23.010045717710128</c:v>
                </c:pt>
                <c:pt idx="57">
                  <c:v>23.144624095824746</c:v>
                </c:pt>
                <c:pt idx="58">
                  <c:v>23.279108704241985</c:v>
                </c:pt>
                <c:pt idx="59">
                  <c:v>23.413502440011996</c:v>
                </c:pt>
                <c:pt idx="60">
                  <c:v>23.547808083709146</c:v>
                </c:pt>
                <c:pt idx="61">
                  <c:v>23.682028305144701</c:v>
                </c:pt>
                <c:pt idx="62">
                  <c:v>23.816165668751388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8-4608-945A-0F026B2C46CA}"/>
            </c:ext>
          </c:extLst>
        </c:ser>
        <c:ser>
          <c:idx val="4"/>
          <c:order val="4"/>
          <c:tx>
            <c:v>До 2 сигма интерполяция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 Интервальный прогноз СП'!$CJ$13:$CJ$74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'2. Интервальный прогноз СП'!$CQ$13:$CQ$74</c:f>
              <c:numCache>
                <c:formatCode>General</c:formatCode>
                <c:ptCount val="62"/>
                <c:pt idx="0">
                  <c:v>7.1102423812441415</c:v>
                </c:pt>
                <c:pt idx="1">
                  <c:v>7.3119492897241898</c:v>
                </c:pt>
                <c:pt idx="2">
                  <c:v>7.5146715196048577</c:v>
                </c:pt>
                <c:pt idx="3">
                  <c:v>7.718478430486968</c:v>
                </c:pt>
                <c:pt idx="4">
                  <c:v>7.9234447946261639</c:v>
                </c:pt>
                <c:pt idx="5">
                  <c:v>8.1296511883493228</c:v>
                </c:pt>
                <c:pt idx="6">
                  <c:v>8.3371843913926877</c:v>
                </c:pt>
                <c:pt idx="7">
                  <c:v>8.5461377872665185</c:v>
                </c:pt>
                <c:pt idx="8">
                  <c:v>8.7566117553816571</c:v>
                </c:pt>
                <c:pt idx="9">
                  <c:v>8.9687140428169734</c:v>
                </c:pt>
                <c:pt idx="10">
                  <c:v>9.182560100231953</c:v>
                </c:pt>
                <c:pt idx="11">
                  <c:v>9.3982733625354289</c:v>
                </c:pt>
                <c:pt idx="12">
                  <c:v>9.6159854505582452</c:v>
                </c:pt>
                <c:pt idx="13">
                  <c:v>9.8358362652665772</c:v>
                </c:pt>
                <c:pt idx="14">
                  <c:v>10.05797394121717</c:v>
                </c:pt>
                <c:pt idx="15">
                  <c:v>10.282554621353004</c:v>
                </c:pt>
                <c:pt idx="16">
                  <c:v>10.509742011387925</c:v>
                </c:pt>
                <c:pt idx="17">
                  <c:v>10.739706669636172</c:v>
                </c:pt>
                <c:pt idx="18">
                  <c:v>10.972624988097559</c:v>
                </c:pt>
                <c:pt idx="19">
                  <c:v>11.208677823952197</c:v>
                </c:pt>
                <c:pt idx="20">
                  <c:v>11.448048748456783</c:v>
                </c:pt>
                <c:pt idx="21">
                  <c:v>11.690921893585303</c:v>
                </c:pt>
                <c:pt idx="22">
                  <c:v>11.937479396324569</c:v>
                </c:pt>
                <c:pt idx="23">
                  <c:v>12.18789846641965</c:v>
                </c:pt>
                <c:pt idx="24">
                  <c:v>12.442348134754484</c:v>
                </c:pt>
                <c:pt idx="25">
                  <c:v>12.70098577446384</c:v>
                </c:pt>
                <c:pt idx="26">
                  <c:v>12.96395352204136</c:v>
                </c:pt>
                <c:pt idx="27">
                  <c:v>13.2313747567446</c:v>
                </c:pt>
                <c:pt idx="28">
                  <c:v>13.503350818478824</c:v>
                </c:pt>
                <c:pt idx="29">
                  <c:v>13.779958152236835</c:v>
                </c:pt>
                <c:pt idx="30">
                  <c:v>14.061246057489242</c:v>
                </c:pt>
                <c:pt idx="31">
                  <c:v>14.347235192320021</c:v>
                </c:pt>
                <c:pt idx="32">
                  <c:v>14.637916936189017</c:v>
                </c:pt>
                <c:pt idx="33">
                  <c:v>14.933253656598858</c:v>
                </c:pt>
                <c:pt idx="34">
                  <c:v>15.233179860645123</c:v>
                </c:pt>
                <c:pt idx="35">
                  <c:v>15.537604150533971</c:v>
                </c:pt>
                <c:pt idx="36">
                  <c:v>15.84641185029133</c:v>
                </c:pt>
                <c:pt idx="37">
                  <c:v>16.159468134782255</c:v>
                </c:pt>
                <c:pt idx="38">
                  <c:v>16.476621474686354</c:v>
                </c:pt>
                <c:pt idx="39">
                  <c:v>16.797707212055567</c:v>
                </c:pt>
                <c:pt idx="40">
                  <c:v>17.122551097738377</c:v>
                </c:pt>
                <c:pt idx="41">
                  <c:v>17.450972649837855</c:v>
                </c:pt>
                <c:pt idx="42">
                  <c:v>17.782788226419743</c:v>
                </c:pt>
                <c:pt idx="43">
                  <c:v>18.117813741170337</c:v>
                </c:pt>
                <c:pt idx="44">
                  <c:v>18.455866983857913</c:v>
                </c:pt>
                <c:pt idx="45">
                  <c:v>18.796769535764998</c:v>
                </c:pt>
                <c:pt idx="46">
                  <c:v>19.140348292462217</c:v>
                </c:pt>
                <c:pt idx="47">
                  <c:v>19.486436622148627</c:v>
                </c:pt>
                <c:pt idx="48">
                  <c:v>19.834875197781816</c:v>
                </c:pt>
                <c:pt idx="49">
                  <c:v>20.185512546282986</c:v>
                </c:pt>
                <c:pt idx="50">
                  <c:v>20.5382053593205</c:v>
                </c:pt>
                <c:pt idx="51">
                  <c:v>20.892818608632574</c:v>
                </c:pt>
                <c:pt idx="52">
                  <c:v>21.24922550550378</c:v>
                </c:pt>
                <c:pt idx="53">
                  <c:v>21.607307339644535</c:v>
                </c:pt>
                <c:pt idx="54">
                  <c:v>21.966953227930997</c:v>
                </c:pt>
                <c:pt idx="55">
                  <c:v>22.32805979866669</c:v>
                </c:pt>
                <c:pt idx="56">
                  <c:v>22.690530832500702</c:v>
                </c:pt>
                <c:pt idx="57">
                  <c:v>23.054276877040852</c:v>
                </c:pt>
                <c:pt idx="58">
                  <c:v>23.419214848609752</c:v>
                </c:pt>
                <c:pt idx="59">
                  <c:v>23.785267631523929</c:v>
                </c:pt>
                <c:pt idx="60">
                  <c:v>24.152363682711304</c:v>
                </c:pt>
                <c:pt idx="61">
                  <c:v>24.520436647377615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68-4608-945A-0F026B2C46CA}"/>
            </c:ext>
          </c:extLst>
        </c:ser>
        <c:ser>
          <c:idx val="5"/>
          <c:order val="5"/>
          <c:tx>
            <c:v>До 2 сигма экстраполяция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 Интервальный прогноз СП'!$CJ$76:$CJ$138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'2. Интервальный прогноз СП'!$CQ$76:$CQ$138</c:f>
              <c:numCache>
                <c:formatCode>General</c:formatCode>
                <c:ptCount val="63"/>
                <c:pt idx="0">
                  <c:v>25.25927164145396</c:v>
                </c:pt>
                <c:pt idx="1">
                  <c:v>25.629923669464549</c:v>
                </c:pt>
                <c:pt idx="2">
                  <c:v>26.001331963891062</c:v>
                </c:pt>
                <c:pt idx="3">
                  <c:v>26.373450946338934</c:v>
                </c:pt>
                <c:pt idx="4">
                  <c:v>26.746238298270416</c:v>
                </c:pt>
                <c:pt idx="5">
                  <c:v>27.119654708902161</c:v>
                </c:pt>
                <c:pt idx="6">
                  <c:v>27.493663641832175</c:v>
                </c:pt>
                <c:pt idx="7">
                  <c:v>27.868231119460784</c:v>
                </c:pt>
                <c:pt idx="8">
                  <c:v>28.243325524185945</c:v>
                </c:pt>
                <c:pt idx="9">
                  <c:v>28.618917415313128</c:v>
                </c:pt>
                <c:pt idx="10">
                  <c:v>28.994979360613289</c:v>
                </c:pt>
                <c:pt idx="11">
                  <c:v>29.371485781478665</c:v>
                </c:pt>
                <c:pt idx="12">
                  <c:v>29.748412810659936</c:v>
                </c:pt>
                <c:pt idx="13">
                  <c:v>30.125738161612631</c:v>
                </c:pt>
                <c:pt idx="14">
                  <c:v>30.503441008532409</c:v>
                </c:pt>
                <c:pt idx="15">
                  <c:v>30.881501876214433</c:v>
                </c:pt>
                <c:pt idx="16">
                  <c:v>31.259902538929417</c:v>
                </c:pt>
                <c:pt idx="17">
                  <c:v>31.638625927566</c:v>
                </c:pt>
                <c:pt idx="18">
                  <c:v>32.017656044345181</c:v>
                </c:pt>
                <c:pt idx="19">
                  <c:v>32.39697788446643</c:v>
                </c:pt>
                <c:pt idx="20">
                  <c:v>32.776577364096369</c:v>
                </c:pt>
                <c:pt idx="21">
                  <c:v>33.15644125415939</c:v>
                </c:pt>
                <c:pt idx="22">
                  <c:v>33.536557119434676</c:v>
                </c:pt>
                <c:pt idx="23">
                  <c:v>33.916913262506391</c:v>
                </c:pt>
                <c:pt idx="24">
                  <c:v>34.297498672152713</c:v>
                </c:pt>
                <c:pt idx="25">
                  <c:v>34.678302975795447</c:v>
                </c:pt>
                <c:pt idx="26">
                  <c:v>35.059316395664979</c:v>
                </c:pt>
                <c:pt idx="27">
                  <c:v>35.440529708365652</c:v>
                </c:pt>
                <c:pt idx="28">
                  <c:v>35.821934207554591</c:v>
                </c:pt>
                <c:pt idx="29">
                  <c:v>36.203521669472096</c:v>
                </c:pt>
                <c:pt idx="30">
                  <c:v>36.585284321085247</c:v>
                </c:pt>
                <c:pt idx="31">
                  <c:v>36.967214810626999</c:v>
                </c:pt>
                <c:pt idx="32">
                  <c:v>37.349306180332789</c:v>
                </c:pt>
                <c:pt idx="33">
                  <c:v>37.731551841193678</c:v>
                </c:pt>
                <c:pt idx="34">
                  <c:v>38.113945549561294</c:v>
                </c:pt>
                <c:pt idx="35">
                  <c:v>38.496481385454047</c:v>
                </c:pt>
                <c:pt idx="36">
                  <c:v>38.879153732427469</c:v>
                </c:pt>
                <c:pt idx="37">
                  <c:v>39.261957258883349</c:v>
                </c:pt>
                <c:pt idx="38">
                  <c:v>39.644886900703035</c:v>
                </c:pt>
                <c:pt idx="39">
                  <c:v>40.02793784510056</c:v>
                </c:pt>
                <c:pt idx="40">
                  <c:v>40.411105515599722</c:v>
                </c:pt>
                <c:pt idx="41">
                  <c:v>40.794385558047807</c:v>
                </c:pt>
                <c:pt idx="42">
                  <c:v>41.177773827585831</c:v>
                </c:pt>
                <c:pt idx="43">
                  <c:v>41.561266376502019</c:v>
                </c:pt>
                <c:pt idx="44">
                  <c:v>41.944859442901297</c:v>
                </c:pt>
                <c:pt idx="45">
                  <c:v>42.328549440129343</c:v>
                </c:pt>
                <c:pt idx="46">
                  <c:v>42.712332946894577</c:v>
                </c:pt>
                <c:pt idx="47">
                  <c:v>43.096206698036362</c:v>
                </c:pt>
                <c:pt idx="48">
                  <c:v>43.480167575891741</c:v>
                </c:pt>
                <c:pt idx="49">
                  <c:v>43.864212602217009</c:v>
                </c:pt>
                <c:pt idx="50">
                  <c:v>44.248338930623838</c:v>
                </c:pt>
                <c:pt idx="51">
                  <c:v>44.632543839492996</c:v>
                </c:pt>
                <c:pt idx="52">
                  <c:v>45.016824725331581</c:v>
                </c:pt>
                <c:pt idx="53">
                  <c:v>45.401179096542322</c:v>
                </c:pt>
                <c:pt idx="54">
                  <c:v>45.785604567576115</c:v>
                </c:pt>
                <c:pt idx="55">
                  <c:v>46.170098853440997</c:v>
                </c:pt>
                <c:pt idx="56">
                  <c:v>46.554659764543061</c:v>
                </c:pt>
                <c:pt idx="57">
                  <c:v>46.939285201836412</c:v>
                </c:pt>
                <c:pt idx="58">
                  <c:v>47.32397315226136</c:v>
                </c:pt>
                <c:pt idx="59">
                  <c:v>47.708721684451127</c:v>
                </c:pt>
                <c:pt idx="60">
                  <c:v>48.093528944689467</c:v>
                </c:pt>
                <c:pt idx="61">
                  <c:v>48.478393153102196</c:v>
                </c:pt>
                <c:pt idx="62">
                  <c:v>48.863312600067509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E68-4608-945A-0F026B2C46CA}"/>
            </c:ext>
          </c:extLst>
        </c:ser>
        <c:ser>
          <c:idx val="6"/>
          <c:order val="6"/>
          <c:tx>
            <c:v>От 2 сигма интерполяция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СП'!$CJ$13:$CJ$74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'2. Интервальный прогноз СП'!$CP$13:$CP$74</c:f>
              <c:numCache>
                <c:formatCode>General</c:formatCode>
                <c:ptCount val="62"/>
                <c:pt idx="0">
                  <c:v>-0.57298813162744944</c:v>
                </c:pt>
                <c:pt idx="1">
                  <c:v>-0.20548181286377476</c:v>
                </c:pt>
                <c:pt idx="2">
                  <c:v>0.1610091844992807</c:v>
                </c:pt>
                <c:pt idx="3">
                  <c:v>0.52641550086089417</c:v>
                </c:pt>
                <c:pt idx="4">
                  <c:v>0.89066236396542164</c:v>
                </c:pt>
                <c:pt idx="5">
                  <c:v>1.2536691974859857</c:v>
                </c:pt>
                <c:pt idx="6">
                  <c:v>1.6153492216863441</c:v>
                </c:pt>
                <c:pt idx="7">
                  <c:v>1.9756090530562376</c:v>
                </c:pt>
                <c:pt idx="8">
                  <c:v>2.3343483121848223</c:v>
                </c:pt>
                <c:pt idx="9">
                  <c:v>2.6914592519932303</c:v>
                </c:pt>
                <c:pt idx="10">
                  <c:v>3.0468264218219723</c:v>
                </c:pt>
                <c:pt idx="11">
                  <c:v>3.4003263867622198</c:v>
                </c:pt>
                <c:pt idx="12">
                  <c:v>3.7518275259831269</c:v>
                </c:pt>
                <c:pt idx="13">
                  <c:v>4.1011899385185178</c:v>
                </c:pt>
                <c:pt idx="14">
                  <c:v>4.4482654898116492</c:v>
                </c:pt>
                <c:pt idx="15">
                  <c:v>4.7928980369195386</c:v>
                </c:pt>
                <c:pt idx="16">
                  <c:v>5.1349238741283427</c:v>
                </c:pt>
                <c:pt idx="17">
                  <c:v>5.4741724431238179</c:v>
                </c:pt>
                <c:pt idx="18">
                  <c:v>5.8104673519061532</c:v>
                </c:pt>
                <c:pt idx="19">
                  <c:v>6.1436277432952373</c:v>
                </c:pt>
                <c:pt idx="20">
                  <c:v>6.473470046034377</c:v>
                </c:pt>
                <c:pt idx="21">
                  <c:v>6.7998101281495789</c:v>
                </c:pt>
                <c:pt idx="22">
                  <c:v>7.122465852654039</c:v>
                </c:pt>
                <c:pt idx="23">
                  <c:v>7.4412600098026793</c:v>
                </c:pt>
                <c:pt idx="24">
                  <c:v>7.7560235687115675</c:v>
                </c:pt>
                <c:pt idx="25">
                  <c:v>8.0665991562459372</c:v>
                </c:pt>
                <c:pt idx="26">
                  <c:v>8.3728446359121396</c:v>
                </c:pt>
                <c:pt idx="27">
                  <c:v>8.6746366284526246</c:v>
                </c:pt>
                <c:pt idx="28">
                  <c:v>8.9718737939621231</c:v>
                </c:pt>
                <c:pt idx="29">
                  <c:v>9.2644796874478335</c:v>
                </c:pt>
                <c:pt idx="30">
                  <c:v>9.5524050094391519</c:v>
                </c:pt>
                <c:pt idx="31">
                  <c:v>9.8356291018520956</c:v>
                </c:pt>
                <c:pt idx="32">
                  <c:v>10.114160585226822</c:v>
                </c:pt>
                <c:pt idx="33">
                  <c:v>10.388037092060706</c:v>
                </c:pt>
                <c:pt idx="34">
                  <c:v>10.657324115258163</c:v>
                </c:pt>
                <c:pt idx="35">
                  <c:v>10.922113052613041</c:v>
                </c:pt>
                <c:pt idx="36">
                  <c:v>11.182518580099403</c:v>
                </c:pt>
                <c:pt idx="37">
                  <c:v>11.438675522852201</c:v>
                </c:pt>
                <c:pt idx="38">
                  <c:v>11.690735410191827</c:v>
                </c:pt>
                <c:pt idx="39">
                  <c:v>11.938862900066336</c:v>
                </c:pt>
                <c:pt idx="40">
                  <c:v>12.183232241627248</c:v>
                </c:pt>
                <c:pt idx="41">
                  <c:v>12.424023916771496</c:v>
                </c:pt>
                <c:pt idx="42">
                  <c:v>12.661421567433329</c:v>
                </c:pt>
                <c:pt idx="43">
                  <c:v>12.895609279926456</c:v>
                </c:pt>
                <c:pt idx="44">
                  <c:v>13.126769264482608</c:v>
                </c:pt>
                <c:pt idx="45">
                  <c:v>13.355079939819245</c:v>
                </c:pt>
                <c:pt idx="46">
                  <c:v>13.580714410365745</c:v>
                </c:pt>
                <c:pt idx="47">
                  <c:v>13.803839307923059</c:v>
                </c:pt>
                <c:pt idx="48">
                  <c:v>14.024613959533593</c:v>
                </c:pt>
                <c:pt idx="49">
                  <c:v>14.243189838276152</c:v>
                </c:pt>
                <c:pt idx="50">
                  <c:v>14.459710252482362</c:v>
                </c:pt>
                <c:pt idx="51">
                  <c:v>14.674310230414015</c:v>
                </c:pt>
                <c:pt idx="52">
                  <c:v>14.887116560786531</c:v>
                </c:pt>
                <c:pt idx="53">
                  <c:v>15.098247953889498</c:v>
                </c:pt>
                <c:pt idx="54">
                  <c:v>15.307815292846758</c:v>
                </c:pt>
                <c:pt idx="55">
                  <c:v>15.515921949354787</c:v>
                </c:pt>
                <c:pt idx="56">
                  <c:v>15.722664142764499</c:v>
                </c:pt>
                <c:pt idx="57">
                  <c:v>15.928131325468069</c:v>
                </c:pt>
                <c:pt idx="58">
                  <c:v>16.132406581142892</c:v>
                </c:pt>
                <c:pt idx="59">
                  <c:v>16.335567025472436</c:v>
                </c:pt>
                <c:pt idx="60">
                  <c:v>16.537684201528783</c:v>
                </c:pt>
                <c:pt idx="61">
                  <c:v>16.738824464106209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E68-4608-945A-0F026B2C46CA}"/>
            </c:ext>
          </c:extLst>
        </c:ser>
        <c:ser>
          <c:idx val="7"/>
          <c:order val="7"/>
          <c:tx>
            <c:v>От 2 сигма экстраполяция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СП'!$CJ$76:$CJ$138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'2. Интервальный прогноз СП'!$CP$76:$CP$138</c:f>
              <c:numCache>
                <c:formatCode>General</c:formatCode>
                <c:ptCount val="63"/>
                <c:pt idx="0">
                  <c:v>17.138415924517307</c:v>
                </c:pt>
                <c:pt idx="1">
                  <c:v>17.33697712375044</c:v>
                </c:pt>
                <c:pt idx="2">
                  <c:v>17.53478205656765</c:v>
                </c:pt>
                <c:pt idx="3">
                  <c:v>17.731876301363499</c:v>
                </c:pt>
                <c:pt idx="4">
                  <c:v>17.928302176675739</c:v>
                </c:pt>
                <c:pt idx="5">
                  <c:v>18.124098993287717</c:v>
                </c:pt>
                <c:pt idx="6">
                  <c:v>18.319303287601425</c:v>
                </c:pt>
                <c:pt idx="7">
                  <c:v>18.513949037216538</c:v>
                </c:pt>
                <c:pt idx="8">
                  <c:v>18.708067859735113</c:v>
                </c:pt>
                <c:pt idx="9">
                  <c:v>18.901689195851652</c:v>
                </c:pt>
                <c:pt idx="10">
                  <c:v>19.094840477795213</c:v>
                </c:pt>
                <c:pt idx="11">
                  <c:v>19.287547284173559</c:v>
                </c:pt>
                <c:pt idx="12">
                  <c:v>19.47983348223601</c:v>
                </c:pt>
                <c:pt idx="13">
                  <c:v>19.671721358527037</c:v>
                </c:pt>
                <c:pt idx="14">
                  <c:v>19.863231738850981</c:v>
                </c:pt>
                <c:pt idx="15">
                  <c:v>20.05438409841268</c:v>
                </c:pt>
                <c:pt idx="16">
                  <c:v>20.245196662941417</c:v>
                </c:pt>
                <c:pt idx="17">
                  <c:v>20.435686501548556</c:v>
                </c:pt>
                <c:pt idx="18">
                  <c:v>20.625869612013098</c:v>
                </c:pt>
                <c:pt idx="19">
                  <c:v>20.815760999135584</c:v>
                </c:pt>
                <c:pt idx="20">
                  <c:v>21.005374746749371</c:v>
                </c:pt>
                <c:pt idx="21">
                  <c:v>21.194724083930069</c:v>
                </c:pt>
                <c:pt idx="22">
                  <c:v>21.383821445898501</c:v>
                </c:pt>
                <c:pt idx="23">
                  <c:v>21.572678530070512</c:v>
                </c:pt>
                <c:pt idx="24">
                  <c:v>21.761306347667912</c:v>
                </c:pt>
                <c:pt idx="25">
                  <c:v>21.9497152712689</c:v>
                </c:pt>
                <c:pt idx="26">
                  <c:v>22.13791507864309</c:v>
                </c:pt>
                <c:pt idx="27">
                  <c:v>22.325914993186135</c:v>
                </c:pt>
                <c:pt idx="28">
                  <c:v>22.513723721240922</c:v>
                </c:pt>
                <c:pt idx="29">
                  <c:v>22.701349486567135</c:v>
                </c:pt>
                <c:pt idx="30">
                  <c:v>22.888800062197724</c:v>
                </c:pt>
                <c:pt idx="31">
                  <c:v>23.076082799899694</c:v>
                </c:pt>
                <c:pt idx="32">
                  <c:v>23.26320465743763</c:v>
                </c:pt>
                <c:pt idx="33">
                  <c:v>23.450172223820456</c:v>
                </c:pt>
                <c:pt idx="34">
                  <c:v>23.636991742696562</c:v>
                </c:pt>
                <c:pt idx="35">
                  <c:v>23.823669134047538</c:v>
                </c:pt>
                <c:pt idx="36">
                  <c:v>24.010210014317831</c:v>
                </c:pt>
                <c:pt idx="37">
                  <c:v>24.19661971510568</c:v>
                </c:pt>
                <c:pt idx="38">
                  <c:v>24.382903300529712</c:v>
                </c:pt>
                <c:pt idx="39">
                  <c:v>24.56906558337591</c:v>
                </c:pt>
                <c:pt idx="40">
                  <c:v>24.755111140120484</c:v>
                </c:pt>
                <c:pt idx="41">
                  <c:v>24.941044324916124</c:v>
                </c:pt>
                <c:pt idx="42">
                  <c:v>25.126869282621819</c:v>
                </c:pt>
                <c:pt idx="43">
                  <c:v>25.312589960949357</c:v>
                </c:pt>
                <c:pt idx="44">
                  <c:v>25.498210121793797</c:v>
                </c:pt>
                <c:pt idx="45">
                  <c:v>25.683733351809472</c:v>
                </c:pt>
                <c:pt idx="46">
                  <c:v>25.869163072287961</c:v>
                </c:pt>
                <c:pt idx="47">
                  <c:v>26.054502548389898</c:v>
                </c:pt>
                <c:pt idx="48">
                  <c:v>26.239754897778241</c:v>
                </c:pt>
                <c:pt idx="49">
                  <c:v>26.424923098696709</c:v>
                </c:pt>
                <c:pt idx="50">
                  <c:v>26.610009997533602</c:v>
                </c:pt>
                <c:pt idx="51">
                  <c:v>26.795018315908166</c:v>
                </c:pt>
                <c:pt idx="52">
                  <c:v>26.979950657313303</c:v>
                </c:pt>
                <c:pt idx="53">
                  <c:v>27.164809513346285</c:v>
                </c:pt>
                <c:pt idx="54">
                  <c:v>27.349597269556213</c:v>
                </c:pt>
                <c:pt idx="55">
                  <c:v>27.534316210935053</c:v>
                </c:pt>
                <c:pt idx="56">
                  <c:v>27.718968527076715</c:v>
                </c:pt>
                <c:pt idx="57">
                  <c:v>27.903556317027078</c:v>
                </c:pt>
                <c:pt idx="58">
                  <c:v>28.08808159384586</c:v>
                </c:pt>
                <c:pt idx="59">
                  <c:v>28.272546288899825</c:v>
                </c:pt>
                <c:pt idx="60">
                  <c:v>28.456952255905207</c:v>
                </c:pt>
                <c:pt idx="61">
                  <c:v>28.6413012747362</c:v>
                </c:pt>
                <c:pt idx="62">
                  <c:v>28.82559505501461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E68-4608-945A-0F026B2C46CA}"/>
            </c:ext>
          </c:extLst>
        </c:ser>
        <c:ser>
          <c:idx val="8"/>
          <c:order val="8"/>
          <c:tx>
            <c:v>До 1 сигма интерполяция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СП'!$CJ$13:$CJ$74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'2. Интервальный прогноз СП'!$CN$13:$CN$74</c:f>
              <c:numCache>
                <c:formatCode>General</c:formatCode>
                <c:ptCount val="62"/>
                <c:pt idx="0">
                  <c:v>5.1894347530262444</c:v>
                </c:pt>
                <c:pt idx="1">
                  <c:v>5.432591514077199</c:v>
                </c:pt>
                <c:pt idx="2">
                  <c:v>5.676255935828463</c:v>
                </c:pt>
                <c:pt idx="3">
                  <c:v>5.9204626980804491</c:v>
                </c:pt>
                <c:pt idx="4">
                  <c:v>6.1652491869609785</c:v>
                </c:pt>
                <c:pt idx="5">
                  <c:v>6.4106556906334884</c:v>
                </c:pt>
                <c:pt idx="6">
                  <c:v>6.6567255989661014</c:v>
                </c:pt>
                <c:pt idx="7">
                  <c:v>6.9035056037139482</c:v>
                </c:pt>
                <c:pt idx="8">
                  <c:v>7.1510458945824489</c:v>
                </c:pt>
                <c:pt idx="9">
                  <c:v>7.3994003451110375</c:v>
                </c:pt>
                <c:pt idx="10">
                  <c:v>7.6486266806294578</c:v>
                </c:pt>
                <c:pt idx="11">
                  <c:v>7.8987866185921272</c:v>
                </c:pt>
                <c:pt idx="12">
                  <c:v>8.1499459694144658</c:v>
                </c:pt>
                <c:pt idx="13">
                  <c:v>8.4021746835795614</c:v>
                </c:pt>
                <c:pt idx="14">
                  <c:v>8.6555468283657895</c:v>
                </c:pt>
                <c:pt idx="15">
                  <c:v>8.9101404752446385</c:v>
                </c:pt>
                <c:pt idx="16">
                  <c:v>9.1660374770730293</c:v>
                </c:pt>
                <c:pt idx="17">
                  <c:v>9.4233231130080846</c:v>
                </c:pt>
                <c:pt idx="18">
                  <c:v>9.6820855790497067</c:v>
                </c:pt>
                <c:pt idx="19">
                  <c:v>9.942415303787957</c:v>
                </c:pt>
                <c:pt idx="20">
                  <c:v>10.204404072851181</c:v>
                </c:pt>
                <c:pt idx="21">
                  <c:v>10.468143952226372</c:v>
                </c:pt>
                <c:pt idx="22">
                  <c:v>10.733726010406937</c:v>
                </c:pt>
                <c:pt idx="23">
                  <c:v>11.001238852265407</c:v>
                </c:pt>
                <c:pt idx="24">
                  <c:v>11.270766993243754</c:v>
                </c:pt>
                <c:pt idx="25">
                  <c:v>11.542389119909364</c:v>
                </c:pt>
                <c:pt idx="26">
                  <c:v>11.816176300509055</c:v>
                </c:pt>
                <c:pt idx="27">
                  <c:v>12.092190224671606</c:v>
                </c:pt>
                <c:pt idx="28">
                  <c:v>12.370481562349648</c:v>
                </c:pt>
                <c:pt idx="29">
                  <c:v>12.651088536039584</c:v>
                </c:pt>
                <c:pt idx="30">
                  <c:v>12.934035795476719</c:v>
                </c:pt>
                <c:pt idx="31">
                  <c:v>13.21933366970304</c:v>
                </c:pt>
                <c:pt idx="32">
                  <c:v>13.506977848448468</c:v>
                </c:pt>
                <c:pt idx="33">
                  <c:v>13.79694951546432</c:v>
                </c:pt>
                <c:pt idx="34">
                  <c:v>14.089215924298383</c:v>
                </c:pt>
                <c:pt idx="35">
                  <c:v>14.383731376053738</c:v>
                </c:pt>
                <c:pt idx="36">
                  <c:v>14.680438532743349</c:v>
                </c:pt>
                <c:pt idx="37">
                  <c:v>14.979269981799742</c:v>
                </c:pt>
                <c:pt idx="38">
                  <c:v>15.280149958562722</c:v>
                </c:pt>
                <c:pt idx="39">
                  <c:v>15.582996134058259</c:v>
                </c:pt>
                <c:pt idx="40">
                  <c:v>15.887721383710595</c:v>
                </c:pt>
                <c:pt idx="41">
                  <c:v>16.194235466571264</c:v>
                </c:pt>
                <c:pt idx="42">
                  <c:v>16.502446561673139</c:v>
                </c:pt>
                <c:pt idx="43">
                  <c:v>16.812262625859368</c:v>
                </c:pt>
                <c:pt idx="44">
                  <c:v>17.123592554014085</c:v>
                </c:pt>
                <c:pt idx="45">
                  <c:v>17.436347136778558</c:v>
                </c:pt>
                <c:pt idx="46">
                  <c:v>17.750439821938102</c:v>
                </c:pt>
                <c:pt idx="47">
                  <c:v>18.065787293592233</c:v>
                </c:pt>
                <c:pt idx="48">
                  <c:v>18.382309888219762</c:v>
                </c:pt>
                <c:pt idx="49">
                  <c:v>18.699931869281279</c:v>
                </c:pt>
                <c:pt idx="50">
                  <c:v>19.018581582610963</c:v>
                </c:pt>
                <c:pt idx="51">
                  <c:v>19.338191514077934</c:v>
                </c:pt>
                <c:pt idx="52">
                  <c:v>19.658698269324468</c:v>
                </c:pt>
                <c:pt idx="53">
                  <c:v>19.980042493205776</c:v>
                </c:pt>
                <c:pt idx="54">
                  <c:v>20.302168744159935</c:v>
                </c:pt>
                <c:pt idx="55">
                  <c:v>20.625025336338716</c:v>
                </c:pt>
                <c:pt idx="56">
                  <c:v>20.948564160066649</c:v>
                </c:pt>
                <c:pt idx="57">
                  <c:v>21.272740489147655</c:v>
                </c:pt>
                <c:pt idx="58">
                  <c:v>21.597512781743038</c:v>
                </c:pt>
                <c:pt idx="59">
                  <c:v>21.922842480011056</c:v>
                </c:pt>
                <c:pt idx="60">
                  <c:v>22.248693812415674</c:v>
                </c:pt>
                <c:pt idx="61">
                  <c:v>22.575033601559763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E68-4608-945A-0F026B2C46CA}"/>
            </c:ext>
          </c:extLst>
        </c:ser>
        <c:ser>
          <c:idx val="9"/>
          <c:order val="9"/>
          <c:tx>
            <c:v>До 1 сигма экстраполяция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СП'!$CJ$76:$CJ$138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'2. Интервальный прогноз СП'!$CN$76:$CN$138</c:f>
              <c:numCache>
                <c:formatCode>General</c:formatCode>
                <c:ptCount val="63"/>
                <c:pt idx="0">
                  <c:v>23.229057712219799</c:v>
                </c:pt>
                <c:pt idx="1">
                  <c:v>23.55668703303602</c:v>
                </c:pt>
                <c:pt idx="2">
                  <c:v>23.884694487060209</c:v>
                </c:pt>
                <c:pt idx="3">
                  <c:v>24.213057285095076</c:v>
                </c:pt>
                <c:pt idx="4">
                  <c:v>24.541754267871745</c:v>
                </c:pt>
                <c:pt idx="5">
                  <c:v>24.87076577999855</c:v>
                </c:pt>
                <c:pt idx="6">
                  <c:v>25.200073553274486</c:v>
                </c:pt>
                <c:pt idx="7">
                  <c:v>25.529660598899724</c:v>
                </c:pt>
                <c:pt idx="8">
                  <c:v>25.859511108073235</c:v>
                </c:pt>
                <c:pt idx="9">
                  <c:v>26.189610360447759</c:v>
                </c:pt>
                <c:pt idx="10">
                  <c:v>26.519944639908772</c:v>
                </c:pt>
                <c:pt idx="11">
                  <c:v>26.850501157152387</c:v>
                </c:pt>
                <c:pt idx="12">
                  <c:v>27.181267978553954</c:v>
                </c:pt>
                <c:pt idx="13">
                  <c:v>27.512233960841233</c:v>
                </c:pt>
                <c:pt idx="14">
                  <c:v>27.84338869111205</c:v>
                </c:pt>
                <c:pt idx="15">
                  <c:v>28.174722431763993</c:v>
                </c:pt>
                <c:pt idx="16">
                  <c:v>28.506226069932417</c:v>
                </c:pt>
                <c:pt idx="17">
                  <c:v>28.837891071061641</c:v>
                </c:pt>
                <c:pt idx="18">
                  <c:v>29.16970943626216</c:v>
                </c:pt>
                <c:pt idx="19">
                  <c:v>29.501673663133719</c:v>
                </c:pt>
                <c:pt idx="20">
                  <c:v>29.833776709759618</c:v>
                </c:pt>
                <c:pt idx="21">
                  <c:v>30.166011961602059</c:v>
                </c:pt>
                <c:pt idx="22">
                  <c:v>30.498373201050633</c:v>
                </c:pt>
                <c:pt idx="23">
                  <c:v>30.830854579397421</c:v>
                </c:pt>
                <c:pt idx="24">
                  <c:v>31.163450591031513</c:v>
                </c:pt>
                <c:pt idx="25">
                  <c:v>31.49615604966381</c:v>
                </c:pt>
                <c:pt idx="26">
                  <c:v>31.828966066409507</c:v>
                </c:pt>
                <c:pt idx="27">
                  <c:v>32.161876029570777</c:v>
                </c:pt>
                <c:pt idx="28">
                  <c:v>32.494881585976174</c:v>
                </c:pt>
                <c:pt idx="29">
                  <c:v>32.827978623745857</c:v>
                </c:pt>
                <c:pt idx="30">
                  <c:v>33.161163256363366</c:v>
                </c:pt>
                <c:pt idx="31">
                  <c:v>33.494431807945169</c:v>
                </c:pt>
                <c:pt idx="32">
                  <c:v>33.827780799608995</c:v>
                </c:pt>
                <c:pt idx="33">
                  <c:v>34.161206936850377</c:v>
                </c:pt>
                <c:pt idx="34">
                  <c:v>34.494707097845115</c:v>
                </c:pt>
                <c:pt idx="35">
                  <c:v>34.828278322602415</c:v>
                </c:pt>
                <c:pt idx="36">
                  <c:v>35.161917802900064</c:v>
                </c:pt>
                <c:pt idx="37">
                  <c:v>35.495622872938931</c:v>
                </c:pt>
                <c:pt idx="38">
                  <c:v>35.829391000659705</c:v>
                </c:pt>
                <c:pt idx="39">
                  <c:v>36.163219779669397</c:v>
                </c:pt>
                <c:pt idx="40">
                  <c:v>36.497106921729916</c:v>
                </c:pt>
                <c:pt idx="41">
                  <c:v>36.831050249764886</c:v>
                </c:pt>
                <c:pt idx="42">
                  <c:v>37.165047691344824</c:v>
                </c:pt>
                <c:pt idx="43">
                  <c:v>37.499097272613852</c:v>
                </c:pt>
                <c:pt idx="44">
                  <c:v>37.833197112624418</c:v>
                </c:pt>
                <c:pt idx="45">
                  <c:v>38.167345418049379</c:v>
                </c:pt>
                <c:pt idx="46">
                  <c:v>38.501540478242923</c:v>
                </c:pt>
                <c:pt idx="47">
                  <c:v>38.835780660624749</c:v>
                </c:pt>
                <c:pt idx="48">
                  <c:v>39.170064406363366</c:v>
                </c:pt>
                <c:pt idx="49">
                  <c:v>39.504390226336938</c:v>
                </c:pt>
                <c:pt idx="50">
                  <c:v>39.838756697351279</c:v>
                </c:pt>
                <c:pt idx="51">
                  <c:v>40.173162458596792</c:v>
                </c:pt>
                <c:pt idx="52">
                  <c:v>40.507606208327012</c:v>
                </c:pt>
                <c:pt idx="53">
                  <c:v>40.842086700743316</c:v>
                </c:pt>
                <c:pt idx="54">
                  <c:v>41.176602743071136</c:v>
                </c:pt>
                <c:pt idx="55">
                  <c:v>41.511153192814511</c:v>
                </c:pt>
                <c:pt idx="56">
                  <c:v>41.84573695517647</c:v>
                </c:pt>
                <c:pt idx="57">
                  <c:v>42.180352980634083</c:v>
                </c:pt>
                <c:pt idx="58">
                  <c:v>42.51500026265748</c:v>
                </c:pt>
                <c:pt idx="59">
                  <c:v>42.849677835563305</c:v>
                </c:pt>
                <c:pt idx="60">
                  <c:v>43.184384772493402</c:v>
                </c:pt>
                <c:pt idx="61">
                  <c:v>43.519120183510694</c:v>
                </c:pt>
                <c:pt idx="62">
                  <c:v>43.853883213804281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E68-4608-945A-0F026B2C46CA}"/>
            </c:ext>
          </c:extLst>
        </c:ser>
        <c:ser>
          <c:idx val="10"/>
          <c:order val="10"/>
          <c:tx>
            <c:v>От 1 сигма интерполяция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СП'!$CJ$13:$CJ$74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'2. Интервальный прогноз СП'!$CM$13:$CM$74</c:f>
              <c:numCache>
                <c:formatCode>General</c:formatCode>
                <c:ptCount val="62"/>
                <c:pt idx="0">
                  <c:v>1.3478194965904484</c:v>
                </c:pt>
                <c:pt idx="1">
                  <c:v>1.6738759627832165</c:v>
                </c:pt>
                <c:pt idx="2">
                  <c:v>1.9994247682756749</c:v>
                </c:pt>
                <c:pt idx="3">
                  <c:v>2.3244312332674126</c:v>
                </c:pt>
                <c:pt idx="4">
                  <c:v>2.6488579716306075</c:v>
                </c:pt>
                <c:pt idx="5">
                  <c:v>2.9726646952018196</c:v>
                </c:pt>
                <c:pt idx="6">
                  <c:v>3.29580801411293</c:v>
                </c:pt>
                <c:pt idx="7">
                  <c:v>3.6182412366088075</c:v>
                </c:pt>
                <c:pt idx="8">
                  <c:v>3.939914172984031</c:v>
                </c:pt>
                <c:pt idx="9">
                  <c:v>4.2607729496991658</c:v>
                </c:pt>
                <c:pt idx="10">
                  <c:v>4.5807598414244675</c:v>
                </c:pt>
                <c:pt idx="11">
                  <c:v>4.8998131307055219</c:v>
                </c:pt>
                <c:pt idx="12">
                  <c:v>5.2178670071269071</c:v>
                </c:pt>
                <c:pt idx="13">
                  <c:v>5.5348515202055326</c:v>
                </c:pt>
                <c:pt idx="14">
                  <c:v>5.8506926026630293</c:v>
                </c:pt>
                <c:pt idx="15">
                  <c:v>6.165312183027905</c:v>
                </c:pt>
                <c:pt idx="16">
                  <c:v>6.478628408443238</c:v>
                </c:pt>
                <c:pt idx="17">
                  <c:v>6.7905559997519065</c:v>
                </c:pt>
                <c:pt idx="18">
                  <c:v>7.1010067609540046</c:v>
                </c:pt>
                <c:pt idx="19">
                  <c:v>7.4098902634594772</c:v>
                </c:pt>
                <c:pt idx="20">
                  <c:v>7.7171147216399785</c:v>
                </c:pt>
                <c:pt idx="21">
                  <c:v>8.0225880695085099</c:v>
                </c:pt>
                <c:pt idx="22">
                  <c:v>8.3262192385716709</c:v>
                </c:pt>
                <c:pt idx="23">
                  <c:v>8.627919623956922</c:v>
                </c:pt>
                <c:pt idx="24">
                  <c:v>8.9276047102222975</c:v>
                </c:pt>
                <c:pt idx="25">
                  <c:v>9.2251958108004128</c:v>
                </c:pt>
                <c:pt idx="26">
                  <c:v>9.5206218574444446</c:v>
                </c:pt>
                <c:pt idx="27">
                  <c:v>9.8138211605256185</c:v>
                </c:pt>
                <c:pt idx="28">
                  <c:v>10.104743050091299</c:v>
                </c:pt>
                <c:pt idx="29">
                  <c:v>10.393349303645085</c:v>
                </c:pt>
                <c:pt idx="30">
                  <c:v>10.679615271451675</c:v>
                </c:pt>
                <c:pt idx="31">
                  <c:v>10.963530624469076</c:v>
                </c:pt>
                <c:pt idx="32">
                  <c:v>11.24509967296737</c:v>
                </c:pt>
                <c:pt idx="33">
                  <c:v>11.524341233195244</c:v>
                </c:pt>
                <c:pt idx="34">
                  <c:v>11.801288051604903</c:v>
                </c:pt>
                <c:pt idx="35">
                  <c:v>12.075985827093273</c:v>
                </c:pt>
                <c:pt idx="36">
                  <c:v>12.348491897647385</c:v>
                </c:pt>
                <c:pt idx="37">
                  <c:v>12.618873675834713</c:v>
                </c:pt>
                <c:pt idx="38">
                  <c:v>12.887206926315459</c:v>
                </c:pt>
                <c:pt idx="39">
                  <c:v>13.153573978063644</c:v>
                </c:pt>
                <c:pt idx="40">
                  <c:v>13.41806195565503</c:v>
                </c:pt>
                <c:pt idx="41">
                  <c:v>13.680761100038087</c:v>
                </c:pt>
                <c:pt idx="42">
                  <c:v>13.941763232179934</c:v>
                </c:pt>
                <c:pt idx="43">
                  <c:v>14.201160395237427</c:v>
                </c:pt>
                <c:pt idx="44">
                  <c:v>14.459043694326434</c:v>
                </c:pt>
                <c:pt idx="45">
                  <c:v>14.715502338805683</c:v>
                </c:pt>
                <c:pt idx="46">
                  <c:v>14.970622880889865</c:v>
                </c:pt>
                <c:pt idx="47">
                  <c:v>15.224488636479451</c:v>
                </c:pt>
                <c:pt idx="48">
                  <c:v>15.477179269095648</c:v>
                </c:pt>
                <c:pt idx="49">
                  <c:v>15.72877051527786</c:v>
                </c:pt>
                <c:pt idx="50">
                  <c:v>15.979334029191897</c:v>
                </c:pt>
                <c:pt idx="51">
                  <c:v>16.228937324968655</c:v>
                </c:pt>
                <c:pt idx="52">
                  <c:v>16.477643796965843</c:v>
                </c:pt>
                <c:pt idx="53">
                  <c:v>16.725512800328257</c:v>
                </c:pt>
                <c:pt idx="54">
                  <c:v>16.97259977661782</c:v>
                </c:pt>
                <c:pt idx="55">
                  <c:v>17.218956411682761</c:v>
                </c:pt>
                <c:pt idx="56">
                  <c:v>17.46463081519855</c:v>
                </c:pt>
                <c:pt idx="57">
                  <c:v>17.709667713361267</c:v>
                </c:pt>
                <c:pt idx="58">
                  <c:v>17.954108648009605</c:v>
                </c:pt>
                <c:pt idx="59">
                  <c:v>18.197992176985309</c:v>
                </c:pt>
                <c:pt idx="60">
                  <c:v>18.441354071824414</c:v>
                </c:pt>
                <c:pt idx="61">
                  <c:v>18.68422750992406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E68-4608-945A-0F026B2C46CA}"/>
            </c:ext>
          </c:extLst>
        </c:ser>
        <c:ser>
          <c:idx val="11"/>
          <c:order val="11"/>
          <c:tx>
            <c:v>От 1 сигма экстраполяция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СП'!$CJ$76:$CJ$138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'2. Интервальный прогноз СП'!$CM$76:$CM$138</c:f>
              <c:numCache>
                <c:formatCode>General</c:formatCode>
                <c:ptCount val="63"/>
                <c:pt idx="0">
                  <c:v>19.168629853751469</c:v>
                </c:pt>
                <c:pt idx="1">
                  <c:v>19.410213760178969</c:v>
                </c:pt>
                <c:pt idx="2">
                  <c:v>19.651419533398503</c:v>
                </c:pt>
                <c:pt idx="3">
                  <c:v>19.892269962607358</c:v>
                </c:pt>
                <c:pt idx="4">
                  <c:v>20.13278620707441</c:v>
                </c:pt>
                <c:pt idx="5">
                  <c:v>20.372987922191328</c:v>
                </c:pt>
                <c:pt idx="6">
                  <c:v>20.612893376159114</c:v>
                </c:pt>
                <c:pt idx="7">
                  <c:v>20.852519557777597</c:v>
                </c:pt>
                <c:pt idx="8">
                  <c:v>21.091882275847823</c:v>
                </c:pt>
                <c:pt idx="9">
                  <c:v>21.330996250717021</c:v>
                </c:pt>
                <c:pt idx="10">
                  <c:v>21.56987519849973</c:v>
                </c:pt>
                <c:pt idx="11">
                  <c:v>21.808531908499837</c:v>
                </c:pt>
                <c:pt idx="12">
                  <c:v>22.046978314341992</c:v>
                </c:pt>
                <c:pt idx="13">
                  <c:v>22.285225559298436</c:v>
                </c:pt>
                <c:pt idx="14">
                  <c:v>22.52328405627134</c:v>
                </c:pt>
                <c:pt idx="15">
                  <c:v>22.76116354286312</c:v>
                </c:pt>
                <c:pt idx="16">
                  <c:v>22.998873131938417</c:v>
                </c:pt>
                <c:pt idx="17">
                  <c:v>23.236421358052915</c:v>
                </c:pt>
                <c:pt idx="18">
                  <c:v>23.473816220096118</c:v>
                </c:pt>
                <c:pt idx="19">
                  <c:v>23.711065220468296</c:v>
                </c:pt>
                <c:pt idx="20">
                  <c:v>23.948175401086118</c:v>
                </c:pt>
                <c:pt idx="21">
                  <c:v>24.185153376487399</c:v>
                </c:pt>
                <c:pt idx="22">
                  <c:v>24.422005364282548</c:v>
                </c:pt>
                <c:pt idx="23">
                  <c:v>24.658737213179482</c:v>
                </c:pt>
                <c:pt idx="24">
                  <c:v>24.895354428789112</c:v>
                </c:pt>
                <c:pt idx="25">
                  <c:v>25.131862197400537</c:v>
                </c:pt>
                <c:pt idx="26">
                  <c:v>25.368265407898562</c:v>
                </c:pt>
                <c:pt idx="27">
                  <c:v>25.604568671981017</c:v>
                </c:pt>
                <c:pt idx="28">
                  <c:v>25.840776342819339</c:v>
                </c:pt>
                <c:pt idx="29">
                  <c:v>26.076892532293378</c:v>
                </c:pt>
                <c:pt idx="30">
                  <c:v>26.312921126919605</c:v>
                </c:pt>
                <c:pt idx="31">
                  <c:v>26.548865802581521</c:v>
                </c:pt>
                <c:pt idx="32">
                  <c:v>26.784730038161417</c:v>
                </c:pt>
                <c:pt idx="33">
                  <c:v>27.02051712816376</c:v>
                </c:pt>
                <c:pt idx="34">
                  <c:v>27.256230194412748</c:v>
                </c:pt>
                <c:pt idx="35">
                  <c:v>27.491872196899163</c:v>
                </c:pt>
                <c:pt idx="36">
                  <c:v>27.727445943845243</c:v>
                </c:pt>
                <c:pt idx="37">
                  <c:v>27.962954101050094</c:v>
                </c:pt>
                <c:pt idx="38">
                  <c:v>28.198399200573043</c:v>
                </c:pt>
                <c:pt idx="39">
                  <c:v>28.433783648807072</c:v>
                </c:pt>
                <c:pt idx="40">
                  <c:v>28.669109733990293</c:v>
                </c:pt>
                <c:pt idx="41">
                  <c:v>28.904379633199042</c:v>
                </c:pt>
                <c:pt idx="42">
                  <c:v>29.139595418862822</c:v>
                </c:pt>
                <c:pt idx="43">
                  <c:v>29.374759064837519</c:v>
                </c:pt>
                <c:pt idx="44">
                  <c:v>29.609872452070672</c:v>
                </c:pt>
                <c:pt idx="45">
                  <c:v>29.84493737388944</c:v>
                </c:pt>
                <c:pt idx="46">
                  <c:v>30.079955540939615</c:v>
                </c:pt>
                <c:pt idx="47">
                  <c:v>30.314928585801514</c:v>
                </c:pt>
                <c:pt idx="48">
                  <c:v>30.549858067306616</c:v>
                </c:pt>
                <c:pt idx="49">
                  <c:v>30.784745474576784</c:v>
                </c:pt>
                <c:pt idx="50">
                  <c:v>31.019592230806161</c:v>
                </c:pt>
                <c:pt idx="51">
                  <c:v>31.254399696804374</c:v>
                </c:pt>
                <c:pt idx="52">
                  <c:v>31.489169174317873</c:v>
                </c:pt>
                <c:pt idx="53">
                  <c:v>31.723901909145294</c:v>
                </c:pt>
                <c:pt idx="54">
                  <c:v>31.958599094061189</c:v>
                </c:pt>
                <c:pt idx="55">
                  <c:v>32.193261871561539</c:v>
                </c:pt>
                <c:pt idx="56">
                  <c:v>32.427891336443302</c:v>
                </c:pt>
                <c:pt idx="57">
                  <c:v>32.662488538229411</c:v>
                </c:pt>
                <c:pt idx="58">
                  <c:v>32.897054483449736</c:v>
                </c:pt>
                <c:pt idx="59">
                  <c:v>33.131590137787647</c:v>
                </c:pt>
                <c:pt idx="60">
                  <c:v>33.366096428101272</c:v>
                </c:pt>
                <c:pt idx="61">
                  <c:v>33.600574244327703</c:v>
                </c:pt>
                <c:pt idx="62">
                  <c:v>33.835024441277838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E68-4608-945A-0F026B2C46CA}"/>
            </c:ext>
          </c:extLst>
        </c:ser>
        <c:ser>
          <c:idx val="12"/>
          <c:order val="12"/>
          <c:tx>
            <c:v>Точечный прогноз интерполяция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СП'!$CJ$13:$CJ$74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'2. Интервальный прогноз СП'!$CK$13:$CK$74</c:f>
              <c:numCache>
                <c:formatCode>General</c:formatCode>
                <c:ptCount val="62"/>
                <c:pt idx="0">
                  <c:v>3.2686271248083463</c:v>
                </c:pt>
                <c:pt idx="1">
                  <c:v>3.5532337384302077</c:v>
                </c:pt>
                <c:pt idx="2">
                  <c:v>3.8378403520520692</c:v>
                </c:pt>
                <c:pt idx="3">
                  <c:v>4.1224469656739311</c:v>
                </c:pt>
                <c:pt idx="4">
                  <c:v>4.407053579295793</c:v>
                </c:pt>
                <c:pt idx="5">
                  <c:v>4.691660192917654</c:v>
                </c:pt>
                <c:pt idx="6">
                  <c:v>4.9762668065395159</c:v>
                </c:pt>
                <c:pt idx="7">
                  <c:v>5.2608734201613778</c:v>
                </c:pt>
                <c:pt idx="8">
                  <c:v>5.5454800337832397</c:v>
                </c:pt>
                <c:pt idx="9">
                  <c:v>5.8300866474051016</c:v>
                </c:pt>
                <c:pt idx="10">
                  <c:v>6.1146932610269626</c:v>
                </c:pt>
                <c:pt idx="11">
                  <c:v>6.3992998746488245</c:v>
                </c:pt>
                <c:pt idx="12">
                  <c:v>6.6839064882706865</c:v>
                </c:pt>
                <c:pt idx="13">
                  <c:v>6.9685131018925475</c:v>
                </c:pt>
                <c:pt idx="14">
                  <c:v>7.2531197155144094</c:v>
                </c:pt>
                <c:pt idx="15">
                  <c:v>7.5377263291362713</c:v>
                </c:pt>
                <c:pt idx="16">
                  <c:v>7.8223329427581332</c:v>
                </c:pt>
                <c:pt idx="17">
                  <c:v>8.1069395563799951</c:v>
                </c:pt>
                <c:pt idx="18">
                  <c:v>8.3915461700018561</c:v>
                </c:pt>
                <c:pt idx="19">
                  <c:v>8.6761527836237171</c:v>
                </c:pt>
                <c:pt idx="20">
                  <c:v>8.9607593972455799</c:v>
                </c:pt>
                <c:pt idx="21">
                  <c:v>9.2453660108674409</c:v>
                </c:pt>
                <c:pt idx="22">
                  <c:v>9.5299726244893037</c:v>
                </c:pt>
                <c:pt idx="23">
                  <c:v>9.8145792381111647</c:v>
                </c:pt>
                <c:pt idx="24">
                  <c:v>10.099185851733026</c:v>
                </c:pt>
                <c:pt idx="25">
                  <c:v>10.383792465354889</c:v>
                </c:pt>
                <c:pt idx="26">
                  <c:v>10.66839907897675</c:v>
                </c:pt>
                <c:pt idx="27">
                  <c:v>10.953005692598612</c:v>
                </c:pt>
                <c:pt idx="28">
                  <c:v>11.237612306220473</c:v>
                </c:pt>
                <c:pt idx="29">
                  <c:v>11.522218919842334</c:v>
                </c:pt>
                <c:pt idx="30">
                  <c:v>11.806825533464197</c:v>
                </c:pt>
                <c:pt idx="31">
                  <c:v>12.091432147086058</c:v>
                </c:pt>
                <c:pt idx="32">
                  <c:v>12.376038760707919</c:v>
                </c:pt>
                <c:pt idx="33">
                  <c:v>12.660645374329782</c:v>
                </c:pt>
                <c:pt idx="34">
                  <c:v>12.945251987951643</c:v>
                </c:pt>
                <c:pt idx="35">
                  <c:v>13.229858601573506</c:v>
                </c:pt>
                <c:pt idx="36">
                  <c:v>13.514465215195367</c:v>
                </c:pt>
                <c:pt idx="37">
                  <c:v>13.799071828817228</c:v>
                </c:pt>
                <c:pt idx="38">
                  <c:v>14.083678442439091</c:v>
                </c:pt>
                <c:pt idx="39">
                  <c:v>14.368285056060952</c:v>
                </c:pt>
                <c:pt idx="40">
                  <c:v>14.652891669682813</c:v>
                </c:pt>
                <c:pt idx="41">
                  <c:v>14.937498283304675</c:v>
                </c:pt>
                <c:pt idx="42">
                  <c:v>15.222104896926536</c:v>
                </c:pt>
                <c:pt idx="43">
                  <c:v>15.506711510548397</c:v>
                </c:pt>
                <c:pt idx="44">
                  <c:v>15.79131812417026</c:v>
                </c:pt>
                <c:pt idx="45">
                  <c:v>16.075924737792121</c:v>
                </c:pt>
                <c:pt idx="46">
                  <c:v>16.360531351413982</c:v>
                </c:pt>
                <c:pt idx="47">
                  <c:v>16.645137965035843</c:v>
                </c:pt>
                <c:pt idx="48">
                  <c:v>16.929744578657704</c:v>
                </c:pt>
                <c:pt idx="49">
                  <c:v>17.214351192279569</c:v>
                </c:pt>
                <c:pt idx="50">
                  <c:v>17.49895780590143</c:v>
                </c:pt>
                <c:pt idx="51">
                  <c:v>17.783564419523294</c:v>
                </c:pt>
                <c:pt idx="52">
                  <c:v>18.068171033145155</c:v>
                </c:pt>
                <c:pt idx="53">
                  <c:v>18.352777646767017</c:v>
                </c:pt>
                <c:pt idx="54">
                  <c:v>18.637384260388878</c:v>
                </c:pt>
                <c:pt idx="55">
                  <c:v>18.921990874010739</c:v>
                </c:pt>
                <c:pt idx="56">
                  <c:v>19.2065974876326</c:v>
                </c:pt>
                <c:pt idx="57">
                  <c:v>19.491204101254461</c:v>
                </c:pt>
                <c:pt idx="58">
                  <c:v>19.775810714876322</c:v>
                </c:pt>
                <c:pt idx="59">
                  <c:v>20.060417328498183</c:v>
                </c:pt>
                <c:pt idx="60">
                  <c:v>20.345023942120044</c:v>
                </c:pt>
                <c:pt idx="61">
                  <c:v>20.629630555741912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E68-4608-945A-0F026B2C46CA}"/>
            </c:ext>
          </c:extLst>
        </c:ser>
        <c:ser>
          <c:idx val="13"/>
          <c:order val="13"/>
          <c:tx>
            <c:v>Точечный прогноз экстраполяция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'2. Интервальный прогноз СП'!$CJ$76:$CJ$138</c:f>
              <c:numCache>
                <c:formatCode>General</c:formatCode>
                <c:ptCount val="63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</c:numCache>
            </c:numRef>
          </c:xVal>
          <c:yVal>
            <c:numRef>
              <c:f>'2. Интервальный прогноз СП'!$CK$76:$CK$138</c:f>
              <c:numCache>
                <c:formatCode>General</c:formatCode>
                <c:ptCount val="63"/>
                <c:pt idx="0">
                  <c:v>21.198843782985634</c:v>
                </c:pt>
                <c:pt idx="1">
                  <c:v>21.483450396607495</c:v>
                </c:pt>
                <c:pt idx="2">
                  <c:v>21.768057010229356</c:v>
                </c:pt>
                <c:pt idx="3">
                  <c:v>22.052663623851217</c:v>
                </c:pt>
                <c:pt idx="4">
                  <c:v>22.337270237473078</c:v>
                </c:pt>
                <c:pt idx="5">
                  <c:v>22.621876851094939</c:v>
                </c:pt>
                <c:pt idx="6">
                  <c:v>22.9064834647168</c:v>
                </c:pt>
                <c:pt idx="7">
                  <c:v>23.191090078338661</c:v>
                </c:pt>
                <c:pt idx="8">
                  <c:v>23.475696691960529</c:v>
                </c:pt>
                <c:pt idx="9">
                  <c:v>23.76030330558239</c:v>
                </c:pt>
                <c:pt idx="10">
                  <c:v>24.044909919204251</c:v>
                </c:pt>
                <c:pt idx="11">
                  <c:v>24.329516532826112</c:v>
                </c:pt>
                <c:pt idx="12">
                  <c:v>24.614123146447973</c:v>
                </c:pt>
                <c:pt idx="13">
                  <c:v>24.898729760069834</c:v>
                </c:pt>
                <c:pt idx="14">
                  <c:v>25.183336373691695</c:v>
                </c:pt>
                <c:pt idx="15">
                  <c:v>25.467942987313556</c:v>
                </c:pt>
                <c:pt idx="16">
                  <c:v>25.752549600935417</c:v>
                </c:pt>
                <c:pt idx="17">
                  <c:v>26.037156214557278</c:v>
                </c:pt>
                <c:pt idx="18">
                  <c:v>26.321762828179139</c:v>
                </c:pt>
                <c:pt idx="19">
                  <c:v>26.606369441801007</c:v>
                </c:pt>
                <c:pt idx="20">
                  <c:v>26.890976055422868</c:v>
                </c:pt>
                <c:pt idx="21">
                  <c:v>27.175582669044729</c:v>
                </c:pt>
                <c:pt idx="22">
                  <c:v>27.46018928266659</c:v>
                </c:pt>
                <c:pt idx="23">
                  <c:v>27.744795896288451</c:v>
                </c:pt>
                <c:pt idx="24">
                  <c:v>28.029402509910312</c:v>
                </c:pt>
                <c:pt idx="25">
                  <c:v>28.314009123532173</c:v>
                </c:pt>
                <c:pt idx="26">
                  <c:v>28.598615737154034</c:v>
                </c:pt>
                <c:pt idx="27">
                  <c:v>28.883222350775895</c:v>
                </c:pt>
                <c:pt idx="28">
                  <c:v>29.167828964397756</c:v>
                </c:pt>
                <c:pt idx="29">
                  <c:v>29.452435578019617</c:v>
                </c:pt>
                <c:pt idx="30">
                  <c:v>29.737042191641486</c:v>
                </c:pt>
                <c:pt idx="31">
                  <c:v>30.021648805263347</c:v>
                </c:pt>
                <c:pt idx="32">
                  <c:v>30.306255418885208</c:v>
                </c:pt>
                <c:pt idx="33">
                  <c:v>30.590862032507069</c:v>
                </c:pt>
                <c:pt idx="34">
                  <c:v>30.87546864612893</c:v>
                </c:pt>
                <c:pt idx="35">
                  <c:v>31.160075259750791</c:v>
                </c:pt>
                <c:pt idx="36">
                  <c:v>31.444681873372652</c:v>
                </c:pt>
                <c:pt idx="37">
                  <c:v>31.729288486994513</c:v>
                </c:pt>
                <c:pt idx="38">
                  <c:v>32.013895100616374</c:v>
                </c:pt>
                <c:pt idx="39">
                  <c:v>32.298501714238235</c:v>
                </c:pt>
                <c:pt idx="40">
                  <c:v>32.583108327860103</c:v>
                </c:pt>
                <c:pt idx="41">
                  <c:v>32.867714941481964</c:v>
                </c:pt>
                <c:pt idx="42">
                  <c:v>33.152321555103825</c:v>
                </c:pt>
                <c:pt idx="43">
                  <c:v>33.436928168725686</c:v>
                </c:pt>
                <c:pt idx="44">
                  <c:v>33.721534782347547</c:v>
                </c:pt>
                <c:pt idx="45">
                  <c:v>34.006141395969408</c:v>
                </c:pt>
                <c:pt idx="46">
                  <c:v>34.290748009591269</c:v>
                </c:pt>
                <c:pt idx="47">
                  <c:v>34.57535462321313</c:v>
                </c:pt>
                <c:pt idx="48">
                  <c:v>34.859961236834991</c:v>
                </c:pt>
                <c:pt idx="49">
                  <c:v>35.144567850456859</c:v>
                </c:pt>
                <c:pt idx="50">
                  <c:v>35.42917446407872</c:v>
                </c:pt>
                <c:pt idx="51">
                  <c:v>35.713781077700581</c:v>
                </c:pt>
                <c:pt idx="52">
                  <c:v>35.998387691322442</c:v>
                </c:pt>
                <c:pt idx="53">
                  <c:v>36.282994304944303</c:v>
                </c:pt>
                <c:pt idx="54">
                  <c:v>36.567600918566164</c:v>
                </c:pt>
                <c:pt idx="55">
                  <c:v>36.852207532188025</c:v>
                </c:pt>
                <c:pt idx="56">
                  <c:v>37.136814145809886</c:v>
                </c:pt>
                <c:pt idx="57">
                  <c:v>37.421420759431747</c:v>
                </c:pt>
                <c:pt idx="58">
                  <c:v>37.706027373053608</c:v>
                </c:pt>
                <c:pt idx="59">
                  <c:v>37.990633986675476</c:v>
                </c:pt>
                <c:pt idx="60">
                  <c:v>38.275240600297337</c:v>
                </c:pt>
                <c:pt idx="61">
                  <c:v>38.559847213919198</c:v>
                </c:pt>
                <c:pt idx="62">
                  <c:v>38.844453827541059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E68-4608-945A-0F026B2C46CA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Lit>
              <c:formatCode>General</c:formatCode>
              <c:ptCount val="25"/>
              <c:pt idx="0">
                <c:v>126</c:v>
              </c:pt>
              <c:pt idx="1">
                <c:v>126</c:v>
              </c:pt>
              <c:pt idx="2">
                <c:v>126</c:v>
              </c:pt>
              <c:pt idx="3">
                <c:v>126</c:v>
              </c:pt>
              <c:pt idx="4">
                <c:v>126</c:v>
              </c:pt>
              <c:pt idx="5">
                <c:v>126</c:v>
              </c:pt>
              <c:pt idx="6">
                <c:v>126</c:v>
              </c:pt>
              <c:pt idx="7">
                <c:v>126</c:v>
              </c:pt>
              <c:pt idx="8">
                <c:v>126</c:v>
              </c:pt>
              <c:pt idx="9">
                <c:v>126</c:v>
              </c:pt>
              <c:pt idx="10">
                <c:v>126</c:v>
              </c:pt>
              <c:pt idx="11">
                <c:v>126</c:v>
              </c:pt>
              <c:pt idx="12">
                <c:v>126</c:v>
              </c:pt>
              <c:pt idx="13">
                <c:v>126</c:v>
              </c:pt>
              <c:pt idx="14">
                <c:v>126</c:v>
              </c:pt>
              <c:pt idx="15">
                <c:v>126</c:v>
              </c:pt>
              <c:pt idx="16">
                <c:v>126</c:v>
              </c:pt>
              <c:pt idx="17">
                <c:v>126</c:v>
              </c:pt>
              <c:pt idx="18">
                <c:v>126</c:v>
              </c:pt>
              <c:pt idx="19">
                <c:v>126</c:v>
              </c:pt>
              <c:pt idx="20">
                <c:v>126</c:v>
              </c:pt>
              <c:pt idx="21">
                <c:v>126</c:v>
              </c:pt>
              <c:pt idx="22">
                <c:v>126</c:v>
              </c:pt>
              <c:pt idx="23">
                <c:v>126</c:v>
              </c:pt>
              <c:pt idx="24">
                <c:v>126</c:v>
              </c:pt>
            </c:numLit>
          </c:xVal>
          <c:yVal>
            <c:numRef>
              <c:f>'2. Интервальный прогноз СП'!$AD$137:$BB$137</c:f>
              <c:numCache>
                <c:formatCode>General</c:formatCode>
                <c:ptCount val="25"/>
                <c:pt idx="0">
                  <c:v>31.708622036822</c:v>
                </c:pt>
                <c:pt idx="1">
                  <c:v>29.913748056418221</c:v>
                </c:pt>
                <c:pt idx="2">
                  <c:v>27.380850235387886</c:v>
                </c:pt>
                <c:pt idx="3">
                  <c:v>32.001301205619043</c:v>
                </c:pt>
                <c:pt idx="4">
                  <c:v>38.179615071435627</c:v>
                </c:pt>
                <c:pt idx="5">
                  <c:v>50.581789417233182</c:v>
                </c:pt>
                <c:pt idx="6">
                  <c:v>48.161071219978083</c:v>
                </c:pt>
                <c:pt idx="7">
                  <c:v>51.941440195621759</c:v>
                </c:pt>
                <c:pt idx="8">
                  <c:v>38.617368640904409</c:v>
                </c:pt>
                <c:pt idx="9">
                  <c:v>52.725010650412699</c:v>
                </c:pt>
                <c:pt idx="10">
                  <c:v>31.414255956389241</c:v>
                </c:pt>
                <c:pt idx="11">
                  <c:v>50.058846810160652</c:v>
                </c:pt>
                <c:pt idx="12">
                  <c:v>35.289935439450971</c:v>
                </c:pt>
                <c:pt idx="13">
                  <c:v>32.903798930728087</c:v>
                </c:pt>
                <c:pt idx="14">
                  <c:v>46.469942305170953</c:v>
                </c:pt>
                <c:pt idx="15">
                  <c:v>42.078067861579555</c:v>
                </c:pt>
                <c:pt idx="16">
                  <c:v>42.299896741676456</c:v>
                </c:pt>
                <c:pt idx="17">
                  <c:v>27.525081180241763</c:v>
                </c:pt>
                <c:pt idx="18">
                  <c:v>38.160215587624876</c:v>
                </c:pt>
                <c:pt idx="19">
                  <c:v>45.17692453639323</c:v>
                </c:pt>
                <c:pt idx="20">
                  <c:v>52.341238253286889</c:v>
                </c:pt>
                <c:pt idx="21">
                  <c:v>50.208981945739538</c:v>
                </c:pt>
                <c:pt idx="22">
                  <c:v>31.979371354354711</c:v>
                </c:pt>
                <c:pt idx="23">
                  <c:v>46.367040695392163</c:v>
                </c:pt>
                <c:pt idx="24">
                  <c:v>38.26564756485724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E68-4608-945A-0F026B2C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475856"/>
        <c:axId val="692476816"/>
      </c:scatterChart>
      <c:valAx>
        <c:axId val="69247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476816"/>
        <c:crosses val="autoZero"/>
        <c:crossBetween val="midCat"/>
      </c:valAx>
      <c:valAx>
        <c:axId val="69247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47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16808</xdr:colOff>
      <xdr:row>12</xdr:row>
      <xdr:rowOff>23531</xdr:rowOff>
    </xdr:from>
    <xdr:to>
      <xdr:col>13</xdr:col>
      <xdr:colOff>403412</xdr:colOff>
      <xdr:row>45</xdr:row>
      <xdr:rowOff>67234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BBA6130-D958-9FFD-AF36-FA5AA64DC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240925</xdr:colOff>
      <xdr:row>12</xdr:row>
      <xdr:rowOff>79560</xdr:rowOff>
    </xdr:from>
    <xdr:to>
      <xdr:col>25</xdr:col>
      <xdr:colOff>504265</xdr:colOff>
      <xdr:row>45</xdr:row>
      <xdr:rowOff>33617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1E7627B-9893-6FF3-5127-97135037D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549087</xdr:colOff>
      <xdr:row>12</xdr:row>
      <xdr:rowOff>33618</xdr:rowOff>
    </xdr:from>
    <xdr:to>
      <xdr:col>44</xdr:col>
      <xdr:colOff>605117</xdr:colOff>
      <xdr:row>55</xdr:row>
      <xdr:rowOff>56029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62CEB00-A717-42F2-8736-CCEBCE6B8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240925</xdr:colOff>
      <xdr:row>12</xdr:row>
      <xdr:rowOff>79560</xdr:rowOff>
    </xdr:from>
    <xdr:to>
      <xdr:col>25</xdr:col>
      <xdr:colOff>504265</xdr:colOff>
      <xdr:row>45</xdr:row>
      <xdr:rowOff>33617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AED443C-79C5-4569-BC1D-E32A12768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549087</xdr:colOff>
      <xdr:row>12</xdr:row>
      <xdr:rowOff>33618</xdr:rowOff>
    </xdr:from>
    <xdr:to>
      <xdr:col>44</xdr:col>
      <xdr:colOff>605117</xdr:colOff>
      <xdr:row>55</xdr:row>
      <xdr:rowOff>56029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E040024-6111-4100-B2B5-6951B9E0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63</xdr:col>
      <xdr:colOff>428625</xdr:colOff>
      <xdr:row>13</xdr:row>
      <xdr:rowOff>23530</xdr:rowOff>
    </xdr:from>
    <xdr:to>
      <xdr:col>73</xdr:col>
      <xdr:colOff>423023</xdr:colOff>
      <xdr:row>34</xdr:row>
      <xdr:rowOff>134469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1F5D0F6-4F37-0191-9DC2-2A7327845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67</xdr:col>
      <xdr:colOff>135590</xdr:colOff>
      <xdr:row>9</xdr:row>
      <xdr:rowOff>76201</xdr:rowOff>
    </xdr:from>
    <xdr:to>
      <xdr:col>85</xdr:col>
      <xdr:colOff>470646</xdr:colOff>
      <xdr:row>41</xdr:row>
      <xdr:rowOff>92449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9AB1139C-AF1D-1F3E-7841-FF43C8941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A5B2-A842-4352-8828-7879315345C3}">
  <dimension ref="A1:BH137"/>
  <sheetViews>
    <sheetView topLeftCell="AS94" zoomScale="85" zoomScaleNormal="85" workbookViewId="0">
      <selection activeCell="BE12" sqref="BE12"/>
    </sheetView>
  </sheetViews>
  <sheetFormatPr defaultRowHeight="15" x14ac:dyDescent="0.25"/>
  <cols>
    <col min="2" max="2" width="9.5703125" bestFit="1" customWidth="1"/>
  </cols>
  <sheetData>
    <row r="1" spans="1:60" x14ac:dyDescent="0.25">
      <c r="A1" s="1" t="s">
        <v>0</v>
      </c>
    </row>
    <row r="3" spans="1:60" x14ac:dyDescent="0.25">
      <c r="A3" s="3">
        <v>1</v>
      </c>
      <c r="B3" s="5" t="s">
        <v>1</v>
      </c>
      <c r="C3" s="4"/>
      <c r="D3" s="4"/>
      <c r="E3" s="4"/>
      <c r="F3" s="2"/>
      <c r="G3" s="2"/>
      <c r="H3" s="2"/>
      <c r="I3" s="2"/>
      <c r="J3" s="2"/>
      <c r="L3" s="3">
        <v>5</v>
      </c>
      <c r="M3" s="2" t="s">
        <v>10</v>
      </c>
      <c r="N3" s="2"/>
      <c r="O3" s="2"/>
    </row>
    <row r="4" spans="1:60" x14ac:dyDescent="0.25">
      <c r="A4" t="s">
        <v>4</v>
      </c>
      <c r="F4" t="s">
        <v>5</v>
      </c>
    </row>
    <row r="5" spans="1:60" x14ac:dyDescent="0.25">
      <c r="A5" t="s">
        <v>2</v>
      </c>
      <c r="B5" s="6">
        <v>24.560075685903499</v>
      </c>
      <c r="F5" t="s">
        <v>6</v>
      </c>
      <c r="G5">
        <v>2.762941115477588</v>
      </c>
      <c r="L5" t="s">
        <v>6</v>
      </c>
      <c r="M5">
        <v>2.8619967652508356</v>
      </c>
    </row>
    <row r="6" spans="1:60" x14ac:dyDescent="0.25">
      <c r="A6" t="s">
        <v>3</v>
      </c>
      <c r="B6" s="6">
        <v>125.92852565080722</v>
      </c>
      <c r="F6" t="s">
        <v>7</v>
      </c>
      <c r="G6">
        <v>0.29158440004976</v>
      </c>
      <c r="L6" t="s">
        <v>7</v>
      </c>
      <c r="M6">
        <v>0.2881022182974094</v>
      </c>
    </row>
    <row r="7" spans="1:60" x14ac:dyDescent="0.25">
      <c r="F7" t="s">
        <v>8</v>
      </c>
      <c r="G7">
        <v>13.818758391891606</v>
      </c>
      <c r="L7" t="s">
        <v>11</v>
      </c>
      <c r="M7">
        <f>SUM(BH12:BH74)</f>
        <v>152.61176384844308</v>
      </c>
    </row>
    <row r="9" spans="1:60" x14ac:dyDescent="0.25">
      <c r="A9" s="3">
        <v>2</v>
      </c>
      <c r="B9" s="2" t="s">
        <v>9</v>
      </c>
      <c r="C9" s="2"/>
      <c r="D9" s="2"/>
      <c r="AC9" s="3">
        <v>3</v>
      </c>
      <c r="AD9" s="2" t="s">
        <v>13</v>
      </c>
      <c r="AE9" s="2"/>
      <c r="BC9" s="3">
        <v>4</v>
      </c>
      <c r="BD9" s="2" t="s">
        <v>16</v>
      </c>
      <c r="BE9" s="2"/>
      <c r="BF9" s="2"/>
    </row>
    <row r="10" spans="1:60" x14ac:dyDescent="0.25">
      <c r="C10" s="8" t="s">
        <v>2</v>
      </c>
      <c r="AD10" s="8" t="s">
        <v>2</v>
      </c>
    </row>
    <row r="11" spans="1:60" x14ac:dyDescent="0.25">
      <c r="A11" s="7" t="s">
        <v>15</v>
      </c>
      <c r="B11" s="9" t="s">
        <v>12</v>
      </c>
      <c r="C11" s="8">
        <v>1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8">
        <v>10</v>
      </c>
      <c r="M11" s="8">
        <v>11</v>
      </c>
      <c r="N11" s="8">
        <v>12</v>
      </c>
      <c r="O11" s="8">
        <v>13</v>
      </c>
      <c r="P11" s="8">
        <v>14</v>
      </c>
      <c r="Q11" s="8">
        <v>15</v>
      </c>
      <c r="R11" s="8">
        <v>16</v>
      </c>
      <c r="S11" s="8">
        <v>17</v>
      </c>
      <c r="T11" s="8">
        <v>18</v>
      </c>
      <c r="U11" s="8">
        <v>19</v>
      </c>
      <c r="V11" s="8">
        <v>20</v>
      </c>
      <c r="W11" s="8">
        <v>21</v>
      </c>
      <c r="X11" s="8">
        <v>22</v>
      </c>
      <c r="Y11" s="8">
        <v>23</v>
      </c>
      <c r="Z11" s="8">
        <v>24</v>
      </c>
      <c r="AA11" s="8">
        <v>25</v>
      </c>
      <c r="AC11" s="7" t="s">
        <v>14</v>
      </c>
      <c r="AD11" s="8">
        <v>1</v>
      </c>
      <c r="AE11" s="8">
        <v>2</v>
      </c>
      <c r="AF11" s="8">
        <v>3</v>
      </c>
      <c r="AG11" s="8">
        <v>4</v>
      </c>
      <c r="AH11" s="8">
        <v>5</v>
      </c>
      <c r="AI11" s="8">
        <v>6</v>
      </c>
      <c r="AJ11" s="8">
        <v>7</v>
      </c>
      <c r="AK11" s="8">
        <v>8</v>
      </c>
      <c r="AL11" s="8">
        <v>9</v>
      </c>
      <c r="AM11" s="8">
        <v>10</v>
      </c>
      <c r="AN11" s="8">
        <v>11</v>
      </c>
      <c r="AO11" s="8">
        <v>12</v>
      </c>
      <c r="AP11" s="8">
        <v>13</v>
      </c>
      <c r="AQ11" s="8">
        <v>14</v>
      </c>
      <c r="AR11" s="8">
        <v>15</v>
      </c>
      <c r="AS11" s="8">
        <v>16</v>
      </c>
      <c r="AT11" s="8">
        <v>17</v>
      </c>
      <c r="AU11" s="8">
        <v>18</v>
      </c>
      <c r="AV11" s="8">
        <v>19</v>
      </c>
      <c r="AW11" s="8">
        <v>20</v>
      </c>
      <c r="AX11" s="8">
        <v>21</v>
      </c>
      <c r="AY11" s="8">
        <v>22</v>
      </c>
      <c r="AZ11" s="8">
        <v>23</v>
      </c>
      <c r="BA11" s="8">
        <v>24</v>
      </c>
      <c r="BB11" s="8">
        <v>25</v>
      </c>
      <c r="BC11" s="11" t="s">
        <v>17</v>
      </c>
      <c r="BD11" s="11" t="s">
        <v>18</v>
      </c>
      <c r="BE11" s="11" t="s">
        <v>19</v>
      </c>
      <c r="BF11" s="11" t="s">
        <v>22</v>
      </c>
      <c r="BG11" s="11" t="s">
        <v>20</v>
      </c>
      <c r="BH11" s="11" t="s">
        <v>21</v>
      </c>
    </row>
    <row r="12" spans="1:60" x14ac:dyDescent="0.25">
      <c r="A12" s="7">
        <v>1</v>
      </c>
      <c r="B12" s="9">
        <f>$G$5+$G$6*A12</f>
        <v>3.0545255155273479</v>
      </c>
      <c r="C12">
        <v>-0.43607898190252392</v>
      </c>
      <c r="D12">
        <v>0.58330027161473441</v>
      </c>
      <c r="E12">
        <v>-0.81920834986419266</v>
      </c>
      <c r="F12">
        <v>-1.3733329264198346E-3</v>
      </c>
      <c r="G12">
        <v>-1.7670216986602427E-2</v>
      </c>
      <c r="H12">
        <v>0.91448713644825586</v>
      </c>
      <c r="I12">
        <v>-0.1147801141392254</v>
      </c>
      <c r="J12">
        <v>-0.57994323557237459</v>
      </c>
      <c r="K12">
        <v>-0.7730033265175329</v>
      </c>
      <c r="L12">
        <v>0.31321146275215916</v>
      </c>
      <c r="M12">
        <v>-0.68968779564806049</v>
      </c>
      <c r="N12">
        <v>-0.77745902890102847</v>
      </c>
      <c r="O12">
        <v>0.76219977416302997</v>
      </c>
      <c r="P12">
        <v>-0.64738914151432847</v>
      </c>
      <c r="Q12">
        <v>-0.16110721152378915</v>
      </c>
      <c r="R12">
        <v>0.95013275551622067</v>
      </c>
      <c r="S12">
        <v>0.8782921842097231</v>
      </c>
      <c r="T12">
        <v>-0.60679952391125225</v>
      </c>
      <c r="U12">
        <v>-0.30448316904202399</v>
      </c>
      <c r="V12">
        <v>1.1810663167211022E-2</v>
      </c>
      <c r="W12">
        <v>9.9215674306466939E-2</v>
      </c>
      <c r="X12">
        <v>-0.39017914365062412</v>
      </c>
      <c r="Y12">
        <v>0.11410870693075359</v>
      </c>
      <c r="Z12">
        <v>-0.57029938657795953</v>
      </c>
      <c r="AA12">
        <v>0.1879024628437147</v>
      </c>
      <c r="AC12" s="7">
        <v>1</v>
      </c>
      <c r="AD12">
        <f t="shared" ref="AD12:AD43" si="0">$B12+$G$7*C12</f>
        <v>-2.9715445751657024</v>
      </c>
      <c r="AE12">
        <f t="shared" ref="AE12:AE43" si="1">$B12+$G$7*D12</f>
        <v>11.115011038896114</v>
      </c>
      <c r="AF12">
        <f t="shared" ref="AF12:AF43" si="2">$B12+$G$7*E12</f>
        <v>-8.2659167438661392</v>
      </c>
      <c r="AG12">
        <f t="shared" ref="AG12:AG43" si="3">$B12+$G$7*F12</f>
        <v>3.0355477596255227</v>
      </c>
      <c r="AH12">
        <f t="shared" ref="AH12:AH43" si="4">$B12+$G$7*G12</f>
        <v>2.8103450562571899</v>
      </c>
      <c r="AI12">
        <f t="shared" ref="AI12:AI43" si="5">$B12+$G$7*H12</f>
        <v>15.691602306598607</v>
      </c>
      <c r="AJ12">
        <f t="shared" ref="AJ12:AJ43" si="6">$B12+$G$7*I12</f>
        <v>1.4684068500436505</v>
      </c>
      <c r="AK12">
        <f t="shared" ref="AK12:AK43" si="7">$B12+$G$7*J12</f>
        <v>-4.9595699378591744</v>
      </c>
      <c r="AL12">
        <f t="shared" ref="AL12:AL43" si="8">$B12+$G$7*K12</f>
        <v>-7.6274206897469368</v>
      </c>
      <c r="AM12">
        <f t="shared" ref="AM12:AM43" si="9">$B12+$G$7*L12</f>
        <v>7.3827190448703925</v>
      </c>
      <c r="AN12">
        <f t="shared" ref="AN12:AN43" si="10">$B12+$G$7*M12</f>
        <v>-6.4761034983695103</v>
      </c>
      <c r="AO12">
        <f t="shared" ref="AO12:AO43" si="11">$B12+$G$7*N12</f>
        <v>-7.6889929644506383</v>
      </c>
      <c r="AP12">
        <f t="shared" ref="AP12:AP43" si="12">$B12+$G$7*O12</f>
        <v>13.587180041040604</v>
      </c>
      <c r="AQ12">
        <f t="shared" ref="AQ12:AQ43" si="13">$B12+$G$7*P12</f>
        <v>-5.8915886165932809</v>
      </c>
      <c r="AR12">
        <f t="shared" ref="AR12:AR43" si="14">$B12+$G$7*Q12</f>
        <v>0.82822388428873062</v>
      </c>
      <c r="AS12">
        <f t="shared" ref="AS12:AS43" si="15">$B12+$G$7*R12</f>
        <v>16.18418050422822</v>
      </c>
      <c r="AT12">
        <f t="shared" ref="AT12:AT43" si="16">$B12+$G$7*S12</f>
        <v>15.191433006608268</v>
      </c>
      <c r="AU12">
        <f t="shared" ref="AU12:AU43" si="17">$B12+$G$7*T12</f>
        <v>-5.330690497717101</v>
      </c>
      <c r="AV12">
        <f t="shared" ref="AV12:AV43" si="18">$B12+$G$7*U12</f>
        <v>-1.1530538318618717</v>
      </c>
      <c r="AW12">
        <f t="shared" ref="AW12:AW43" si="19">$B12+$G$7*V12</f>
        <v>3.2177342162830502</v>
      </c>
      <c r="AX12">
        <f t="shared" ref="AX12:AX43" si="20">$B12+$G$7*W12</f>
        <v>4.4255629474570224</v>
      </c>
      <c r="AY12">
        <f t="shared" ref="AY12:AY43" si="21">$B12+$G$7*X12</f>
        <v>-2.3372658001357944</v>
      </c>
      <c r="AZ12">
        <f t="shared" ref="AZ12:AZ43" si="22">$B12+$G$7*Y12</f>
        <v>4.6313661670145994</v>
      </c>
      <c r="BA12">
        <f t="shared" ref="BA12:BA43" si="23">$B12+$G$7*Z12</f>
        <v>-4.8263039186374659</v>
      </c>
      <c r="BB12">
        <f t="shared" ref="BB12:BB43" si="24">$B12+$G$7*AA12</f>
        <v>5.6511042508060312</v>
      </c>
      <c r="BC12" s="2">
        <f>AVERAGE(AD12:BB12)</f>
        <v>1.9076786399845755</v>
      </c>
      <c r="BD12">
        <f>_xlfn.VAR.S(AD12:BB12)</f>
        <v>61.170602488650673</v>
      </c>
      <c r="BE12">
        <f>_xlfn.STDEV.S(AD12:BB12)</f>
        <v>7.8211637553915638</v>
      </c>
      <c r="BF12" s="12">
        <f>$M$5+$M$6*AC12</f>
        <v>3.1500989835482449</v>
      </c>
      <c r="BG12">
        <f>BC12-BF12</f>
        <v>-1.2424203435636694</v>
      </c>
      <c r="BH12">
        <f>BG12*BG12</f>
        <v>1.5436083101008662</v>
      </c>
    </row>
    <row r="13" spans="1:60" x14ac:dyDescent="0.25">
      <c r="A13" s="7">
        <v>2</v>
      </c>
      <c r="B13" s="9">
        <f t="shared" ref="B13:B76" si="25">$G$5+$G$6*A13</f>
        <v>3.3461099155771081</v>
      </c>
      <c r="C13">
        <v>-0.77330851161229286</v>
      </c>
      <c r="D13">
        <v>0.88378551591540266</v>
      </c>
      <c r="E13">
        <v>0.45060579241309862</v>
      </c>
      <c r="F13">
        <v>0.56120487075411241</v>
      </c>
      <c r="G13">
        <v>-0.47837763603625594</v>
      </c>
      <c r="H13">
        <v>0.58659627063814201</v>
      </c>
      <c r="I13">
        <v>-0.91674550614947969</v>
      </c>
      <c r="J13">
        <v>0.92803735465559867</v>
      </c>
      <c r="K13">
        <v>-0.83819086275826282</v>
      </c>
      <c r="L13">
        <v>0.83892330698568673</v>
      </c>
      <c r="M13">
        <v>0.62431714835047458</v>
      </c>
      <c r="N13">
        <v>-3.7751396221808564E-2</v>
      </c>
      <c r="O13">
        <v>-0.56511123996703994</v>
      </c>
      <c r="P13">
        <v>0.84917752616962194</v>
      </c>
      <c r="Q13">
        <v>-0.76586199530014953</v>
      </c>
      <c r="R13">
        <v>0.8239082003234961</v>
      </c>
      <c r="S13">
        <v>0.93652150028992587</v>
      </c>
      <c r="T13">
        <v>-0.39518417920468762</v>
      </c>
      <c r="U13">
        <v>0.62730796227912222</v>
      </c>
      <c r="V13">
        <v>-0.66057313760795922</v>
      </c>
      <c r="W13">
        <v>0.27750480666524258</v>
      </c>
      <c r="X13">
        <v>5.7985168004393017E-4</v>
      </c>
      <c r="Y13">
        <v>0.93737601855525376</v>
      </c>
      <c r="Z13">
        <v>-0.34415723136082033</v>
      </c>
      <c r="AA13">
        <v>0.37369914853358566</v>
      </c>
      <c r="AC13" s="7">
        <v>2</v>
      </c>
      <c r="AD13">
        <f t="shared" si="0"/>
        <v>-7.3400535687864714</v>
      </c>
      <c r="AE13">
        <f t="shared" si="1"/>
        <v>15.558928430265331</v>
      </c>
      <c r="AF13">
        <f t="shared" si="2"/>
        <v>9.5729224909205808</v>
      </c>
      <c r="AG13">
        <f t="shared" si="3"/>
        <v>11.101264432880944</v>
      </c>
      <c r="AH13">
        <f t="shared" si="4"/>
        <v>-3.2644750568921723</v>
      </c>
      <c r="AI13">
        <f t="shared" si="5"/>
        <v>11.452142053110252</v>
      </c>
      <c r="AJ13">
        <f t="shared" si="6"/>
        <v>-9.3221747407549334</v>
      </c>
      <c r="AK13">
        <f t="shared" si="7"/>
        <v>16.170433898213048</v>
      </c>
      <c r="AL13">
        <f t="shared" si="8"/>
        <v>-8.2366471031705029</v>
      </c>
      <c r="AM13">
        <f t="shared" si="9"/>
        <v>14.938988404139025</v>
      </c>
      <c r="AN13">
        <f t="shared" si="10"/>
        <v>11.973397748547065</v>
      </c>
      <c r="AO13">
        <f t="shared" si="11"/>
        <v>2.8244324922313657</v>
      </c>
      <c r="AP13">
        <f t="shared" si="12"/>
        <v>-4.4630257740696955</v>
      </c>
      <c r="AQ13">
        <f t="shared" si="13"/>
        <v>15.080688981539325</v>
      </c>
      <c r="AR13">
        <f t="shared" si="14"/>
        <v>-7.2371519590076829</v>
      </c>
      <c r="AS13">
        <f t="shared" si="15"/>
        <v>14.73149827294573</v>
      </c>
      <c r="AT13">
        <f t="shared" si="16"/>
        <v>16.287674256895439</v>
      </c>
      <c r="AU13">
        <f t="shared" si="17"/>
        <v>-2.114844777150465</v>
      </c>
      <c r="AV13">
        <f t="shared" si="18"/>
        <v>12.014727083622152</v>
      </c>
      <c r="AW13">
        <f t="shared" si="19"/>
        <v>-5.7821906732010468</v>
      </c>
      <c r="AX13">
        <f t="shared" si="20"/>
        <v>7.1808817914726868</v>
      </c>
      <c r="AY13">
        <f t="shared" si="21"/>
        <v>3.3541227458467677</v>
      </c>
      <c r="AZ13">
        <f t="shared" si="22"/>
        <v>16.299482638345463</v>
      </c>
      <c r="BA13">
        <f t="shared" si="23"/>
        <v>-1.4097157134204088</v>
      </c>
      <c r="BB13">
        <f t="shared" si="24"/>
        <v>8.5101681604183419</v>
      </c>
      <c r="BC13" s="2">
        <f t="shared" ref="BC13:BC76" si="26">AVERAGE(AD13:BB13)</f>
        <v>5.5152589805976051</v>
      </c>
      <c r="BD13">
        <f t="shared" ref="BD13:BD76" si="27">_xlfn.VAR.S(AD13:BB13)</f>
        <v>85.421634676577966</v>
      </c>
      <c r="BE13">
        <f t="shared" ref="BE13:BE76" si="28">_xlfn.STDEV.S(AD13:BB13)</f>
        <v>9.2423825216541413</v>
      </c>
      <c r="BF13" s="12">
        <f t="shared" ref="BF13:BF76" si="29">$M$5+$M$6*AC13</f>
        <v>3.4382012018456543</v>
      </c>
      <c r="BG13">
        <f t="shared" ref="BG13:BG76" si="30">BC13-BF13</f>
        <v>2.0770577787519509</v>
      </c>
      <c r="BH13">
        <f t="shared" ref="BH13:BH76" si="31">BG13*BG13</f>
        <v>4.3141690162739881</v>
      </c>
    </row>
    <row r="14" spans="1:60" x14ac:dyDescent="0.25">
      <c r="A14" s="7">
        <v>3</v>
      </c>
      <c r="B14" s="9">
        <f t="shared" si="25"/>
        <v>3.637694315626868</v>
      </c>
      <c r="C14">
        <v>0.22013000885036771</v>
      </c>
      <c r="D14">
        <v>-0.17905209509567555</v>
      </c>
      <c r="E14">
        <v>-0.82085634937589647</v>
      </c>
      <c r="F14">
        <v>0.87914670247505122</v>
      </c>
      <c r="G14">
        <v>0.68492690816980506</v>
      </c>
      <c r="H14">
        <v>0.86236152226325258</v>
      </c>
      <c r="I14">
        <v>-0.38920255134739223</v>
      </c>
      <c r="J14">
        <v>0.32718894009216593</v>
      </c>
      <c r="K14">
        <v>-0.11844233527634507</v>
      </c>
      <c r="L14">
        <v>-0.6589251380962553</v>
      </c>
      <c r="M14">
        <v>-0.10592974639118624</v>
      </c>
      <c r="N14">
        <v>0.54118472853785815</v>
      </c>
      <c r="O14">
        <v>-0.61955626087221893</v>
      </c>
      <c r="P14">
        <v>0.42594683675649292</v>
      </c>
      <c r="Q14">
        <v>-0.1165501876888333</v>
      </c>
      <c r="R14">
        <v>0.87640003662221133</v>
      </c>
      <c r="S14">
        <v>-0.64140751365703297</v>
      </c>
      <c r="T14">
        <v>-0.14377269814142279</v>
      </c>
      <c r="U14">
        <v>0.54911954100161742</v>
      </c>
      <c r="V14">
        <v>0.85747856074709317</v>
      </c>
      <c r="W14">
        <v>0.9387188329721976</v>
      </c>
      <c r="X14">
        <v>0.1750846888637958</v>
      </c>
      <c r="Y14">
        <v>-0.47160252693258464</v>
      </c>
      <c r="Z14">
        <v>0.77202673421430101</v>
      </c>
      <c r="AA14">
        <v>0.65715506454664752</v>
      </c>
      <c r="AC14" s="7">
        <v>3</v>
      </c>
      <c r="AD14">
        <f t="shared" si="0"/>
        <v>6.6796177227350597</v>
      </c>
      <c r="AE14">
        <f t="shared" si="1"/>
        <v>1.1634166739377276</v>
      </c>
      <c r="AF14">
        <f t="shared" si="2"/>
        <v>-7.7055212508488093</v>
      </c>
      <c r="AG14">
        <f t="shared" si="3"/>
        <v>15.786410188157815</v>
      </c>
      <c r="AH14">
        <f t="shared" si="4"/>
        <v>13.102533775730734</v>
      </c>
      <c r="AI14">
        <f t="shared" si="5"/>
        <v>15.554459838246609</v>
      </c>
      <c r="AJ14">
        <f t="shared" si="6"/>
        <v>-1.7406017069505322</v>
      </c>
      <c r="AK14">
        <f t="shared" si="7"/>
        <v>8.1590392272596066</v>
      </c>
      <c r="AL14">
        <f t="shared" si="8"/>
        <v>2.0009683010716355</v>
      </c>
      <c r="AM14">
        <f t="shared" si="9"/>
        <v>-5.4678329660690945</v>
      </c>
      <c r="AN14">
        <f t="shared" si="10"/>
        <v>2.1738767437327136</v>
      </c>
      <c r="AO14">
        <f t="shared" si="11"/>
        <v>11.116195324672976</v>
      </c>
      <c r="AP14">
        <f t="shared" si="12"/>
        <v>-4.9238039635500925</v>
      </c>
      <c r="AQ14">
        <f t="shared" si="13"/>
        <v>9.5237507405553377</v>
      </c>
      <c r="AR14">
        <f t="shared" si="14"/>
        <v>2.0271154314252611</v>
      </c>
      <c r="AS14">
        <f t="shared" si="15"/>
        <v>15.748454676354163</v>
      </c>
      <c r="AT14">
        <f t="shared" si="16"/>
        <v>-5.2257611463435865</v>
      </c>
      <c r="AU14">
        <f t="shared" si="17"/>
        <v>1.6509341366601831</v>
      </c>
      <c r="AV14">
        <f t="shared" si="18"/>
        <v>11.225844580994636</v>
      </c>
      <c r="AW14">
        <f t="shared" si="19"/>
        <v>15.486983372817898</v>
      </c>
      <c r="AX14">
        <f t="shared" si="20"/>
        <v>16.609623066388117</v>
      </c>
      <c r="AY14">
        <f t="shared" si="21"/>
        <v>6.0571473291551765</v>
      </c>
      <c r="AZ14">
        <f t="shared" si="22"/>
        <v>-2.8792670610600735</v>
      </c>
      <c r="BA14">
        <f t="shared" si="23"/>
        <v>14.306145227815412</v>
      </c>
      <c r="BB14">
        <f t="shared" si="24"/>
        <v>12.718761378604924</v>
      </c>
      <c r="BC14" s="2">
        <f t="shared" si="26"/>
        <v>6.1259395856597507</v>
      </c>
      <c r="BD14">
        <f t="shared" si="27"/>
        <v>63.002193765707467</v>
      </c>
      <c r="BE14">
        <f t="shared" si="28"/>
        <v>7.9373921262406748</v>
      </c>
      <c r="BF14" s="12">
        <f t="shared" si="29"/>
        <v>3.726303420143064</v>
      </c>
      <c r="BG14">
        <f t="shared" si="30"/>
        <v>2.3996361655166867</v>
      </c>
      <c r="BH14">
        <f t="shared" si="31"/>
        <v>5.7582537268556271</v>
      </c>
    </row>
    <row r="15" spans="1:60" x14ac:dyDescent="0.25">
      <c r="A15" s="7">
        <v>4</v>
      </c>
      <c r="B15" s="9">
        <f t="shared" si="25"/>
        <v>3.9292787156766282</v>
      </c>
      <c r="C15">
        <v>0.57506027405621518</v>
      </c>
      <c r="D15">
        <v>-0.16141239661854911</v>
      </c>
      <c r="E15">
        <v>0.78435621204260375</v>
      </c>
      <c r="F15">
        <v>-0.62651448103274632</v>
      </c>
      <c r="G15">
        <v>-0.58030945768608655</v>
      </c>
      <c r="H15">
        <v>0.56132694479201639</v>
      </c>
      <c r="I15">
        <v>0.131015961180456</v>
      </c>
      <c r="J15">
        <v>0.93383587145603819</v>
      </c>
      <c r="K15">
        <v>-0.49583422345652639</v>
      </c>
      <c r="L15">
        <v>-0.68749046296578875</v>
      </c>
      <c r="M15">
        <v>0.96093630787072359</v>
      </c>
      <c r="N15">
        <v>0.90026551103244112</v>
      </c>
      <c r="O15">
        <v>-0.88457899716177857</v>
      </c>
      <c r="P15">
        <v>-0.68950468459120451</v>
      </c>
      <c r="Q15">
        <v>0.38230536820581684</v>
      </c>
      <c r="R15">
        <v>0.65990173039948719</v>
      </c>
      <c r="S15">
        <v>0.9565416425061799</v>
      </c>
      <c r="T15">
        <v>0.85314493240150147</v>
      </c>
      <c r="U15">
        <v>-0.72051149021881766</v>
      </c>
      <c r="V15">
        <v>-0.77532273323770862</v>
      </c>
      <c r="W15">
        <v>-3.570665608691681E-3</v>
      </c>
      <c r="X15">
        <v>1.8707846308786191E-2</v>
      </c>
      <c r="Y15">
        <v>-0.5382549516281625</v>
      </c>
      <c r="Z15">
        <v>3.5431989501632843E-2</v>
      </c>
      <c r="AA15">
        <v>0.30832850123599953</v>
      </c>
      <c r="AC15" s="7">
        <v>4</v>
      </c>
      <c r="AD15">
        <f t="shared" si="0"/>
        <v>11.87589770363444</v>
      </c>
      <c r="AE15">
        <f t="shared" si="1"/>
        <v>1.6987598053487165</v>
      </c>
      <c r="AF15">
        <f t="shared" si="2"/>
        <v>14.768107703072673</v>
      </c>
      <c r="AG15">
        <f t="shared" si="3"/>
        <v>-4.7283735267362497</v>
      </c>
      <c r="AH15">
        <f t="shared" si="4"/>
        <v>-4.0898774726170464</v>
      </c>
      <c r="AI15">
        <f t="shared" si="5"/>
        <v>11.686120144616181</v>
      </c>
      <c r="AJ15">
        <f t="shared" si="6"/>
        <v>5.7397566287107997</v>
      </c>
      <c r="AK15">
        <f t="shared" si="7"/>
        <v>16.833731001009166</v>
      </c>
      <c r="AL15">
        <f t="shared" si="8"/>
        <v>-2.9225346207003033</v>
      </c>
      <c r="AM15">
        <f t="shared" si="9"/>
        <v>-5.5709858887773107</v>
      </c>
      <c r="AN15">
        <f t="shared" si="10"/>
        <v>17.208225384138526</v>
      </c>
      <c r="AO15">
        <f t="shared" si="11"/>
        <v>16.369830301186759</v>
      </c>
      <c r="AP15">
        <f t="shared" si="12"/>
        <v>-8.2945047246437618</v>
      </c>
      <c r="AQ15">
        <f t="shared" si="13"/>
        <v>-5.5988199307666546</v>
      </c>
      <c r="AR15">
        <f t="shared" si="14"/>
        <v>9.2122642308359701</v>
      </c>
      <c r="AS15">
        <f t="shared" si="15"/>
        <v>13.048301290458333</v>
      </c>
      <c r="AT15">
        <f t="shared" si="16"/>
        <v>17.147496565252684</v>
      </c>
      <c r="AU15">
        <f t="shared" si="17"/>
        <v>15.718682409799673</v>
      </c>
      <c r="AV15">
        <f t="shared" si="18"/>
        <v>-6.0272954862389847</v>
      </c>
      <c r="AW15">
        <f t="shared" si="19"/>
        <v>-6.7847188106762948</v>
      </c>
      <c r="AX15">
        <f t="shared" si="20"/>
        <v>3.8799365503318812</v>
      </c>
      <c r="AY15">
        <f t="shared" si="21"/>
        <v>4.1877979238503862</v>
      </c>
      <c r="AZ15">
        <f t="shared" si="22"/>
        <v>-3.5087364141122528</v>
      </c>
      <c r="BA15">
        <f t="shared" si="23"/>
        <v>4.4189048179437327</v>
      </c>
      <c r="BB15">
        <f t="shared" si="24"/>
        <v>8.1899957795909586</v>
      </c>
      <c r="BC15" s="2">
        <f t="shared" si="26"/>
        <v>4.9783184545804815</v>
      </c>
      <c r="BD15">
        <f t="shared" si="27"/>
        <v>81.179940820967104</v>
      </c>
      <c r="BE15">
        <f t="shared" si="28"/>
        <v>9.0099911665310248</v>
      </c>
      <c r="BF15" s="12">
        <f t="shared" si="29"/>
        <v>4.0144056384404729</v>
      </c>
      <c r="BG15">
        <f t="shared" si="30"/>
        <v>0.96391281614000857</v>
      </c>
      <c r="BH15">
        <f t="shared" si="31"/>
        <v>0.92912791711896192</v>
      </c>
    </row>
    <row r="16" spans="1:60" x14ac:dyDescent="0.25">
      <c r="A16" s="7">
        <v>5</v>
      </c>
      <c r="B16" s="9">
        <f t="shared" si="25"/>
        <v>4.2208631157263881</v>
      </c>
      <c r="C16">
        <v>0.40147099215674298</v>
      </c>
      <c r="D16">
        <v>-0.29398480178228092</v>
      </c>
      <c r="E16">
        <v>-0.91790520950956755</v>
      </c>
      <c r="F16">
        <v>-4.1718802453688197E-2</v>
      </c>
      <c r="G16">
        <v>0.69463179418317211</v>
      </c>
      <c r="H16">
        <v>0.25772881252479629</v>
      </c>
      <c r="I16">
        <v>-0.34672078615680413</v>
      </c>
      <c r="J16">
        <v>7.5991088595233069E-3</v>
      </c>
      <c r="K16">
        <v>-6.6011535996581938E-2</v>
      </c>
      <c r="L16">
        <v>0.35007782219916384</v>
      </c>
      <c r="M16">
        <v>2.6581621753593465E-2</v>
      </c>
      <c r="N16">
        <v>0.69078646198919635</v>
      </c>
      <c r="O16">
        <v>-0.78588213751640368</v>
      </c>
      <c r="P16">
        <v>0.30625324259163178</v>
      </c>
      <c r="Q16">
        <v>-0.586718344676046</v>
      </c>
      <c r="R16">
        <v>0.83165990173039939</v>
      </c>
      <c r="S16">
        <v>-0.31076998199407946</v>
      </c>
      <c r="T16">
        <v>0.78539384136478785</v>
      </c>
      <c r="U16">
        <v>0.46952726828821678</v>
      </c>
      <c r="V16">
        <v>-0.43943601794488352</v>
      </c>
      <c r="W16">
        <v>-0.32773827326273386</v>
      </c>
      <c r="X16">
        <v>0.7363200781273842</v>
      </c>
      <c r="Y16">
        <v>-0.31400494399853507</v>
      </c>
      <c r="Z16">
        <v>0.39487899410992777</v>
      </c>
      <c r="AA16">
        <v>0.64403210547196865</v>
      </c>
      <c r="AC16" s="7">
        <v>5</v>
      </c>
      <c r="AD16">
        <f t="shared" si="0"/>
        <v>9.7686937576934305</v>
      </c>
      <c r="AE16">
        <f t="shared" si="1"/>
        <v>0.15835816900890354</v>
      </c>
      <c r="AF16">
        <f t="shared" si="2"/>
        <v>-8.4634472011449713</v>
      </c>
      <c r="AG16">
        <f t="shared" si="3"/>
        <v>3.6443610642198161</v>
      </c>
      <c r="AH16">
        <f t="shared" si="4"/>
        <v>13.819812050869821</v>
      </c>
      <c r="AI16">
        <f t="shared" si="5"/>
        <v>7.7823553066356759</v>
      </c>
      <c r="AJ16">
        <f t="shared" si="6"/>
        <v>-0.57038765762120391</v>
      </c>
      <c r="AK16">
        <f t="shared" si="7"/>
        <v>4.3258733650498238</v>
      </c>
      <c r="AL16">
        <f t="shared" si="8"/>
        <v>3.3086656487119663</v>
      </c>
      <c r="AM16">
        <f t="shared" si="9"/>
        <v>9.0585039590562211</v>
      </c>
      <c r="AN16">
        <f t="shared" si="10"/>
        <v>4.5881881244039464</v>
      </c>
      <c r="AO16">
        <f t="shared" si="11"/>
        <v>13.766674334344707</v>
      </c>
      <c r="AP16">
        <f t="shared" si="12"/>
        <v>-6.6390522671161278</v>
      </c>
      <c r="AQ16">
        <f t="shared" si="13"/>
        <v>8.4529026818335158</v>
      </c>
      <c r="AR16">
        <f t="shared" si="14"/>
        <v>-3.8868559334424742</v>
      </c>
      <c r="AS16">
        <f t="shared" si="15"/>
        <v>15.713370361963094</v>
      </c>
      <c r="AT16">
        <f t="shared" si="16"/>
        <v>-7.3592180902300797E-2</v>
      </c>
      <c r="AU16">
        <f t="shared" si="17"/>
        <v>15.074030852026034</v>
      </c>
      <c r="AV16">
        <f t="shared" si="18"/>
        <v>10.709146994606126</v>
      </c>
      <c r="AW16">
        <f t="shared" si="19"/>
        <v>-1.8515970449489014</v>
      </c>
      <c r="AX16">
        <f t="shared" si="20"/>
        <v>-0.30807289826707951</v>
      </c>
      <c r="AY16">
        <f t="shared" si="21"/>
        <v>14.395892374467461</v>
      </c>
      <c r="AZ16">
        <f t="shared" si="22"/>
        <v>-0.11829533924882263</v>
      </c>
      <c r="BA16">
        <f t="shared" si="23"/>
        <v>9.6776005293646676</v>
      </c>
      <c r="BB16">
        <f t="shared" si="24"/>
        <v>13.120587177864774</v>
      </c>
      <c r="BC16" s="2">
        <f t="shared" si="26"/>
        <v>5.4181486491771249</v>
      </c>
      <c r="BD16">
        <f t="shared" si="27"/>
        <v>50.694641947785875</v>
      </c>
      <c r="BE16">
        <f t="shared" si="28"/>
        <v>7.1200169906950279</v>
      </c>
      <c r="BF16" s="12">
        <f t="shared" si="29"/>
        <v>4.3025078567378827</v>
      </c>
      <c r="BG16">
        <f t="shared" si="30"/>
        <v>1.1156407924392422</v>
      </c>
      <c r="BH16">
        <f t="shared" si="31"/>
        <v>1.2446543777544603</v>
      </c>
    </row>
    <row r="17" spans="1:60" x14ac:dyDescent="0.25">
      <c r="A17" s="7">
        <v>6</v>
      </c>
      <c r="B17" s="9">
        <f t="shared" si="25"/>
        <v>4.5124475157761479</v>
      </c>
      <c r="C17">
        <v>0.62010559404278687</v>
      </c>
      <c r="D17">
        <v>-3.0610065004425202E-2</v>
      </c>
      <c r="E17">
        <v>0.74443800164799945</v>
      </c>
      <c r="F17">
        <v>0.9846797082430494</v>
      </c>
      <c r="G17">
        <v>0.46531571398052929</v>
      </c>
      <c r="H17">
        <v>0.72734763634144106</v>
      </c>
      <c r="I17">
        <v>0.90673543504135257</v>
      </c>
      <c r="J17">
        <v>-0.75945310831019008</v>
      </c>
      <c r="K17">
        <v>-0.68291268654438919</v>
      </c>
      <c r="L17">
        <v>-0.22977385784478288</v>
      </c>
      <c r="M17">
        <v>-0.3885311441389202</v>
      </c>
      <c r="N17">
        <v>-0.261085848567156</v>
      </c>
      <c r="O17">
        <v>-0.35581530198065126</v>
      </c>
      <c r="P17">
        <v>0.3418988616595966</v>
      </c>
      <c r="Q17">
        <v>0.1794183172093875</v>
      </c>
      <c r="R17">
        <v>0.36246833704641856</v>
      </c>
      <c r="S17">
        <v>-0.73564867091891228</v>
      </c>
      <c r="T17">
        <v>-0.40897854548783841</v>
      </c>
      <c r="U17">
        <v>0.3563646351512193</v>
      </c>
      <c r="V17">
        <v>-0.70354319895016326</v>
      </c>
      <c r="W17">
        <v>0.35300759910885948</v>
      </c>
      <c r="X17">
        <v>-0.2023682363353374</v>
      </c>
      <c r="Y17">
        <v>-0.11429181798760946</v>
      </c>
      <c r="Z17">
        <v>0.56163212988677635</v>
      </c>
      <c r="AA17">
        <v>9.5248268074587195E-2</v>
      </c>
      <c r="AC17" s="7">
        <v>6</v>
      </c>
      <c r="AD17">
        <f t="shared" si="0"/>
        <v>13.081536897313839</v>
      </c>
      <c r="AE17">
        <f t="shared" si="1"/>
        <v>4.0894544231198999</v>
      </c>
      <c r="AF17">
        <f t="shared" si="2"/>
        <v>14.799656398292459</v>
      </c>
      <c r="AG17">
        <f t="shared" si="3"/>
        <v>18.119498497385166</v>
      </c>
      <c r="AH17">
        <f t="shared" si="4"/>
        <v>10.942532943223622</v>
      </c>
      <c r="AI17">
        <f t="shared" si="5"/>
        <v>14.563488769291961</v>
      </c>
      <c r="AJ17">
        <f t="shared" si="6"/>
        <v>17.042405417979325</v>
      </c>
      <c r="AK17">
        <f t="shared" si="7"/>
        <v>-5.9822514979334569</v>
      </c>
      <c r="AL17">
        <f t="shared" si="8"/>
        <v>-4.9245579023383721</v>
      </c>
      <c r="AM17">
        <f t="shared" si="9"/>
        <v>1.3372580894462454</v>
      </c>
      <c r="AN17">
        <f t="shared" si="10"/>
        <v>-0.8565704928048028</v>
      </c>
      <c r="AO17">
        <f t="shared" si="11"/>
        <v>0.90456525488461992</v>
      </c>
      <c r="AP17">
        <f t="shared" si="12"/>
        <v>-0.4044781744324224</v>
      </c>
      <c r="AQ17">
        <f t="shared" si="13"/>
        <v>9.2370652795128869</v>
      </c>
      <c r="AR17">
        <f t="shared" si="14"/>
        <v>6.991785892372441</v>
      </c>
      <c r="AS17">
        <f t="shared" si="15"/>
        <v>9.5213098901313398</v>
      </c>
      <c r="AT17">
        <f t="shared" si="16"/>
        <v>-5.6533037289684787</v>
      </c>
      <c r="AU17">
        <f t="shared" si="17"/>
        <v>-1.1391281917875418</v>
      </c>
      <c r="AV17">
        <f t="shared" si="18"/>
        <v>9.4369643083454502</v>
      </c>
      <c r="AW17">
        <f t="shared" si="19"/>
        <v>-5.2096459687746863</v>
      </c>
      <c r="AX17">
        <f t="shared" si="20"/>
        <v>9.3905742383632074</v>
      </c>
      <c r="AY17">
        <f t="shared" si="21"/>
        <v>1.7159697516649004</v>
      </c>
      <c r="AZ17">
        <f t="shared" si="22"/>
        <v>2.933076496835322</v>
      </c>
      <c r="BA17">
        <f t="shared" si="23"/>
        <v>12.273506223804995</v>
      </c>
      <c r="BB17">
        <f t="shared" si="24"/>
        <v>5.8286603195449906</v>
      </c>
      <c r="BC17" s="2">
        <f t="shared" si="26"/>
        <v>5.5215749253789159</v>
      </c>
      <c r="BD17">
        <f t="shared" si="27"/>
        <v>54.895097937143312</v>
      </c>
      <c r="BE17">
        <f t="shared" si="28"/>
        <v>7.4091226158799204</v>
      </c>
      <c r="BF17" s="12">
        <f t="shared" si="29"/>
        <v>4.5906100750352916</v>
      </c>
      <c r="BG17">
        <f t="shared" si="30"/>
        <v>0.93096485034362431</v>
      </c>
      <c r="BH17">
        <f t="shared" si="31"/>
        <v>0.86669555257532682</v>
      </c>
    </row>
    <row r="18" spans="1:60" x14ac:dyDescent="0.25">
      <c r="A18" s="7">
        <v>7</v>
      </c>
      <c r="B18" s="9">
        <f t="shared" si="25"/>
        <v>4.8040319158259077</v>
      </c>
      <c r="C18">
        <v>0.66472365489669483</v>
      </c>
      <c r="D18">
        <v>0.88195440534684288</v>
      </c>
      <c r="E18">
        <v>-0.85613574633014922</v>
      </c>
      <c r="F18">
        <v>0.5459456160161138</v>
      </c>
      <c r="G18">
        <v>-1.0223700674459102E-2</v>
      </c>
      <c r="H18">
        <v>-0.93316446424756616</v>
      </c>
      <c r="I18">
        <v>-0.46519363994262519</v>
      </c>
      <c r="J18">
        <v>0.25864436780907618</v>
      </c>
      <c r="K18">
        <v>-0.97289956358531449</v>
      </c>
      <c r="L18">
        <v>0.93224890896328616</v>
      </c>
      <c r="M18">
        <v>0.49461348307748643</v>
      </c>
      <c r="N18">
        <v>-0.75316629535813473</v>
      </c>
      <c r="O18">
        <v>-0.1454206976531266</v>
      </c>
      <c r="P18">
        <v>0.89025543992431411</v>
      </c>
      <c r="Q18">
        <v>-0.14993743705557416</v>
      </c>
      <c r="R18">
        <v>-0.16043580431531723</v>
      </c>
      <c r="S18">
        <v>-0.9439069795831172</v>
      </c>
      <c r="T18">
        <v>-0.52494888149662766</v>
      </c>
      <c r="U18">
        <v>0.14041566209906309</v>
      </c>
      <c r="V18">
        <v>0.99438459425641645</v>
      </c>
      <c r="W18">
        <v>-0.96618549150059507</v>
      </c>
      <c r="X18">
        <v>0.65739921262245549</v>
      </c>
      <c r="Y18">
        <v>0.92327646717734302</v>
      </c>
      <c r="Z18">
        <v>0.6293221839045382</v>
      </c>
      <c r="AA18">
        <v>-0.73918881801812797</v>
      </c>
      <c r="AC18" s="7">
        <v>7</v>
      </c>
      <c r="AD18">
        <f t="shared" si="0"/>
        <v>13.989687500218469</v>
      </c>
      <c r="AE18">
        <f t="shared" si="1"/>
        <v>16.991546755978362</v>
      </c>
      <c r="AF18">
        <f t="shared" si="2"/>
        <v>-7.0267011133722246</v>
      </c>
      <c r="AG18">
        <f t="shared" si="3"/>
        <v>12.348322478665013</v>
      </c>
      <c r="AH18">
        <f t="shared" si="4"/>
        <v>4.6627530663345382</v>
      </c>
      <c r="AI18">
        <f t="shared" si="5"/>
        <v>-8.0911423555101827</v>
      </c>
      <c r="AJ18">
        <f t="shared" si="6"/>
        <v>-1.6243665999858461</v>
      </c>
      <c r="AK18">
        <f t="shared" si="7"/>
        <v>8.378175944003079</v>
      </c>
      <c r="AL18">
        <f t="shared" si="8"/>
        <v>-8.6402320929363388</v>
      </c>
      <c r="AM18">
        <f t="shared" si="9"/>
        <v>17.686554349894113</v>
      </c>
      <c r="AN18">
        <f t="shared" si="10"/>
        <v>11.63897613584566</v>
      </c>
      <c r="AO18">
        <f t="shared" si="11"/>
        <v>-5.6037911486442287</v>
      </c>
      <c r="AP18">
        <f t="shared" si="12"/>
        <v>2.7944984297770326</v>
      </c>
      <c r="AQ18">
        <f t="shared" si="13"/>
        <v>17.106256747207176</v>
      </c>
      <c r="AR18">
        <f t="shared" si="14"/>
        <v>2.7320826992554728</v>
      </c>
      <c r="AS18">
        <f t="shared" si="15"/>
        <v>2.5870082985837382</v>
      </c>
      <c r="AT18">
        <f t="shared" si="16"/>
        <v>-8.2395905794533526</v>
      </c>
      <c r="AU18">
        <f t="shared" si="17"/>
        <v>-2.4501098456697283</v>
      </c>
      <c r="AV18">
        <f t="shared" si="18"/>
        <v>6.744402024810352</v>
      </c>
      <c r="AW18">
        <f t="shared" si="19"/>
        <v>18.545192372474492</v>
      </c>
      <c r="AX18">
        <f t="shared" si="20"/>
        <v>-8.5474519529718567</v>
      </c>
      <c r="AY18">
        <f t="shared" si="21"/>
        <v>13.888472802075398</v>
      </c>
      <c r="AZ18">
        <f t="shared" si="22"/>
        <v>17.562566344668852</v>
      </c>
      <c r="BA18">
        <f t="shared" si="23"/>
        <v>13.500483125860297</v>
      </c>
      <c r="BB18">
        <f t="shared" si="24"/>
        <v>-5.4106397663545351</v>
      </c>
      <c r="BC18" s="2">
        <f t="shared" si="26"/>
        <v>5.0209181448301505</v>
      </c>
      <c r="BD18">
        <f t="shared" si="27"/>
        <v>97.260041637784454</v>
      </c>
      <c r="BE18">
        <f t="shared" si="28"/>
        <v>9.8620505797620233</v>
      </c>
      <c r="BF18" s="12">
        <f t="shared" si="29"/>
        <v>4.8787122933327014</v>
      </c>
      <c r="BG18">
        <f t="shared" si="30"/>
        <v>0.14220585149744913</v>
      </c>
      <c r="BH18">
        <f t="shared" si="31"/>
        <v>2.0222504200114556E-2</v>
      </c>
    </row>
    <row r="19" spans="1:60" x14ac:dyDescent="0.25">
      <c r="A19" s="7">
        <v>8</v>
      </c>
      <c r="B19" s="9">
        <f t="shared" si="25"/>
        <v>5.0956163158756684</v>
      </c>
      <c r="C19">
        <v>-0.66508987701040678</v>
      </c>
      <c r="D19">
        <v>0.55302591021454517</v>
      </c>
      <c r="E19">
        <v>-0.4625690481276894</v>
      </c>
      <c r="F19">
        <v>0.78856776635029147</v>
      </c>
      <c r="G19">
        <v>-0.93853572191534163</v>
      </c>
      <c r="H19">
        <v>-0.75524155400250248</v>
      </c>
      <c r="I19">
        <v>-0.55436872463148901</v>
      </c>
      <c r="J19">
        <v>0.32029175695059053</v>
      </c>
      <c r="K19">
        <v>-0.92406994842371892</v>
      </c>
      <c r="L19">
        <v>0.23563341166417429</v>
      </c>
      <c r="M19">
        <v>0.78051087984862821</v>
      </c>
      <c r="N19">
        <v>-0.83666493728446301</v>
      </c>
      <c r="O19">
        <v>0.695608386486404</v>
      </c>
      <c r="P19">
        <v>0.85613574633014933</v>
      </c>
      <c r="Q19">
        <v>0.70354319895016326</v>
      </c>
      <c r="R19">
        <v>-0.62700277718436226</v>
      </c>
      <c r="S19">
        <v>0.13443403424176759</v>
      </c>
      <c r="T19">
        <v>0.32450331125827825</v>
      </c>
      <c r="U19">
        <v>0.97882015442365788</v>
      </c>
      <c r="V19">
        <v>0.40025025177770313</v>
      </c>
      <c r="W19">
        <v>-0.18985564745017858</v>
      </c>
      <c r="X19">
        <v>7.6204718161565044E-2</v>
      </c>
      <c r="Y19">
        <v>0.23483993041779838</v>
      </c>
      <c r="Z19">
        <v>0.55565050202948085</v>
      </c>
      <c r="AA19">
        <v>-0.79821161534470653</v>
      </c>
      <c r="AC19" s="7">
        <v>8</v>
      </c>
      <c r="AD19">
        <f t="shared" si="0"/>
        <v>-4.0951000034240472</v>
      </c>
      <c r="AE19">
        <f t="shared" si="1"/>
        <v>12.737747753586408</v>
      </c>
      <c r="AF19">
        <f t="shared" si="2"/>
        <v>-1.2965135997681516</v>
      </c>
      <c r="AG19">
        <f t="shared" si="3"/>
        <v>15.992643754703979</v>
      </c>
      <c r="AH19">
        <f t="shared" si="4"/>
        <v>-7.8737820674320051</v>
      </c>
      <c r="AI19">
        <f t="shared" si="5"/>
        <v>-5.3408842464016697</v>
      </c>
      <c r="AJ19">
        <f t="shared" si="6"/>
        <v>-2.5650711498279675</v>
      </c>
      <c r="AK19">
        <f t="shared" si="7"/>
        <v>9.5216507200903493</v>
      </c>
      <c r="AL19">
        <f t="shared" si="8"/>
        <v>-7.6738830385994419</v>
      </c>
      <c r="AM19">
        <f t="shared" si="9"/>
        <v>8.3517775007200257</v>
      </c>
      <c r="AN19">
        <f t="shared" si="10"/>
        <v>15.881307586746601</v>
      </c>
      <c r="AO19">
        <f t="shared" si="11"/>
        <v>-6.4660543074254697</v>
      </c>
      <c r="AP19">
        <f t="shared" si="12"/>
        <v>14.708060544104843</v>
      </c>
      <c r="AQ19">
        <f t="shared" si="13"/>
        <v>16.926349345073803</v>
      </c>
      <c r="AR19">
        <f t="shared" si="14"/>
        <v>14.817709800426503</v>
      </c>
      <c r="AS19">
        <f t="shared" si="15"/>
        <v>-3.568783573080081</v>
      </c>
      <c r="AT19">
        <f t="shared" si="16"/>
        <v>6.9533277547099379</v>
      </c>
      <c r="AU19">
        <f t="shared" si="17"/>
        <v>9.5798491715226142</v>
      </c>
      <c r="AV19">
        <f t="shared" si="18"/>
        <v>18.621695538970229</v>
      </c>
      <c r="AW19">
        <f t="shared" si="19"/>
        <v>10.626577841485531</v>
      </c>
      <c r="AX19">
        <f t="shared" si="20"/>
        <v>2.472046994425499</v>
      </c>
      <c r="AY19">
        <f t="shared" si="21"/>
        <v>6.1486709044725298</v>
      </c>
      <c r="AZ19">
        <f t="shared" si="22"/>
        <v>8.3408125750878597</v>
      </c>
      <c r="BA19">
        <f t="shared" si="23"/>
        <v>12.774016353754341</v>
      </c>
      <c r="BB19">
        <f t="shared" si="24"/>
        <v>-5.9346771421743494</v>
      </c>
      <c r="BC19" s="2">
        <f t="shared" si="26"/>
        <v>5.5855798004699144</v>
      </c>
      <c r="BD19">
        <f t="shared" si="27"/>
        <v>79.739698580169986</v>
      </c>
      <c r="BE19">
        <f t="shared" si="28"/>
        <v>8.9297087623376594</v>
      </c>
      <c r="BF19" s="12">
        <f t="shared" si="29"/>
        <v>5.1668145116301112</v>
      </c>
      <c r="BG19">
        <f t="shared" si="30"/>
        <v>0.41876528883980324</v>
      </c>
      <c r="BH19">
        <f t="shared" si="31"/>
        <v>0.17536436713708384</v>
      </c>
    </row>
    <row r="20" spans="1:60" x14ac:dyDescent="0.25">
      <c r="A20" s="7">
        <v>9</v>
      </c>
      <c r="B20" s="9">
        <f t="shared" si="25"/>
        <v>5.3872007159254274</v>
      </c>
      <c r="C20">
        <v>-0.5594958342234565</v>
      </c>
      <c r="D20">
        <v>0.18369090853602721</v>
      </c>
      <c r="E20">
        <v>0.60277108066042051</v>
      </c>
      <c r="F20">
        <v>-0.67918942838831753</v>
      </c>
      <c r="G20">
        <v>0.47819452497939996</v>
      </c>
      <c r="H20">
        <v>0.35929441206091495</v>
      </c>
      <c r="I20">
        <v>-0.20780053102206486</v>
      </c>
      <c r="J20">
        <v>-0.14242988372447885</v>
      </c>
      <c r="K20">
        <v>0.79082613605151519</v>
      </c>
      <c r="L20">
        <v>0.93816949980162967</v>
      </c>
      <c r="M20">
        <v>-0.34977263710440387</v>
      </c>
      <c r="N20">
        <v>-0.93353068636127812</v>
      </c>
      <c r="O20">
        <v>0.11606189153721735</v>
      </c>
      <c r="P20">
        <v>0.20432142094180117</v>
      </c>
      <c r="Q20">
        <v>-0.16678365428632469</v>
      </c>
      <c r="R20">
        <v>-0.54820398571733753</v>
      </c>
      <c r="S20">
        <v>-0.47984252449110387</v>
      </c>
      <c r="T20">
        <v>0.22165593432416753</v>
      </c>
      <c r="U20">
        <v>-0.63841669972838533</v>
      </c>
      <c r="V20">
        <v>-0.68321787163914915</v>
      </c>
      <c r="W20">
        <v>-0.9992065187536241</v>
      </c>
      <c r="X20">
        <v>-0.7245399334696494</v>
      </c>
      <c r="Y20">
        <v>-0.45536667989135415</v>
      </c>
      <c r="Z20">
        <v>-0.76171147801141392</v>
      </c>
      <c r="AA20">
        <v>0.31266212958159123</v>
      </c>
      <c r="AC20" s="7">
        <v>9</v>
      </c>
      <c r="AD20">
        <f t="shared" si="0"/>
        <v>-2.3443370384783568</v>
      </c>
      <c r="AE20">
        <f t="shared" si="1"/>
        <v>7.9255809997718467</v>
      </c>
      <c r="AF20">
        <f t="shared" si="2"/>
        <v>13.716748645191185</v>
      </c>
      <c r="AG20">
        <f t="shared" si="3"/>
        <v>-3.9983538972996993</v>
      </c>
      <c r="AH20">
        <f t="shared" si="4"/>
        <v>11.99525532094113</v>
      </c>
      <c r="AI20">
        <f t="shared" si="5"/>
        <v>10.352203387751956</v>
      </c>
      <c r="AJ20">
        <f t="shared" si="6"/>
        <v>2.5156553840247367</v>
      </c>
      <c r="AK20">
        <f t="shared" si="7"/>
        <v>3.4189965649516396</v>
      </c>
      <c r="AL20">
        <f t="shared" si="8"/>
        <v>16.315436020014516</v>
      </c>
      <c r="AM20">
        <f t="shared" si="9"/>
        <v>18.351538364325947</v>
      </c>
      <c r="AN20">
        <f t="shared" si="10"/>
        <v>0.55377715168488884</v>
      </c>
      <c r="AO20">
        <f t="shared" si="11"/>
        <v>-7.5130342903178153</v>
      </c>
      <c r="AP20">
        <f t="shared" si="12"/>
        <v>6.9910319535841632</v>
      </c>
      <c r="AQ20">
        <f t="shared" si="13"/>
        <v>8.2106690662081601</v>
      </c>
      <c r="AR20">
        <f t="shared" si="14"/>
        <v>3.0824576936259298</v>
      </c>
      <c r="AS20">
        <f t="shared" si="15"/>
        <v>-2.1882977121744567</v>
      </c>
      <c r="AT20">
        <f t="shared" si="16"/>
        <v>-1.2436271961724676</v>
      </c>
      <c r="AU20">
        <f t="shared" si="17"/>
        <v>8.4502105184800911</v>
      </c>
      <c r="AV20">
        <f t="shared" si="18"/>
        <v>-3.4349254109699405</v>
      </c>
      <c r="AW20">
        <f t="shared" si="19"/>
        <v>-4.0540219812783871</v>
      </c>
      <c r="AX20">
        <f t="shared" si="20"/>
        <v>-8.4205927503340128</v>
      </c>
      <c r="AY20">
        <f t="shared" si="21"/>
        <v>-4.6250415699688769</v>
      </c>
      <c r="AZ20">
        <f t="shared" si="22"/>
        <v>-0.90540141321104173</v>
      </c>
      <c r="BA20">
        <f t="shared" si="23"/>
        <v>-5.138706163044958</v>
      </c>
      <c r="BB20">
        <f t="shared" si="24"/>
        <v>9.7078031429077427</v>
      </c>
      <c r="BC20" s="2">
        <f t="shared" si="26"/>
        <v>3.1088409916085573</v>
      </c>
      <c r="BD20">
        <f t="shared" si="27"/>
        <v>58.548030292310671</v>
      </c>
      <c r="BE20">
        <f t="shared" si="28"/>
        <v>7.6516684646102293</v>
      </c>
      <c r="BF20" s="12">
        <f t="shared" si="29"/>
        <v>5.4549167299275201</v>
      </c>
      <c r="BG20">
        <f t="shared" si="30"/>
        <v>-2.3460757383189628</v>
      </c>
      <c r="BH20">
        <f t="shared" si="31"/>
        <v>5.5040713699288659</v>
      </c>
    </row>
    <row r="21" spans="1:60" x14ac:dyDescent="0.25">
      <c r="A21" s="7">
        <v>10</v>
      </c>
      <c r="B21" s="9">
        <f t="shared" si="25"/>
        <v>5.6787851159751881</v>
      </c>
      <c r="C21">
        <v>0.64604632709738463</v>
      </c>
      <c r="D21">
        <v>-9.0426343577379664E-2</v>
      </c>
      <c r="E21">
        <v>-0.46977141636402475</v>
      </c>
      <c r="F21">
        <v>0.82763145847956787</v>
      </c>
      <c r="G21">
        <v>0.27689443647572243</v>
      </c>
      <c r="H21">
        <v>-0.55308694723349716</v>
      </c>
      <c r="I21">
        <v>-0.24283577990050964</v>
      </c>
      <c r="J21">
        <v>-0.75670644245735041</v>
      </c>
      <c r="K21">
        <v>0.90026551103244112</v>
      </c>
      <c r="L21">
        <v>0.4846644489883114</v>
      </c>
      <c r="M21">
        <v>0.36179692983794665</v>
      </c>
      <c r="N21">
        <v>0.95171971800897248</v>
      </c>
      <c r="O21">
        <v>-0.81853694265572075</v>
      </c>
      <c r="P21">
        <v>-0.49589526047547838</v>
      </c>
      <c r="Q21">
        <v>-0.53233436078981899</v>
      </c>
      <c r="R21">
        <v>-0.12045655690176094</v>
      </c>
      <c r="S21">
        <v>-0.55381939146092107</v>
      </c>
      <c r="T21">
        <v>0.20932645649586479</v>
      </c>
      <c r="U21">
        <v>0.92071291238135933</v>
      </c>
      <c r="V21">
        <v>0.61540574358348343</v>
      </c>
      <c r="W21">
        <v>0.55131687368388937</v>
      </c>
      <c r="X21">
        <v>-0.83697012237922297</v>
      </c>
      <c r="Y21">
        <v>0.63109225745414599</v>
      </c>
      <c r="Z21">
        <v>-0.36716818750572222</v>
      </c>
      <c r="AA21">
        <v>-0.53636280404065073</v>
      </c>
      <c r="AC21" s="7">
        <v>10</v>
      </c>
      <c r="AD21">
        <f t="shared" si="0"/>
        <v>14.606343220102922</v>
      </c>
      <c r="AE21">
        <f t="shared" si="1"/>
        <v>4.4292053218171992</v>
      </c>
      <c r="AF21">
        <f t="shared" si="2"/>
        <v>-0.81287258617598468</v>
      </c>
      <c r="AG21">
        <f t="shared" si="3"/>
        <v>17.115624278233206</v>
      </c>
      <c r="AH21">
        <f t="shared" si="4"/>
        <v>9.5051224336921756</v>
      </c>
      <c r="AI21">
        <f t="shared" si="5"/>
        <v>-1.9641897775534112</v>
      </c>
      <c r="AJ21">
        <f t="shared" si="6"/>
        <v>2.3230961446234777</v>
      </c>
      <c r="AK21">
        <f t="shared" si="7"/>
        <v>-4.7779583859307664</v>
      </c>
      <c r="AL21">
        <f t="shared" si="8"/>
        <v>18.119336701485317</v>
      </c>
      <c r="AM21">
        <f t="shared" si="9"/>
        <v>12.376246037683938</v>
      </c>
      <c r="AN21">
        <f t="shared" si="10"/>
        <v>10.678369476333932</v>
      </c>
      <c r="AO21">
        <f t="shared" si="11"/>
        <v>18.830369955940391</v>
      </c>
      <c r="AP21">
        <f t="shared" si="12"/>
        <v>-5.6323791294218513</v>
      </c>
      <c r="AQ21">
        <f t="shared" si="13"/>
        <v>-1.1738716762196031</v>
      </c>
      <c r="AR21">
        <f t="shared" si="14"/>
        <v>-1.6774147994813768</v>
      </c>
      <c r="AS21">
        <f t="shared" si="15"/>
        <v>4.0142250594306104</v>
      </c>
      <c r="AT21">
        <f t="shared" si="16"/>
        <v>-1.9743112473677176</v>
      </c>
      <c r="AU21">
        <f t="shared" si="17"/>
        <v>8.5714168433223534</v>
      </c>
      <c r="AV21">
        <f t="shared" si="18"/>
        <v>18.401894400468059</v>
      </c>
      <c r="AW21">
        <f t="shared" si="19"/>
        <v>14.182928399537744</v>
      </c>
      <c r="AX21">
        <f t="shared" si="20"/>
        <v>13.297299790785878</v>
      </c>
      <c r="AY21">
        <f t="shared" si="21"/>
        <v>-5.8871027864152445</v>
      </c>
      <c r="AZ21">
        <f t="shared" si="22"/>
        <v>14.399696544727487</v>
      </c>
      <c r="BA21">
        <f t="shared" si="23"/>
        <v>0.60497664364485804</v>
      </c>
      <c r="BB21">
        <f t="shared" si="24"/>
        <v>-1.7330828834600673</v>
      </c>
      <c r="BC21" s="2">
        <f t="shared" si="26"/>
        <v>6.2329187191921394</v>
      </c>
      <c r="BD21">
        <f t="shared" si="27"/>
        <v>71.634938767563099</v>
      </c>
      <c r="BE21">
        <f t="shared" si="28"/>
        <v>8.4637425981396142</v>
      </c>
      <c r="BF21" s="12">
        <f t="shared" si="29"/>
        <v>5.743018948224929</v>
      </c>
      <c r="BG21">
        <f t="shared" si="30"/>
        <v>0.48989977096721038</v>
      </c>
      <c r="BH21">
        <f t="shared" si="31"/>
        <v>0.24000178559372518</v>
      </c>
    </row>
    <row r="22" spans="1:60" x14ac:dyDescent="0.25">
      <c r="A22" s="7">
        <v>11</v>
      </c>
      <c r="B22" s="9">
        <f t="shared" si="25"/>
        <v>5.9703695160249479</v>
      </c>
      <c r="C22">
        <v>-0.69817194128238769</v>
      </c>
      <c r="D22">
        <v>-0.72148808252204955</v>
      </c>
      <c r="E22">
        <v>-0.57530442213202315</v>
      </c>
      <c r="F22">
        <v>0.10782189397869812</v>
      </c>
      <c r="G22">
        <v>-0.35789056062501912</v>
      </c>
      <c r="H22">
        <v>0.44358653523361924</v>
      </c>
      <c r="I22">
        <v>0.36002685628833886</v>
      </c>
      <c r="J22">
        <v>-0.95422223578600418</v>
      </c>
      <c r="K22">
        <v>0.4906460768456069</v>
      </c>
      <c r="L22">
        <v>0.22672200689718314</v>
      </c>
      <c r="M22">
        <v>7.5533310953093125E-2</v>
      </c>
      <c r="N22">
        <v>0.55211035493026528</v>
      </c>
      <c r="O22">
        <v>0.47068697164830464</v>
      </c>
      <c r="P22">
        <v>-0.58116397595141456</v>
      </c>
      <c r="Q22">
        <v>-0.78472243415631582</v>
      </c>
      <c r="R22">
        <v>0.6444593646046326</v>
      </c>
      <c r="S22">
        <v>0.67815179906613365</v>
      </c>
      <c r="T22">
        <v>0.28452406384472173</v>
      </c>
      <c r="U22">
        <v>-0.66960661641285446</v>
      </c>
      <c r="V22">
        <v>0.63548692281868946</v>
      </c>
      <c r="W22">
        <v>0.27787102877895453</v>
      </c>
      <c r="X22">
        <v>-0.97888119144260999</v>
      </c>
      <c r="Y22">
        <v>-0.24863429670094916</v>
      </c>
      <c r="Z22">
        <v>-0.2347178563798944</v>
      </c>
      <c r="AA22">
        <v>0.85491500595110925</v>
      </c>
      <c r="AC22" s="7">
        <v>11</v>
      </c>
      <c r="AD22">
        <f t="shared" si="0"/>
        <v>-3.6774998565543013</v>
      </c>
      <c r="AE22">
        <f t="shared" si="1"/>
        <v>-3.9996999789764081</v>
      </c>
      <c r="AF22">
        <f t="shared" si="2"/>
        <v>-1.9796232952042985</v>
      </c>
      <c r="AG22">
        <f t="shared" si="3"/>
        <v>7.4603342182727292</v>
      </c>
      <c r="AH22">
        <f t="shared" si="4"/>
        <v>1.0247663280091732</v>
      </c>
      <c r="AI22">
        <f t="shared" si="5"/>
        <v>12.100184672314645</v>
      </c>
      <c r="AJ22">
        <f t="shared" si="6"/>
        <v>10.945493657665784</v>
      </c>
      <c r="AK22">
        <f t="shared" si="7"/>
        <v>-7.2157970124724686</v>
      </c>
      <c r="AL22">
        <f t="shared" si="8"/>
        <v>12.750489107883872</v>
      </c>
      <c r="AM22">
        <f t="shared" si="9"/>
        <v>9.1033861514619048</v>
      </c>
      <c r="AN22">
        <f t="shared" si="10"/>
        <v>7.0141460906253617</v>
      </c>
      <c r="AO22">
        <f t="shared" si="11"/>
        <v>13.599849116467805</v>
      </c>
      <c r="AP22">
        <f t="shared" si="12"/>
        <v>12.474679055444003</v>
      </c>
      <c r="AQ22">
        <f t="shared" si="13"/>
        <v>-2.0605950537187541</v>
      </c>
      <c r="AR22">
        <f t="shared" si="14"/>
        <v>-4.8735202062782497</v>
      </c>
      <c r="AS22">
        <f t="shared" si="15"/>
        <v>14.875997768888347</v>
      </c>
      <c r="AT22">
        <f t="shared" si="16"/>
        <v>15.341585380346473</v>
      </c>
      <c r="AU22">
        <f t="shared" si="17"/>
        <v>9.9021388109743</v>
      </c>
      <c r="AV22">
        <f t="shared" si="18"/>
        <v>-3.2827625337963289</v>
      </c>
      <c r="AW22">
        <f t="shared" si="19"/>
        <v>14.752009763663086</v>
      </c>
      <c r="AX22">
        <f t="shared" si="20"/>
        <v>9.8102021268276793</v>
      </c>
      <c r="AY22">
        <f t="shared" si="21"/>
        <v>-7.5565531628874725</v>
      </c>
      <c r="AZ22">
        <f t="shared" si="22"/>
        <v>2.5345522419766393</v>
      </c>
      <c r="BA22">
        <f t="shared" si="23"/>
        <v>2.7268601684484737</v>
      </c>
      <c r="BB22">
        <f t="shared" si="24"/>
        <v>17.7842334288659</v>
      </c>
      <c r="BC22" s="2">
        <f t="shared" si="26"/>
        <v>5.5821942795299151</v>
      </c>
      <c r="BD22">
        <f t="shared" si="27"/>
        <v>64.967376624350024</v>
      </c>
      <c r="BE22">
        <f t="shared" si="28"/>
        <v>8.0602342785027048</v>
      </c>
      <c r="BF22" s="12">
        <f t="shared" si="29"/>
        <v>6.0311211665223388</v>
      </c>
      <c r="BG22">
        <f t="shared" si="30"/>
        <v>-0.44892688699242367</v>
      </c>
      <c r="BH22">
        <f t="shared" si="31"/>
        <v>0.20153534986470834</v>
      </c>
    </row>
    <row r="23" spans="1:60" x14ac:dyDescent="0.25">
      <c r="A23" s="7">
        <v>12</v>
      </c>
      <c r="B23" s="9">
        <f t="shared" si="25"/>
        <v>6.2619539160747077</v>
      </c>
      <c r="C23">
        <v>-4.3305764946440006E-2</v>
      </c>
      <c r="D23">
        <v>-0.75469222083193455</v>
      </c>
      <c r="E23">
        <v>-0.52055421613208419</v>
      </c>
      <c r="F23">
        <v>-0.1683706167790765</v>
      </c>
      <c r="G23">
        <v>0.54783776360362557</v>
      </c>
      <c r="H23">
        <v>-0.7286904507583849</v>
      </c>
      <c r="I23">
        <v>0.91332743308816799</v>
      </c>
      <c r="J23">
        <v>0.26377147740104379</v>
      </c>
      <c r="K23">
        <v>-0.7584765160069582</v>
      </c>
      <c r="L23">
        <v>0.64574114200262467</v>
      </c>
      <c r="M23">
        <v>0.1463362529374066</v>
      </c>
      <c r="N23">
        <v>-0.67192602313303018</v>
      </c>
      <c r="O23">
        <v>-0.73760185552537616</v>
      </c>
      <c r="P23">
        <v>0.42991424298837244</v>
      </c>
      <c r="Q23">
        <v>0.78820154423657951</v>
      </c>
      <c r="R23">
        <v>0.8137150181585131</v>
      </c>
      <c r="S23">
        <v>0.38847010711996832</v>
      </c>
      <c r="T23">
        <v>0.85363322855311741</v>
      </c>
      <c r="U23">
        <v>0.45939512314218578</v>
      </c>
      <c r="V23">
        <v>-6.9795831171605593E-2</v>
      </c>
      <c r="W23">
        <v>-0.2227546006653035</v>
      </c>
      <c r="X23">
        <v>-0.91460921048615984</v>
      </c>
      <c r="Y23">
        <v>0.72936185796685682</v>
      </c>
      <c r="Z23">
        <v>-0.25589770195623651</v>
      </c>
      <c r="AA23">
        <v>-9.4027527695547342E-2</v>
      </c>
      <c r="AC23" s="7">
        <v>12</v>
      </c>
      <c r="AD23">
        <f t="shared" si="0"/>
        <v>5.6635220133038047</v>
      </c>
      <c r="AE23">
        <f t="shared" si="1"/>
        <v>-4.166955543841901</v>
      </c>
      <c r="AF23">
        <f t="shared" si="2"/>
        <v>-0.93145902653508728</v>
      </c>
      <c r="AG23">
        <f t="shared" si="3"/>
        <v>3.9352810425108786</v>
      </c>
      <c r="AH23">
        <f t="shared" si="4"/>
        <v>13.832391609267439</v>
      </c>
      <c r="AI23">
        <f t="shared" si="5"/>
        <v>-3.8076433654340001</v>
      </c>
      <c r="AJ23">
        <f t="shared" si="6"/>
        <v>18.883005046606648</v>
      </c>
      <c r="AK23">
        <f t="shared" si="7"/>
        <v>9.9069482329520291</v>
      </c>
      <c r="AL23">
        <f t="shared" si="8"/>
        <v>-4.219249804549154</v>
      </c>
      <c r="AM23">
        <f t="shared" si="9"/>
        <v>15.185294741113147</v>
      </c>
      <c r="AN23">
        <f t="shared" si="10"/>
        <v>8.2841392393914681</v>
      </c>
      <c r="AO23">
        <f t="shared" si="11"/>
        <v>-3.0232294548252074</v>
      </c>
      <c r="AP23">
        <f t="shared" si="12"/>
        <v>-3.9307879148414049</v>
      </c>
      <c r="AQ23">
        <f t="shared" si="13"/>
        <v>12.202834969164005</v>
      </c>
      <c r="AR23">
        <f t="shared" si="14"/>
        <v>17.153920619995866</v>
      </c>
      <c r="AS23">
        <f t="shared" si="15"/>
        <v>17.506485151860893</v>
      </c>
      <c r="AT23">
        <f t="shared" si="16"/>
        <v>11.630128468837801</v>
      </c>
      <c r="AU23">
        <f t="shared" si="17"/>
        <v>18.058105256740625</v>
      </c>
      <c r="AV23">
        <f t="shared" si="18"/>
        <v>12.610224129189866</v>
      </c>
      <c r="AW23">
        <f t="shared" si="19"/>
        <v>5.2974621883530331</v>
      </c>
      <c r="AX23">
        <f t="shared" si="20"/>
        <v>3.1837619087985813</v>
      </c>
      <c r="AY23">
        <f t="shared" si="21"/>
        <v>-6.3768097866322702</v>
      </c>
      <c r="AZ23">
        <f t="shared" si="22"/>
        <v>16.340829211579866</v>
      </c>
      <c r="BA23">
        <f t="shared" si="23"/>
        <v>2.7257653997011873</v>
      </c>
      <c r="BB23">
        <f t="shared" si="24"/>
        <v>4.962610228663042</v>
      </c>
      <c r="BC23" s="2">
        <f t="shared" si="26"/>
        <v>6.8362629824548442</v>
      </c>
      <c r="BD23">
        <f t="shared" si="27"/>
        <v>68.647993259284547</v>
      </c>
      <c r="BE23">
        <f t="shared" si="28"/>
        <v>8.285408454583548</v>
      </c>
      <c r="BF23" s="12">
        <f t="shared" si="29"/>
        <v>6.3192233848197485</v>
      </c>
      <c r="BG23">
        <f t="shared" si="30"/>
        <v>0.51703959763509566</v>
      </c>
      <c r="BH23">
        <f t="shared" si="31"/>
        <v>0.26732994552266159</v>
      </c>
    </row>
    <row r="24" spans="1:60" x14ac:dyDescent="0.25">
      <c r="A24" s="7">
        <v>13</v>
      </c>
      <c r="B24" s="9">
        <f t="shared" si="25"/>
        <v>6.5535383161244685</v>
      </c>
      <c r="C24">
        <v>-0.33616138187810907</v>
      </c>
      <c r="D24">
        <v>-0.9268776512955107</v>
      </c>
      <c r="E24">
        <v>-0.44273201696829123</v>
      </c>
      <c r="F24">
        <v>0.68651387066255687</v>
      </c>
      <c r="G24">
        <v>0.40086062196722305</v>
      </c>
      <c r="H24">
        <v>0.41148106326487022</v>
      </c>
      <c r="I24">
        <v>0.53874324777977844</v>
      </c>
      <c r="J24">
        <v>-0.18057802056947536</v>
      </c>
      <c r="K24">
        <v>-0.42936490981780451</v>
      </c>
      <c r="L24">
        <v>0.79381694998016306</v>
      </c>
      <c r="M24">
        <v>0.92352061525315099</v>
      </c>
      <c r="N24">
        <v>0.44865260780663463</v>
      </c>
      <c r="O24">
        <v>-0.80407116916409804</v>
      </c>
      <c r="P24">
        <v>0.78978850672933132</v>
      </c>
      <c r="Q24">
        <v>8.9754936368907634E-2</v>
      </c>
      <c r="R24">
        <v>0.17880794701986757</v>
      </c>
      <c r="S24">
        <v>0.24448377941221344</v>
      </c>
      <c r="T24">
        <v>-0.85064241462446977</v>
      </c>
      <c r="U24">
        <v>-0.17246009704886012</v>
      </c>
      <c r="V24">
        <v>0.51951658680990009</v>
      </c>
      <c r="W24">
        <v>0.54826502273628952</v>
      </c>
      <c r="X24">
        <v>0.29532761619922487</v>
      </c>
      <c r="Y24">
        <v>0.11178930021057765</v>
      </c>
      <c r="Z24">
        <v>0.81664479506820897</v>
      </c>
      <c r="AA24">
        <v>-0.74193548387096775</v>
      </c>
      <c r="AC24" s="7">
        <v>13</v>
      </c>
      <c r="AD24">
        <f t="shared" si="0"/>
        <v>1.9082053992664703</v>
      </c>
      <c r="AE24">
        <f t="shared" si="1"/>
        <v>-6.2547600059721518</v>
      </c>
      <c r="AF24">
        <f t="shared" si="2"/>
        <v>0.43553154128479665</v>
      </c>
      <c r="AG24">
        <f t="shared" si="3"/>
        <v>16.040307627492666</v>
      </c>
      <c r="AH24">
        <f t="shared" si="4"/>
        <v>12.09293439991292</v>
      </c>
      <c r="AI24">
        <f t="shared" si="5"/>
        <v>12.239695712220374</v>
      </c>
      <c r="AJ24">
        <f t="shared" si="6"/>
        <v>13.99830109245622</v>
      </c>
      <c r="AK24">
        <f t="shared" si="7"/>
        <v>4.0581742789888562</v>
      </c>
      <c r="AL24">
        <f t="shared" si="8"/>
        <v>0.62024836539589945</v>
      </c>
      <c r="AM24">
        <f t="shared" si="9"/>
        <v>17.523102955288646</v>
      </c>
      <c r="AN24">
        <f t="shared" si="10"/>
        <v>19.315446568238848</v>
      </c>
      <c r="AO24">
        <f t="shared" si="11"/>
        <v>12.753360305296454</v>
      </c>
      <c r="AP24">
        <f t="shared" si="12"/>
        <v>-4.5577269004400058</v>
      </c>
      <c r="AQ24">
        <f t="shared" si="13"/>
        <v>17.467434871309955</v>
      </c>
      <c r="AR24">
        <f t="shared" si="14"/>
        <v>7.7938400962860079</v>
      </c>
      <c r="AS24">
        <f t="shared" si="15"/>
        <v>9.0244421345421735</v>
      </c>
      <c r="AT24">
        <f t="shared" si="16"/>
        <v>9.9320005945583691</v>
      </c>
      <c r="AU24">
        <f t="shared" si="17"/>
        <v>-5.2012836894663614</v>
      </c>
      <c r="AV24">
        <f t="shared" si="18"/>
        <v>4.1703539027640915</v>
      </c>
      <c r="AW24">
        <f t="shared" si="19"/>
        <v>13.732612509830659</v>
      </c>
      <c r="AX24">
        <f t="shared" si="20"/>
        <v>14.129880200042212</v>
      </c>
      <c r="AY24">
        <f t="shared" si="21"/>
        <v>10.634599290834851</v>
      </c>
      <c r="AZ24">
        <f t="shared" si="22"/>
        <v>8.0983276465330789</v>
      </c>
      <c r="BA24">
        <f t="shared" si="23"/>
        <v>17.838555431167883</v>
      </c>
      <c r="BB24">
        <f t="shared" si="24"/>
        <v>-3.6990888778596265</v>
      </c>
      <c r="BC24" s="2">
        <f t="shared" si="26"/>
        <v>8.1637798179989325</v>
      </c>
      <c r="BD24">
        <f t="shared" si="27"/>
        <v>62.320101512553499</v>
      </c>
      <c r="BE24">
        <f t="shared" si="28"/>
        <v>7.8943081718763359</v>
      </c>
      <c r="BF24" s="12">
        <f t="shared" si="29"/>
        <v>6.6073256031171574</v>
      </c>
      <c r="BG24">
        <f t="shared" si="30"/>
        <v>1.556454214881775</v>
      </c>
      <c r="BH24">
        <f t="shared" si="31"/>
        <v>2.4225497230232427</v>
      </c>
    </row>
    <row r="25" spans="1:60" x14ac:dyDescent="0.25">
      <c r="A25" s="7">
        <v>14</v>
      </c>
      <c r="B25" s="9">
        <f t="shared" si="25"/>
        <v>6.8451227161742283</v>
      </c>
      <c r="C25">
        <v>0.21024201178014468</v>
      </c>
      <c r="D25">
        <v>-0.30881679738761558</v>
      </c>
      <c r="E25">
        <v>-0.26480910672322766</v>
      </c>
      <c r="F25">
        <v>0.64519180883205673</v>
      </c>
      <c r="G25">
        <v>0.28031250953703424</v>
      </c>
      <c r="H25">
        <v>0.80626850184636978</v>
      </c>
      <c r="I25">
        <v>0.3555711539048434</v>
      </c>
      <c r="J25">
        <v>-0.93633838923306989</v>
      </c>
      <c r="K25">
        <v>-0.34080019531846062</v>
      </c>
      <c r="L25">
        <v>0.348673970763268</v>
      </c>
      <c r="M25">
        <v>-5.5330057679982891E-2</v>
      </c>
      <c r="N25">
        <v>-0.11484115115817739</v>
      </c>
      <c r="O25">
        <v>-0.28666035950804158</v>
      </c>
      <c r="P25">
        <v>0.77495651112399666</v>
      </c>
      <c r="Q25">
        <v>0.46647541734061715</v>
      </c>
      <c r="R25">
        <v>0.21897030549027985</v>
      </c>
      <c r="S25">
        <v>-0.88793603320413828</v>
      </c>
      <c r="T25">
        <v>-0.91436506241035187</v>
      </c>
      <c r="U25">
        <v>0.89257484664448983</v>
      </c>
      <c r="V25">
        <v>0.22940763573107081</v>
      </c>
      <c r="W25">
        <v>-0.87524033326212347</v>
      </c>
      <c r="X25">
        <v>-0.81554612872707299</v>
      </c>
      <c r="Y25">
        <v>-0.62388988921781063</v>
      </c>
      <c r="Z25">
        <v>0.8640095217749566</v>
      </c>
      <c r="AA25">
        <v>-0.31229590746787927</v>
      </c>
      <c r="AC25" s="7">
        <v>14</v>
      </c>
      <c r="AD25">
        <f t="shared" si="0"/>
        <v>9.7504062807892762</v>
      </c>
      <c r="AE25">
        <f t="shared" si="1"/>
        <v>2.5776580057170255</v>
      </c>
      <c r="AF25">
        <f t="shared" si="2"/>
        <v>3.1857896503933061</v>
      </c>
      <c r="AG25">
        <f t="shared" si="3"/>
        <v>15.760872438851937</v>
      </c>
      <c r="AH25">
        <f t="shared" si="4"/>
        <v>10.718693559691316</v>
      </c>
      <c r="AI25">
        <f t="shared" si="5"/>
        <v>17.986752342181624</v>
      </c>
      <c r="AJ25">
        <f t="shared" si="6"/>
        <v>11.758674583111365</v>
      </c>
      <c r="AK25">
        <f t="shared" si="7"/>
        <v>-6.0939112576905261</v>
      </c>
      <c r="AL25">
        <f t="shared" si="8"/>
        <v>2.1356871571589524</v>
      </c>
      <c r="AM25">
        <f t="shared" si="9"/>
        <v>11.663364075693305</v>
      </c>
      <c r="AN25">
        <f t="shared" si="10"/>
        <v>6.0805300172851178</v>
      </c>
      <c r="AO25">
        <f t="shared" si="11"/>
        <v>5.2581605948726722</v>
      </c>
      <c r="AP25">
        <f t="shared" si="12"/>
        <v>2.8838324675998139</v>
      </c>
      <c r="AQ25">
        <f t="shared" si="13"/>
        <v>17.554059507619996</v>
      </c>
      <c r="AR25">
        <f t="shared" si="14"/>
        <v>13.291233804161021</v>
      </c>
      <c r="AS25">
        <f t="shared" si="15"/>
        <v>9.8710204627431022</v>
      </c>
      <c r="AT25">
        <f t="shared" si="16"/>
        <v>-5.4250507941284019</v>
      </c>
      <c r="AU25">
        <f t="shared" si="17"/>
        <v>-5.790267163261313</v>
      </c>
      <c r="AV25">
        <f t="shared" si="18"/>
        <v>19.179398868634134</v>
      </c>
      <c r="AW25">
        <f t="shared" si="19"/>
        <v>10.015251407596976</v>
      </c>
      <c r="AX25">
        <f t="shared" si="20"/>
        <v>-5.2496119840137458</v>
      </c>
      <c r="AY25">
        <f t="shared" si="21"/>
        <v>-4.4247121941477241</v>
      </c>
      <c r="AZ25">
        <f t="shared" si="22"/>
        <v>-1.7762609260707167</v>
      </c>
      <c r="BA25">
        <f t="shared" si="23"/>
        <v>18.784661545876162</v>
      </c>
      <c r="BB25">
        <f t="shared" si="24"/>
        <v>2.529581024099067</v>
      </c>
      <c r="BC25" s="2">
        <f t="shared" si="26"/>
        <v>6.4890325389905499</v>
      </c>
      <c r="BD25">
        <f t="shared" si="27"/>
        <v>69.0764572495046</v>
      </c>
      <c r="BE25">
        <f t="shared" si="28"/>
        <v>8.3112247743340806</v>
      </c>
      <c r="BF25" s="12">
        <f t="shared" si="29"/>
        <v>6.8954278214145672</v>
      </c>
      <c r="BG25">
        <f t="shared" si="30"/>
        <v>-0.40639528242401735</v>
      </c>
      <c r="BH25">
        <f t="shared" si="31"/>
        <v>0.16515712557649681</v>
      </c>
    </row>
    <row r="26" spans="1:60" x14ac:dyDescent="0.25">
      <c r="A26" s="7">
        <v>15</v>
      </c>
      <c r="B26" s="9">
        <f t="shared" si="25"/>
        <v>7.1367071162239881</v>
      </c>
      <c r="C26">
        <v>-7.1871089815973344E-2</v>
      </c>
      <c r="D26">
        <v>0.35215308084353159</v>
      </c>
      <c r="E26">
        <v>0.80346079897457812</v>
      </c>
      <c r="F26">
        <v>-0.19779045991393784</v>
      </c>
      <c r="G26">
        <v>0.1802728354747154</v>
      </c>
      <c r="H26">
        <v>0.62504959257789849</v>
      </c>
      <c r="I26">
        <v>0.44767601550340275</v>
      </c>
      <c r="J26">
        <v>0.82854701376384776</v>
      </c>
      <c r="K26">
        <v>-0.81817072054200879</v>
      </c>
      <c r="L26">
        <v>-0.49198889126255074</v>
      </c>
      <c r="M26">
        <v>-0.25131992553483684</v>
      </c>
      <c r="N26">
        <v>0.23545030060731831</v>
      </c>
      <c r="O26">
        <v>-0.44956816309091463</v>
      </c>
      <c r="P26">
        <v>-0.92486342967009494</v>
      </c>
      <c r="Q26">
        <v>-0.29575487533188882</v>
      </c>
      <c r="R26">
        <v>0.3706472975859858</v>
      </c>
      <c r="S26">
        <v>-0.77904599139378039</v>
      </c>
      <c r="T26">
        <v>-0.41087069307535018</v>
      </c>
      <c r="U26">
        <v>0.3238929410687581</v>
      </c>
      <c r="V26">
        <v>-0.18796349986266669</v>
      </c>
      <c r="W26">
        <v>-0.35984374523148288</v>
      </c>
      <c r="X26">
        <v>0.16782128360850845</v>
      </c>
      <c r="Y26">
        <v>0.88006225775933111</v>
      </c>
      <c r="Z26">
        <v>-0.13553270058290356</v>
      </c>
      <c r="AA26">
        <v>0.52751243629261158</v>
      </c>
      <c r="AC26" s="7">
        <v>15</v>
      </c>
      <c r="AD26">
        <f t="shared" si="0"/>
        <v>6.1435378906951108</v>
      </c>
      <c r="AE26">
        <f t="shared" si="1"/>
        <v>12.003025457361023</v>
      </c>
      <c r="AF26">
        <f t="shared" si="2"/>
        <v>18.239537774609872</v>
      </c>
      <c r="AG26">
        <f t="shared" si="3"/>
        <v>4.4034885384521587</v>
      </c>
      <c r="AH26">
        <f t="shared" si="4"/>
        <v>9.6278538742703059</v>
      </c>
      <c r="AI26">
        <f t="shared" si="5"/>
        <v>15.774116419008251</v>
      </c>
      <c r="AJ26">
        <f t="shared" si="6"/>
        <v>13.323033812310232</v>
      </c>
      <c r="AK26">
        <f t="shared" si="7"/>
        <v>18.586198115749887</v>
      </c>
      <c r="AL26">
        <f t="shared" si="8"/>
        <v>-4.1693963942658971</v>
      </c>
      <c r="AM26">
        <f t="shared" si="9"/>
        <v>0.33803149637216823</v>
      </c>
      <c r="AN26">
        <f t="shared" si="10"/>
        <v>3.6637777861898879</v>
      </c>
      <c r="AO26">
        <f t="shared" si="11"/>
        <v>10.39033793361477</v>
      </c>
      <c r="AP26">
        <f t="shared" si="12"/>
        <v>0.92423328978411767</v>
      </c>
      <c r="AQ26">
        <f t="shared" si="13"/>
        <v>-5.6437571638832882</v>
      </c>
      <c r="AR26">
        <f t="shared" si="14"/>
        <v>3.0497419507885937</v>
      </c>
      <c r="AS26">
        <f t="shared" si="15"/>
        <v>12.258592570172276</v>
      </c>
      <c r="AT26">
        <f t="shared" si="16"/>
        <v>-3.62874121501833</v>
      </c>
      <c r="AU26">
        <f t="shared" si="17"/>
        <v>1.458984278306672</v>
      </c>
      <c r="AV26">
        <f t="shared" si="18"/>
        <v>11.612505413692343</v>
      </c>
      <c r="AW26">
        <f t="shared" si="19"/>
        <v>4.5392849251274461</v>
      </c>
      <c r="AX26">
        <f t="shared" si="20"/>
        <v>2.1641133420367291</v>
      </c>
      <c r="AY26">
        <f t="shared" si="21"/>
        <v>9.4557888874270866</v>
      </c>
      <c r="AZ26">
        <f t="shared" si="22"/>
        <v>19.29807482602282</v>
      </c>
      <c r="BA26">
        <f t="shared" si="23"/>
        <v>5.2638134726682573</v>
      </c>
      <c r="BB26">
        <f t="shared" si="24"/>
        <v>14.426274022069702</v>
      </c>
      <c r="BC26" s="2">
        <f t="shared" si="26"/>
        <v>7.340098052142487</v>
      </c>
      <c r="BD26">
        <f t="shared" si="27"/>
        <v>52.319921541585252</v>
      </c>
      <c r="BE26">
        <f t="shared" si="28"/>
        <v>7.2332511045577048</v>
      </c>
      <c r="BF26" s="12">
        <f t="shared" si="29"/>
        <v>7.1835300397119761</v>
      </c>
      <c r="BG26">
        <f t="shared" si="30"/>
        <v>0.15656801243051088</v>
      </c>
      <c r="BH26">
        <f t="shared" si="31"/>
        <v>2.4513542516440612E-2</v>
      </c>
    </row>
    <row r="27" spans="1:60" x14ac:dyDescent="0.25">
      <c r="A27" s="7">
        <v>16</v>
      </c>
      <c r="B27" s="9">
        <f t="shared" si="25"/>
        <v>7.428291516273748</v>
      </c>
      <c r="C27">
        <v>-0.24881740775780514</v>
      </c>
      <c r="D27">
        <v>-0.74303415021210362</v>
      </c>
      <c r="E27">
        <v>-0.23734244819483019</v>
      </c>
      <c r="F27">
        <v>0.51536606952116459</v>
      </c>
      <c r="G27">
        <v>0.43162327951902824</v>
      </c>
      <c r="H27">
        <v>0.20981475264748073</v>
      </c>
      <c r="I27">
        <v>-0.8554033021027253</v>
      </c>
      <c r="J27">
        <v>-1.9989623706778148E-2</v>
      </c>
      <c r="K27">
        <v>0.20993682668538471</v>
      </c>
      <c r="L27">
        <v>-0.65373699148533593</v>
      </c>
      <c r="M27">
        <v>-0.64384899441511279</v>
      </c>
      <c r="N27">
        <v>-0.62297433393353074</v>
      </c>
      <c r="O27">
        <v>-0.76006347849971001</v>
      </c>
      <c r="P27">
        <v>0.64348277230140072</v>
      </c>
      <c r="Q27">
        <v>0.15066988128299807</v>
      </c>
      <c r="R27">
        <v>-0.60710470900601221</v>
      </c>
      <c r="S27">
        <v>0.62358470412305067</v>
      </c>
      <c r="T27">
        <v>0.31229590746787927</v>
      </c>
      <c r="U27">
        <v>-0.6548356578264718</v>
      </c>
      <c r="V27">
        <v>0.2253791924802393</v>
      </c>
      <c r="W27">
        <v>-0.18088320566423532</v>
      </c>
      <c r="X27">
        <v>0.82244331186864827</v>
      </c>
      <c r="Y27">
        <v>-2.9602954191717545E-3</v>
      </c>
      <c r="Z27">
        <v>0.30552079836420787</v>
      </c>
      <c r="AA27">
        <v>-0.27420880764183475</v>
      </c>
      <c r="AC27" s="7">
        <v>16</v>
      </c>
      <c r="AD27">
        <f t="shared" si="0"/>
        <v>3.9899438747718623</v>
      </c>
      <c r="AE27">
        <f t="shared" si="1"/>
        <v>-2.8395178824318075</v>
      </c>
      <c r="AF27">
        <f t="shared" si="2"/>
        <v>4.1485135685293395</v>
      </c>
      <c r="AG27">
        <f t="shared" si="3"/>
        <v>14.550010714365534</v>
      </c>
      <c r="AH27">
        <f t="shared" si="4"/>
        <v>13.392789332263096</v>
      </c>
      <c r="AI27">
        <f t="shared" si="5"/>
        <v>10.327670890163784</v>
      </c>
      <c r="AJ27">
        <f t="shared" si="6"/>
        <v>-4.392320043110078</v>
      </c>
      <c r="AK27">
        <f t="shared" si="7"/>
        <v>7.1520597359249525</v>
      </c>
      <c r="AL27">
        <f t="shared" si="8"/>
        <v>10.329357801799501</v>
      </c>
      <c r="AM27">
        <f t="shared" si="9"/>
        <v>-1.6055420209042088</v>
      </c>
      <c r="AN27">
        <f t="shared" si="10"/>
        <v>-1.4689021784110645</v>
      </c>
      <c r="AO27">
        <f t="shared" si="11"/>
        <v>-1.1804402887033136</v>
      </c>
      <c r="AP27">
        <f t="shared" si="12"/>
        <v>-3.0748420556144458</v>
      </c>
      <c r="AQ27">
        <f t="shared" si="13"/>
        <v>16.320424476051404</v>
      </c>
      <c r="AR27">
        <f t="shared" si="14"/>
        <v>9.5103622026584897</v>
      </c>
      <c r="AS27">
        <f t="shared" si="15"/>
        <v>-0.9611417760599954</v>
      </c>
      <c r="AT27">
        <f t="shared" si="16"/>
        <v>16.045457879429399</v>
      </c>
      <c r="AU27">
        <f t="shared" si="17"/>
        <v>11.74383320834891</v>
      </c>
      <c r="AV27">
        <f t="shared" si="18"/>
        <v>-1.6207242256256693</v>
      </c>
      <c r="AW27">
        <f t="shared" si="19"/>
        <v>10.542752123717808</v>
      </c>
      <c r="AX27">
        <f t="shared" si="20"/>
        <v>4.9287102000488403</v>
      </c>
      <c r="AY27">
        <f t="shared" si="21"/>
        <v>18.793436934013755</v>
      </c>
      <c r="AZ27">
        <f t="shared" si="22"/>
        <v>7.3873839091075899</v>
      </c>
      <c r="BA27">
        <f t="shared" si="23"/>
        <v>11.650209612566568</v>
      </c>
      <c r="BB27">
        <f t="shared" si="24"/>
        <v>3.6390662545425529</v>
      </c>
      <c r="BC27" s="2">
        <f t="shared" si="26"/>
        <v>6.2923420898977112</v>
      </c>
      <c r="BD27">
        <f t="shared" si="27"/>
        <v>49.57142853507667</v>
      </c>
      <c r="BE27">
        <f t="shared" si="28"/>
        <v>7.0406980147622207</v>
      </c>
      <c r="BF27" s="12">
        <f t="shared" si="29"/>
        <v>7.4716322580093859</v>
      </c>
      <c r="BG27">
        <f t="shared" si="30"/>
        <v>-1.1792901681116748</v>
      </c>
      <c r="BH27">
        <f t="shared" si="31"/>
        <v>1.3907253006048621</v>
      </c>
    </row>
    <row r="28" spans="1:60" x14ac:dyDescent="0.25">
      <c r="A28" s="7">
        <v>17</v>
      </c>
      <c r="B28" s="9">
        <f t="shared" si="25"/>
        <v>7.7198759163235078</v>
      </c>
      <c r="C28">
        <v>-0.10080263679921875</v>
      </c>
      <c r="D28">
        <v>0.66124454481643125</v>
      </c>
      <c r="E28">
        <v>-0.22641682180242317</v>
      </c>
      <c r="F28">
        <v>-0.4940031128879665</v>
      </c>
      <c r="G28">
        <v>0.30649739066743975</v>
      </c>
      <c r="H28">
        <v>-0.70641193884090703</v>
      </c>
      <c r="I28">
        <v>-0.97894222846156198</v>
      </c>
      <c r="J28">
        <v>0.20865504928739287</v>
      </c>
      <c r="K28">
        <v>-0.77355265968810083</v>
      </c>
      <c r="L28">
        <v>0.36008789330729085</v>
      </c>
      <c r="M28">
        <v>-0.38798181096835227</v>
      </c>
      <c r="N28">
        <v>-0.74419385357219148</v>
      </c>
      <c r="O28">
        <v>-0.94988860744041259</v>
      </c>
      <c r="P28">
        <v>-0.2840357676931059</v>
      </c>
      <c r="Q28">
        <v>-0.10434278389843443</v>
      </c>
      <c r="R28">
        <v>0.85515915402691722</v>
      </c>
      <c r="S28">
        <v>0.39024018066957611</v>
      </c>
      <c r="T28">
        <v>0.81713309121982491</v>
      </c>
      <c r="U28">
        <v>0.6225470748008668</v>
      </c>
      <c r="V28">
        <v>0.40012817773979914</v>
      </c>
      <c r="W28">
        <v>-0.87084566789757989</v>
      </c>
      <c r="X28">
        <v>0.82561723685415211</v>
      </c>
      <c r="Y28">
        <v>0.87762077700125118</v>
      </c>
      <c r="Z28">
        <v>-7.7913754692220838E-2</v>
      </c>
      <c r="AA28">
        <v>0.31516464735862293</v>
      </c>
      <c r="AC28" s="7">
        <v>17</v>
      </c>
      <c r="AD28">
        <f t="shared" si="0"/>
        <v>6.3269086331295021</v>
      </c>
      <c r="AE28">
        <f t="shared" si="1"/>
        <v>16.857454519098113</v>
      </c>
      <c r="AF28">
        <f t="shared" si="2"/>
        <v>4.5910765599758463</v>
      </c>
      <c r="AG28">
        <f t="shared" si="3"/>
        <v>0.89336625448234397</v>
      </c>
      <c r="AH28">
        <f t="shared" si="4"/>
        <v>11.95528930570207</v>
      </c>
      <c r="AI28">
        <f t="shared" si="5"/>
        <v>-2.041859991666696</v>
      </c>
      <c r="AJ28">
        <f t="shared" si="6"/>
        <v>-5.8078902184067722</v>
      </c>
      <c r="AK28">
        <f t="shared" si="7"/>
        <v>10.603229629674225</v>
      </c>
      <c r="AL28">
        <f t="shared" si="8"/>
        <v>-2.969661391311508</v>
      </c>
      <c r="AM28">
        <f t="shared" si="9"/>
        <v>12.695843513782203</v>
      </c>
      <c r="AN28">
        <f t="shared" si="10"/>
        <v>2.3584490101032873</v>
      </c>
      <c r="AO28">
        <f t="shared" si="11"/>
        <v>-2.563959142921366</v>
      </c>
      <c r="AP28">
        <f t="shared" si="12"/>
        <v>-5.4064052491059247</v>
      </c>
      <c r="AQ28">
        <f t="shared" si="13"/>
        <v>3.7948542679170258</v>
      </c>
      <c r="AR28">
        <f t="shared" si="14"/>
        <v>6.2779881956936849</v>
      </c>
      <c r="AS28">
        <f t="shared" si="15"/>
        <v>19.537113652435899</v>
      </c>
      <c r="AT28">
        <f t="shared" si="16"/>
        <v>13.112510687804509</v>
      </c>
      <c r="AU28">
        <f t="shared" si="17"/>
        <v>19.011640677909792</v>
      </c>
      <c r="AV28">
        <f t="shared" si="18"/>
        <v>16.322703530575559</v>
      </c>
      <c r="AW28">
        <f t="shared" si="19"/>
        <v>13.249150530297653</v>
      </c>
      <c r="AX28">
        <f t="shared" si="20"/>
        <v>-4.3141299649786244</v>
      </c>
      <c r="AY28">
        <f t="shared" si="21"/>
        <v>19.128881036592183</v>
      </c>
      <c r="AZ28">
        <f t="shared" si="22"/>
        <v>19.847505393407978</v>
      </c>
      <c r="BA28">
        <f t="shared" si="23"/>
        <v>6.6432045648265969</v>
      </c>
      <c r="BB28">
        <f t="shared" si="24"/>
        <v>12.075060031838037</v>
      </c>
      <c r="BC28" s="2">
        <f t="shared" si="26"/>
        <v>7.6871329614742239</v>
      </c>
      <c r="BD28">
        <f t="shared" si="27"/>
        <v>73.027444364978848</v>
      </c>
      <c r="BE28">
        <f t="shared" si="28"/>
        <v>8.545609654376852</v>
      </c>
      <c r="BF28" s="12">
        <f t="shared" si="29"/>
        <v>7.7597344763067957</v>
      </c>
      <c r="BG28">
        <f t="shared" si="30"/>
        <v>-7.2601514832571823E-2</v>
      </c>
      <c r="BH28">
        <f t="shared" si="31"/>
        <v>5.2709799559841463E-3</v>
      </c>
    </row>
    <row r="29" spans="1:60" x14ac:dyDescent="0.25">
      <c r="A29" s="7">
        <v>18</v>
      </c>
      <c r="B29" s="9">
        <f t="shared" si="25"/>
        <v>8.0114603163732667</v>
      </c>
      <c r="C29">
        <v>0.1725821710867641</v>
      </c>
      <c r="D29">
        <v>-0.3580126346629231</v>
      </c>
      <c r="E29">
        <v>0.65440839869380785</v>
      </c>
      <c r="F29">
        <v>0.71752067629017002</v>
      </c>
      <c r="G29">
        <v>0.1403546250801111</v>
      </c>
      <c r="H29">
        <v>-0.70390942106387522</v>
      </c>
      <c r="I29">
        <v>-0.22678304391613513</v>
      </c>
      <c r="J29">
        <v>0.85576952421643737</v>
      </c>
      <c r="K29">
        <v>2.6947843867305421E-2</v>
      </c>
      <c r="L29">
        <v>0.37687307351908927</v>
      </c>
      <c r="M29">
        <v>-0.62401196325571462</v>
      </c>
      <c r="N29">
        <v>0.31315042573320717</v>
      </c>
      <c r="O29">
        <v>0.45475630970183412</v>
      </c>
      <c r="P29">
        <v>-9.9215674306466828E-2</v>
      </c>
      <c r="Q29">
        <v>0.76152836695455783</v>
      </c>
      <c r="R29">
        <v>-0.85198522904141361</v>
      </c>
      <c r="S29">
        <v>0.38627277443769636</v>
      </c>
      <c r="T29">
        <v>0.56694235053559994</v>
      </c>
      <c r="U29">
        <v>7.1993163853877329E-2</v>
      </c>
      <c r="V29">
        <v>-0.78460036011841183</v>
      </c>
      <c r="W29">
        <v>0.41001617481002217</v>
      </c>
      <c r="X29">
        <v>-0.84972685934018988</v>
      </c>
      <c r="Y29">
        <v>0.36246833704641856</v>
      </c>
      <c r="Z29">
        <v>0.21109653004547257</v>
      </c>
      <c r="AA29">
        <v>-0.14267403180028693</v>
      </c>
      <c r="AC29" s="7">
        <v>18</v>
      </c>
      <c r="AD29">
        <f t="shared" si="0"/>
        <v>10.396331641369361</v>
      </c>
      <c r="AE29">
        <f t="shared" si="1"/>
        <v>3.0641702167217746</v>
      </c>
      <c r="AF29">
        <f t="shared" si="2"/>
        <v>17.054571867547672</v>
      </c>
      <c r="AG29">
        <f t="shared" si="3"/>
        <v>17.926705183213794</v>
      </c>
      <c r="AH29">
        <f t="shared" si="4"/>
        <v>9.9509869695398514</v>
      </c>
      <c r="AI29">
        <f t="shared" si="5"/>
        <v>-1.7156939030847216</v>
      </c>
      <c r="AJ29">
        <f t="shared" si="6"/>
        <v>4.8776002251184511</v>
      </c>
      <c r="AK29">
        <f t="shared" si="7"/>
        <v>19.837132610664248</v>
      </c>
      <c r="AL29">
        <f t="shared" si="8"/>
        <v>8.3838460599579783</v>
      </c>
      <c r="AM29">
        <f t="shared" si="9"/>
        <v>13.219378263743163</v>
      </c>
      <c r="AN29">
        <f t="shared" si="10"/>
        <v>-0.61161023750739574</v>
      </c>
      <c r="AO29">
        <f t="shared" si="11"/>
        <v>12.338810389898452</v>
      </c>
      <c r="AP29">
        <f t="shared" si="12"/>
        <v>14.295627887331145</v>
      </c>
      <c r="AQ29">
        <f t="shared" si="13"/>
        <v>6.640422884443594</v>
      </c>
      <c r="AR29">
        <f t="shared" si="14"/>
        <v>18.534836827890075</v>
      </c>
      <c r="AS29">
        <f t="shared" si="15"/>
        <v>-3.7619177172104603</v>
      </c>
      <c r="AT29">
        <f t="shared" si="16"/>
        <v>13.349270459693436</v>
      </c>
      <c r="AU29">
        <f t="shared" si="17"/>
        <v>15.845899680555842</v>
      </c>
      <c r="AV29">
        <f t="shared" si="18"/>
        <v>9.0063164535378615</v>
      </c>
      <c r="AW29">
        <f t="shared" si="19"/>
        <v>-2.8307424942942134</v>
      </c>
      <c r="AX29">
        <f t="shared" si="20"/>
        <v>13.677374772840556</v>
      </c>
      <c r="AY29">
        <f t="shared" si="21"/>
        <v>-3.7307098519496797</v>
      </c>
      <c r="AZ29">
        <f t="shared" si="22"/>
        <v>13.020322690728459</v>
      </c>
      <c r="BA29">
        <f t="shared" si="23"/>
        <v>10.928552262438339</v>
      </c>
      <c r="BB29">
        <f t="shared" si="24"/>
        <v>6.0398823421280419</v>
      </c>
      <c r="BC29" s="2">
        <f t="shared" si="26"/>
        <v>9.029494619412624</v>
      </c>
      <c r="BD29">
        <f t="shared" si="27"/>
        <v>52.472467299712747</v>
      </c>
      <c r="BE29">
        <f t="shared" si="28"/>
        <v>7.243788187109887</v>
      </c>
      <c r="BF29" s="12">
        <f t="shared" si="29"/>
        <v>8.0478366946042037</v>
      </c>
      <c r="BG29">
        <f t="shared" si="30"/>
        <v>0.98165792480842029</v>
      </c>
      <c r="BH29">
        <f t="shared" si="31"/>
        <v>0.96365228133917413</v>
      </c>
    </row>
    <row r="30" spans="1:60" x14ac:dyDescent="0.25">
      <c r="A30" s="7">
        <v>19</v>
      </c>
      <c r="B30" s="9">
        <f t="shared" si="25"/>
        <v>8.3030447164230274</v>
      </c>
      <c r="C30">
        <v>-0.6003906369212928</v>
      </c>
      <c r="D30">
        <v>0.15689565721610155</v>
      </c>
      <c r="E30">
        <v>0.25113681447798086</v>
      </c>
      <c r="F30">
        <v>0.31479842524491097</v>
      </c>
      <c r="G30">
        <v>-0.24839014862514119</v>
      </c>
      <c r="H30">
        <v>-0.44352549821466725</v>
      </c>
      <c r="I30">
        <v>-0.20139164403210552</v>
      </c>
      <c r="J30">
        <v>-0.90697958311716054</v>
      </c>
      <c r="K30">
        <v>-0.82616657002472005</v>
      </c>
      <c r="L30">
        <v>-3.9582506790368344E-2</v>
      </c>
      <c r="M30">
        <v>0.75127414777062285</v>
      </c>
      <c r="N30">
        <v>-0.78472243415631582</v>
      </c>
      <c r="O30">
        <v>-0.55088961455122532</v>
      </c>
      <c r="P30">
        <v>0.46226386303292943</v>
      </c>
      <c r="Q30">
        <v>-0.49943540757469407</v>
      </c>
      <c r="R30">
        <v>-0.51213110751670887</v>
      </c>
      <c r="S30">
        <v>-0.78588213751640368</v>
      </c>
      <c r="T30">
        <v>0.98547318948942531</v>
      </c>
      <c r="U30">
        <v>-0.22257148960844753</v>
      </c>
      <c r="V30">
        <v>-0.78453932309945984</v>
      </c>
      <c r="W30">
        <v>6.3692129276406106E-2</v>
      </c>
      <c r="X30">
        <v>-0.78118228705710013</v>
      </c>
      <c r="Y30">
        <v>9.445478682821129E-2</v>
      </c>
      <c r="Z30">
        <v>-0.87701040681173126</v>
      </c>
      <c r="AA30">
        <v>3.4760582293160702E-2</v>
      </c>
      <c r="AC30" s="7">
        <v>19</v>
      </c>
      <c r="AD30">
        <f t="shared" si="0"/>
        <v>6.3915640537661744E-3</v>
      </c>
      <c r="AE30">
        <f t="shared" si="1"/>
        <v>10.471147896229379</v>
      </c>
      <c r="AF30">
        <f t="shared" si="2"/>
        <v>11.773443679003551</v>
      </c>
      <c r="AG30">
        <f t="shared" si="3"/>
        <v>12.653168097030402</v>
      </c>
      <c r="AH30">
        <f t="shared" si="4"/>
        <v>4.8706012656461546</v>
      </c>
      <c r="AI30">
        <f t="shared" si="5"/>
        <v>2.1740730159511887</v>
      </c>
      <c r="AJ30">
        <f t="shared" si="6"/>
        <v>5.5200622453975221</v>
      </c>
      <c r="AK30">
        <f t="shared" si="7"/>
        <v>-4.2302870090515849</v>
      </c>
      <c r="AL30">
        <f t="shared" si="8"/>
        <v>-3.1135515062063774</v>
      </c>
      <c r="AM30">
        <f t="shared" si="9"/>
        <v>7.7560636185415186</v>
      </c>
      <c r="AN30">
        <f t="shared" si="10"/>
        <v>18.684720650539539</v>
      </c>
      <c r="AO30">
        <f t="shared" si="11"/>
        <v>-2.5408450058801701</v>
      </c>
      <c r="AP30">
        <f t="shared" si="12"/>
        <v>0.69043423233735002</v>
      </c>
      <c r="AQ30">
        <f t="shared" si="13"/>
        <v>14.690957352977552</v>
      </c>
      <c r="AR30">
        <f t="shared" si="14"/>
        <v>1.4014674867924191</v>
      </c>
      <c r="AS30">
        <f t="shared" si="15"/>
        <v>1.2260286766777639</v>
      </c>
      <c r="AT30">
        <f t="shared" si="16"/>
        <v>-2.5568706664194885</v>
      </c>
      <c r="AU30">
        <f t="shared" si="17"/>
        <v>21.921060623664211</v>
      </c>
      <c r="AV30">
        <f t="shared" si="18"/>
        <v>5.2273830766004776</v>
      </c>
      <c r="AW30">
        <f t="shared" si="19"/>
        <v>-2.5383146384265931</v>
      </c>
      <c r="AX30">
        <f t="shared" si="20"/>
        <v>9.1831908623588099</v>
      </c>
      <c r="AY30">
        <f t="shared" si="21"/>
        <v>-2.4919245684443521</v>
      </c>
      <c r="AZ30">
        <f t="shared" si="22"/>
        <v>9.6082925945597051</v>
      </c>
      <c r="BA30">
        <f t="shared" si="23"/>
        <v>-3.8161502024828557</v>
      </c>
      <c r="BB30">
        <f t="shared" si="24"/>
        <v>8.7833928046936798</v>
      </c>
      <c r="BC30" s="2">
        <f t="shared" si="26"/>
        <v>5.0141574458457416</v>
      </c>
      <c r="BD30">
        <f t="shared" si="27"/>
        <v>54.051525965889738</v>
      </c>
      <c r="BE30">
        <f t="shared" si="28"/>
        <v>7.3519742903447192</v>
      </c>
      <c r="BF30" s="12">
        <f t="shared" si="29"/>
        <v>8.3359389129016144</v>
      </c>
      <c r="BG30">
        <f t="shared" si="30"/>
        <v>-3.3217814670558727</v>
      </c>
      <c r="BH30">
        <f t="shared" si="31"/>
        <v>11.034232114875866</v>
      </c>
    </row>
    <row r="31" spans="1:60" x14ac:dyDescent="0.25">
      <c r="A31" s="7">
        <v>20</v>
      </c>
      <c r="B31" s="9">
        <f t="shared" si="25"/>
        <v>8.5946291164727882</v>
      </c>
      <c r="C31">
        <v>-0.5842158268990143</v>
      </c>
      <c r="D31">
        <v>-0.40128788109988711</v>
      </c>
      <c r="E31">
        <v>-0.95251319925534839</v>
      </c>
      <c r="F31">
        <v>0.7814264351329081</v>
      </c>
      <c r="G31">
        <v>0.11905270546586499</v>
      </c>
      <c r="H31">
        <v>-0.85271767326883752</v>
      </c>
      <c r="I31">
        <v>-3.8300729392376498E-2</v>
      </c>
      <c r="J31">
        <v>-0.24625385296182134</v>
      </c>
      <c r="K31">
        <v>0.87395855586413163</v>
      </c>
      <c r="L31">
        <v>-0.58220160527359843</v>
      </c>
      <c r="M31">
        <v>0.89214758751182588</v>
      </c>
      <c r="N31">
        <v>-0.30680257576219983</v>
      </c>
      <c r="O31">
        <v>0.99212622455519273</v>
      </c>
      <c r="P31">
        <v>0.86687826166570026</v>
      </c>
      <c r="Q31">
        <v>0.29459517197180096</v>
      </c>
      <c r="R31">
        <v>0.75695059053315839</v>
      </c>
      <c r="S31">
        <v>0.42893765068514056</v>
      </c>
      <c r="T31">
        <v>-0.65202795495468002</v>
      </c>
      <c r="U31">
        <v>0.44877468184453861</v>
      </c>
      <c r="V31">
        <v>-0.41654713583788572</v>
      </c>
      <c r="W31">
        <v>-0.16360972930082096</v>
      </c>
      <c r="X31">
        <v>0.20334482863856929</v>
      </c>
      <c r="Y31">
        <v>0.43510238959929204</v>
      </c>
      <c r="Z31">
        <v>0.61210974456007561</v>
      </c>
      <c r="AA31">
        <v>-0.14578691976683855</v>
      </c>
      <c r="AC31" s="7">
        <v>20</v>
      </c>
      <c r="AD31">
        <f t="shared" si="0"/>
        <v>0.5214917558361396</v>
      </c>
      <c r="AE31">
        <f t="shared" si="1"/>
        <v>3.0493288419593219</v>
      </c>
      <c r="AF31">
        <f t="shared" si="2"/>
        <v>-4.567920649124579</v>
      </c>
      <c r="AG31">
        <f t="shared" si="3"/>
        <v>19.392972224611604</v>
      </c>
      <c r="AH31">
        <f t="shared" si="4"/>
        <v>10.23978968920661</v>
      </c>
      <c r="AI31">
        <f t="shared" si="5"/>
        <v>-3.1888703869252453</v>
      </c>
      <c r="AJ31">
        <f t="shared" si="6"/>
        <v>8.065360590766316</v>
      </c>
      <c r="AK31">
        <f t="shared" si="7"/>
        <v>5.1917066193209784</v>
      </c>
      <c r="AL31">
        <f t="shared" si="8"/>
        <v>20.671651244485727</v>
      </c>
      <c r="AM31">
        <f t="shared" si="9"/>
        <v>0.5493257978254853</v>
      </c>
      <c r="AN31">
        <f t="shared" si="10"/>
        <v>20.923001078207683</v>
      </c>
      <c r="AO31">
        <f t="shared" si="11"/>
        <v>4.3549984480049293</v>
      </c>
      <c r="AP31">
        <f t="shared" si="12"/>
        <v>22.304581707860592</v>
      </c>
      <c r="AQ31">
        <f t="shared" si="13"/>
        <v>20.57381036961409</v>
      </c>
      <c r="AR31">
        <f t="shared" si="14"/>
        <v>12.665568621368863</v>
      </c>
      <c r="AS31">
        <f t="shared" si="15"/>
        <v>19.054746441650178</v>
      </c>
      <c r="AT31">
        <f t="shared" si="16"/>
        <v>14.522014876476344</v>
      </c>
      <c r="AU31">
        <f t="shared" si="17"/>
        <v>-0.41558765780511919</v>
      </c>
      <c r="AV31">
        <f t="shared" si="18"/>
        <v>14.796138017280491</v>
      </c>
      <c r="AW31">
        <f t="shared" si="19"/>
        <v>2.8384648874945917</v>
      </c>
      <c r="AX31">
        <f t="shared" si="20"/>
        <v>6.3337457967019546</v>
      </c>
      <c r="AY31">
        <f t="shared" si="21"/>
        <v>11.404602173669778</v>
      </c>
      <c r="AZ31">
        <f t="shared" si="22"/>
        <v>14.607203914080095</v>
      </c>
      <c r="BA31">
        <f t="shared" si="23"/>
        <v>17.053225785870961</v>
      </c>
      <c r="BB31">
        <f t="shared" si="24"/>
        <v>6.5800348955167598</v>
      </c>
      <c r="BC31" s="2">
        <f t="shared" si="26"/>
        <v>9.9008554033581806</v>
      </c>
      <c r="BD31">
        <f t="shared" si="27"/>
        <v>68.633935270522969</v>
      </c>
      <c r="BE31">
        <f t="shared" si="28"/>
        <v>8.2845600529251389</v>
      </c>
      <c r="BF31" s="12">
        <f t="shared" si="29"/>
        <v>8.6240411311990233</v>
      </c>
      <c r="BG31">
        <f t="shared" si="30"/>
        <v>1.2768142721591573</v>
      </c>
      <c r="BH31">
        <f t="shared" si="31"/>
        <v>1.6302546855893187</v>
      </c>
    </row>
    <row r="32" spans="1:60" x14ac:dyDescent="0.25">
      <c r="A32" s="7">
        <v>21</v>
      </c>
      <c r="B32" s="9">
        <f t="shared" si="25"/>
        <v>8.8862135165225489</v>
      </c>
      <c r="C32">
        <v>0.63939329203161721</v>
      </c>
      <c r="D32">
        <v>0.2560197759941405</v>
      </c>
      <c r="E32">
        <v>-3.0854213080233173E-2</v>
      </c>
      <c r="F32">
        <v>0.70220038453321942</v>
      </c>
      <c r="G32">
        <v>-0.79900509659108243</v>
      </c>
      <c r="H32">
        <v>-0.33548997466963715</v>
      </c>
      <c r="I32">
        <v>-0.76720480971709337</v>
      </c>
      <c r="J32">
        <v>0.13522751548814349</v>
      </c>
      <c r="K32">
        <v>0.15567491683706169</v>
      </c>
      <c r="L32">
        <v>0.26187932981353201</v>
      </c>
      <c r="M32">
        <v>-0.61082796716208376</v>
      </c>
      <c r="N32">
        <v>0.82470168156987222</v>
      </c>
      <c r="O32">
        <v>-0.40031128879665512</v>
      </c>
      <c r="P32">
        <v>0.42759483626819672</v>
      </c>
      <c r="Q32">
        <v>0.29282509842219295</v>
      </c>
      <c r="R32">
        <v>-0.77245399334696496</v>
      </c>
      <c r="S32">
        <v>-0.89941099276711323</v>
      </c>
      <c r="T32">
        <v>-0.35593737601855524</v>
      </c>
      <c r="U32">
        <v>-5.6917020172734811E-2</v>
      </c>
      <c r="V32">
        <v>-0.99328592791528059</v>
      </c>
      <c r="W32">
        <v>-0.3137607959227271</v>
      </c>
      <c r="X32">
        <v>-0.22226630451368756</v>
      </c>
      <c r="Y32">
        <v>0.88988921781060215</v>
      </c>
      <c r="Z32">
        <v>-0.93554490798669399</v>
      </c>
      <c r="AA32">
        <v>-5.3407391582994679E-3</v>
      </c>
      <c r="AC32" s="7">
        <v>21</v>
      </c>
      <c r="AD32">
        <f t="shared" si="0"/>
        <v>17.721834936503662</v>
      </c>
      <c r="AE32">
        <f t="shared" si="1"/>
        <v>12.424088944531787</v>
      </c>
      <c r="AF32">
        <f t="shared" si="2"/>
        <v>8.4598466005948652</v>
      </c>
      <c r="AG32">
        <f t="shared" si="3"/>
        <v>18.589750973080488</v>
      </c>
      <c r="AH32">
        <f t="shared" si="4"/>
        <v>-2.1550448671596349</v>
      </c>
      <c r="AI32">
        <f t="shared" si="5"/>
        <v>4.2501586136609983</v>
      </c>
      <c r="AJ32">
        <f t="shared" si="6"/>
        <v>-1.7156043860551389</v>
      </c>
      <c r="AK32">
        <f t="shared" si="7"/>
        <v>10.754889880988983</v>
      </c>
      <c r="AL32">
        <f t="shared" si="8"/>
        <v>11.037447579971722</v>
      </c>
      <c r="AM32">
        <f t="shared" si="9"/>
        <v>12.505060703046244</v>
      </c>
      <c r="AN32">
        <f t="shared" si="10"/>
        <v>0.44532941929941394</v>
      </c>
      <c r="AO32">
        <f t="shared" si="11"/>
        <v>20.282566799523337</v>
      </c>
      <c r="AP32">
        <f t="shared" si="12"/>
        <v>3.3544085350948265</v>
      </c>
      <c r="AQ32">
        <f t="shared" si="13"/>
        <v>14.79504324853321</v>
      </c>
      <c r="AR32">
        <f t="shared" si="14"/>
        <v>12.932692802700714</v>
      </c>
      <c r="AS32">
        <f t="shared" si="15"/>
        <v>-1.7881415863910064</v>
      </c>
      <c r="AT32">
        <f t="shared" si="16"/>
        <v>-3.5425296875375576</v>
      </c>
      <c r="AU32">
        <f t="shared" si="17"/>
        <v>3.9676009146782603</v>
      </c>
      <c r="AV32">
        <f t="shared" si="18"/>
        <v>8.0996909663691063</v>
      </c>
      <c r="AW32">
        <f t="shared" si="19"/>
        <v>-4.8397647354045752</v>
      </c>
      <c r="AX32">
        <f t="shared" si="20"/>
        <v>4.5504288848187739</v>
      </c>
      <c r="AY32">
        <f t="shared" si="21"/>
        <v>5.8147691557892935</v>
      </c>
      <c r="AZ32">
        <f t="shared" si="22"/>
        <v>21.183377612996665</v>
      </c>
      <c r="BA32">
        <f t="shared" si="23"/>
        <v>-4.0418555317100395</v>
      </c>
      <c r="BB32">
        <f t="shared" si="24"/>
        <v>8.8124111324598946</v>
      </c>
      <c r="BC32" s="2">
        <f t="shared" si="26"/>
        <v>7.2759382764153706</v>
      </c>
      <c r="BD32">
        <f t="shared" si="27"/>
        <v>62.848109569139069</v>
      </c>
      <c r="BE32">
        <f t="shared" si="28"/>
        <v>7.9276799613215383</v>
      </c>
      <c r="BF32" s="12">
        <f t="shared" si="29"/>
        <v>8.9121433494964322</v>
      </c>
      <c r="BG32">
        <f t="shared" si="30"/>
        <v>-1.6362050730810616</v>
      </c>
      <c r="BH32">
        <f t="shared" si="31"/>
        <v>2.6771670411762019</v>
      </c>
    </row>
    <row r="33" spans="1:60" x14ac:dyDescent="0.25">
      <c r="A33" s="7">
        <v>22</v>
      </c>
      <c r="B33" s="9">
        <f t="shared" si="25"/>
        <v>9.1777979165723078</v>
      </c>
      <c r="C33">
        <v>-0.11960203863643304</v>
      </c>
      <c r="D33">
        <v>8.0355235450300544E-2</v>
      </c>
      <c r="E33">
        <v>-0.74846644489883118</v>
      </c>
      <c r="F33">
        <v>-0.60380870998260439</v>
      </c>
      <c r="G33">
        <v>7.2176274910733307E-2</v>
      </c>
      <c r="H33">
        <v>-0.54014709921567428</v>
      </c>
      <c r="I33">
        <v>-0.18509475997192293</v>
      </c>
      <c r="J33">
        <v>-9.8605304116946901E-2</v>
      </c>
      <c r="K33">
        <v>-0.93102816858424631</v>
      </c>
      <c r="L33">
        <v>-0.36075930051576277</v>
      </c>
      <c r="M33">
        <v>-0.35435041352580343</v>
      </c>
      <c r="N33">
        <v>-0.33451338236640527</v>
      </c>
      <c r="O33">
        <v>0.91753898739585549</v>
      </c>
      <c r="P33">
        <v>-5.9114352855006547E-2</v>
      </c>
      <c r="Q33">
        <v>-0.60893581957457199</v>
      </c>
      <c r="R33">
        <v>-9.5736564226203247E-2</v>
      </c>
      <c r="S33">
        <v>-0.50120548112430185</v>
      </c>
      <c r="T33">
        <v>-0.86382641071810051</v>
      </c>
      <c r="U33">
        <v>0.49162266914883879</v>
      </c>
      <c r="V33">
        <v>3.170873134556107E-2</v>
      </c>
      <c r="W33">
        <v>0.36490981780449849</v>
      </c>
      <c r="X33">
        <v>0.18723105563524278</v>
      </c>
      <c r="Y33">
        <v>0.2065797906430249</v>
      </c>
      <c r="Z33">
        <v>0.83312479018524743</v>
      </c>
      <c r="AA33">
        <v>0.46946623126926479</v>
      </c>
      <c r="AC33" s="7">
        <v>22</v>
      </c>
      <c r="AD33">
        <f t="shared" si="0"/>
        <v>7.5250462414777548</v>
      </c>
      <c r="AE33">
        <f t="shared" si="1"/>
        <v>10.288207500783574</v>
      </c>
      <c r="AF33">
        <f t="shared" si="2"/>
        <v>-1.1650790499226922</v>
      </c>
      <c r="AG33">
        <f t="shared" si="3"/>
        <v>0.83391123840294767</v>
      </c>
      <c r="AH33">
        <f t="shared" si="4"/>
        <v>10.17518442119048</v>
      </c>
      <c r="AI33">
        <f t="shared" si="5"/>
        <v>1.7136356564298012</v>
      </c>
      <c r="AJ33">
        <f t="shared" si="6"/>
        <v>6.6200181489151353</v>
      </c>
      <c r="AK33">
        <f t="shared" si="7"/>
        <v>7.815195042821224</v>
      </c>
      <c r="AL33">
        <f t="shared" si="8"/>
        <v>-3.6878554011387195</v>
      </c>
      <c r="AM33">
        <f t="shared" si="9"/>
        <v>4.1925523051171654</v>
      </c>
      <c r="AN33">
        <f t="shared" si="10"/>
        <v>4.2811151659923503</v>
      </c>
      <c r="AO33">
        <f t="shared" si="11"/>
        <v>4.5552383067964994</v>
      </c>
      <c r="AP33">
        <f t="shared" si="12"/>
        <v>21.857047498536513</v>
      </c>
      <c r="AQ33">
        <f t="shared" si="13"/>
        <v>8.3609109569759443</v>
      </c>
      <c r="AR33">
        <f t="shared" si="14"/>
        <v>0.76306094970279759</v>
      </c>
      <c r="AS33">
        <f t="shared" si="15"/>
        <v>7.8548374662605918</v>
      </c>
      <c r="AT33">
        <f t="shared" si="16"/>
        <v>2.2517604682237913</v>
      </c>
      <c r="AU33">
        <f t="shared" si="17"/>
        <v>-2.7592105456760496</v>
      </c>
      <c r="AV33">
        <f t="shared" si="18"/>
        <v>15.971412801516975</v>
      </c>
      <c r="AW33">
        <f t="shared" si="19"/>
        <v>9.6159732139500171</v>
      </c>
      <c r="AX33">
        <f t="shared" si="20"/>
        <v>14.220398523641858</v>
      </c>
      <c r="AY33">
        <f t="shared" si="21"/>
        <v>11.765098637854543</v>
      </c>
      <c r="AZ33">
        <f t="shared" si="22"/>
        <v>12.032474132115819</v>
      </c>
      <c r="BA33">
        <f t="shared" si="23"/>
        <v>20.690548102437631</v>
      </c>
      <c r="BB33">
        <f t="shared" si="24"/>
        <v>15.665238339634186</v>
      </c>
      <c r="BC33" s="2">
        <f t="shared" si="26"/>
        <v>7.6574688048816055</v>
      </c>
      <c r="BD33">
        <f t="shared" si="27"/>
        <v>46.220971137373198</v>
      </c>
      <c r="BE33">
        <f t="shared" si="28"/>
        <v>6.7986006749457788</v>
      </c>
      <c r="BF33" s="12">
        <f t="shared" si="29"/>
        <v>9.2002455677938428</v>
      </c>
      <c r="BG33">
        <f t="shared" si="30"/>
        <v>-1.5427767629122373</v>
      </c>
      <c r="BH33">
        <f t="shared" si="31"/>
        <v>2.3801601401819616</v>
      </c>
    </row>
    <row r="34" spans="1:60" x14ac:dyDescent="0.25">
      <c r="A34" s="7">
        <v>23</v>
      </c>
      <c r="B34" s="9">
        <f t="shared" si="25"/>
        <v>9.4693823166220668</v>
      </c>
      <c r="C34">
        <v>-0.69548631244850001</v>
      </c>
      <c r="D34">
        <v>-0.30924405652027953</v>
      </c>
      <c r="E34">
        <v>0.48582415234839926</v>
      </c>
      <c r="F34">
        <v>-0.64464247566148869</v>
      </c>
      <c r="G34">
        <v>0.63365581225012968</v>
      </c>
      <c r="H34">
        <v>-0.81609546189764093</v>
      </c>
      <c r="I34">
        <v>-0.75963621936704606</v>
      </c>
      <c r="J34">
        <v>0.36222418897061059</v>
      </c>
      <c r="K34">
        <v>0.88372447889645067</v>
      </c>
      <c r="L34">
        <v>-0.62370677816095466</v>
      </c>
      <c r="M34">
        <v>-0.42619098483230078</v>
      </c>
      <c r="N34">
        <v>-0.58476516006958223</v>
      </c>
      <c r="O34">
        <v>-0.79088717307046719</v>
      </c>
      <c r="P34">
        <v>-0.98748741111484117</v>
      </c>
      <c r="Q34">
        <v>-0.3716238898892178</v>
      </c>
      <c r="R34">
        <v>-4.0314951017792255E-2</v>
      </c>
      <c r="S34">
        <v>0.65843684194463936</v>
      </c>
      <c r="T34">
        <v>-0.20413830988494519</v>
      </c>
      <c r="U34">
        <v>0.74816125980407122</v>
      </c>
      <c r="V34">
        <v>-0.3987853633228553</v>
      </c>
      <c r="W34">
        <v>0.50126651814325385</v>
      </c>
      <c r="X34">
        <v>0.6564226203192236</v>
      </c>
      <c r="Y34">
        <v>0.92522965178380678</v>
      </c>
      <c r="Z34">
        <v>-0.98339793084505756</v>
      </c>
      <c r="AA34">
        <v>-0.25247962889492481</v>
      </c>
      <c r="AC34" s="7">
        <v>23</v>
      </c>
      <c r="AD34">
        <f t="shared" si="0"/>
        <v>-0.14137499997139003</v>
      </c>
      <c r="AE34">
        <f t="shared" si="1"/>
        <v>5.1960134154398521</v>
      </c>
      <c r="AF34">
        <f t="shared" si="2"/>
        <v>16.182868898870133</v>
      </c>
      <c r="AG34">
        <f t="shared" si="3"/>
        <v>0.56122369630509006</v>
      </c>
      <c r="AH34">
        <f t="shared" si="4"/>
        <v>18.22571888972444</v>
      </c>
      <c r="AI34">
        <f t="shared" si="5"/>
        <v>-1.808043696060615</v>
      </c>
      <c r="AJ34">
        <f t="shared" si="6"/>
        <v>-1.0278470645411133</v>
      </c>
      <c r="AK34">
        <f t="shared" si="7"/>
        <v>14.474870867705823</v>
      </c>
      <c r="AL34">
        <f t="shared" si="8"/>
        <v>21.681357375492432</v>
      </c>
      <c r="AM34">
        <f t="shared" si="9"/>
        <v>0.85052904183069877</v>
      </c>
      <c r="AN34">
        <f t="shared" si="10"/>
        <v>3.5799520684221617</v>
      </c>
      <c r="AO34">
        <f t="shared" si="11"/>
        <v>1.3886538536246888</v>
      </c>
      <c r="AP34">
        <f t="shared" si="12"/>
        <v>-1.45969644328488</v>
      </c>
      <c r="AQ34">
        <f t="shared" si="13"/>
        <v>-4.1764676326084604</v>
      </c>
      <c r="AR34">
        <f t="shared" si="14"/>
        <v>4.3340015695880361</v>
      </c>
      <c r="AS34">
        <f t="shared" si="15"/>
        <v>8.9122797489262506</v>
      </c>
      <c r="AT34">
        <f t="shared" si="16"/>
        <v>18.56816195177516</v>
      </c>
      <c r="AU34">
        <f t="shared" si="17"/>
        <v>6.6484443337929111</v>
      </c>
      <c r="AV34">
        <f t="shared" si="18"/>
        <v>19.808042004027772</v>
      </c>
      <c r="AW34">
        <f t="shared" si="19"/>
        <v>3.9586637306408168</v>
      </c>
      <c r="AX34">
        <f t="shared" si="20"/>
        <v>16.396263220788441</v>
      </c>
      <c r="AY34">
        <f t="shared" si="21"/>
        <v>18.540327909785816</v>
      </c>
      <c r="AZ34">
        <f t="shared" si="22"/>
        <v>22.254907331636495</v>
      </c>
      <c r="BA34">
        <f t="shared" si="23"/>
        <v>-4.119956092811913</v>
      </c>
      <c r="BB34">
        <f t="shared" si="24"/>
        <v>5.9804273260486465</v>
      </c>
      <c r="BC34" s="2">
        <f t="shared" si="26"/>
        <v>7.7923728522058902</v>
      </c>
      <c r="BD34">
        <f t="shared" si="27"/>
        <v>78.256696788565677</v>
      </c>
      <c r="BE34">
        <f t="shared" si="28"/>
        <v>8.8462815232483791</v>
      </c>
      <c r="BF34" s="12">
        <f t="shared" si="29"/>
        <v>9.4883477860912517</v>
      </c>
      <c r="BG34">
        <f t="shared" si="30"/>
        <v>-1.6959749338853616</v>
      </c>
      <c r="BH34">
        <f t="shared" si="31"/>
        <v>2.8763309763674565</v>
      </c>
    </row>
    <row r="35" spans="1:60" x14ac:dyDescent="0.25">
      <c r="A35" s="7">
        <v>24</v>
      </c>
      <c r="B35" s="9">
        <f t="shared" si="25"/>
        <v>9.7609667166718275</v>
      </c>
      <c r="C35">
        <v>0.44444105349894714</v>
      </c>
      <c r="D35">
        <v>0.96923734244819482</v>
      </c>
      <c r="E35">
        <v>0.69597460860011595</v>
      </c>
      <c r="F35">
        <v>-0.83007293923764758</v>
      </c>
      <c r="G35">
        <v>-0.88781395916623429</v>
      </c>
      <c r="H35">
        <v>-0.78856776635029147</v>
      </c>
      <c r="I35">
        <v>7.980590227973261E-2</v>
      </c>
      <c r="J35">
        <v>0.14316232795190276</v>
      </c>
      <c r="K35">
        <v>0.44694357127597883</v>
      </c>
      <c r="L35">
        <v>-0.44285409100619522</v>
      </c>
      <c r="M35">
        <v>0.65318765831476799</v>
      </c>
      <c r="N35">
        <v>-0.38822595904416024</v>
      </c>
      <c r="O35">
        <v>0.4166081728568376</v>
      </c>
      <c r="P35">
        <v>0.6971953489791558</v>
      </c>
      <c r="Q35">
        <v>-0.44126712851344341</v>
      </c>
      <c r="R35">
        <v>-0.50010681478316599</v>
      </c>
      <c r="S35">
        <v>0.19150364696188249</v>
      </c>
      <c r="T35">
        <v>-0.70677816095461898</v>
      </c>
      <c r="U35">
        <v>-0.70702230903042695</v>
      </c>
      <c r="V35">
        <v>-0.12588885158848839</v>
      </c>
      <c r="W35">
        <v>-9.5431379131443173E-2</v>
      </c>
      <c r="X35">
        <v>0.94787438581499672</v>
      </c>
      <c r="Y35">
        <v>4.5747245704519823E-2</v>
      </c>
      <c r="Z35">
        <v>0.17361980040894798</v>
      </c>
      <c r="AA35">
        <v>0.21189001129184848</v>
      </c>
      <c r="AC35" s="7">
        <v>24</v>
      </c>
      <c r="AD35">
        <f t="shared" si="0"/>
        <v>15.90259025441155</v>
      </c>
      <c r="AE35">
        <f t="shared" si="1"/>
        <v>23.154623376362537</v>
      </c>
      <c r="AF35">
        <f t="shared" si="2"/>
        <v>19.378471679808158</v>
      </c>
      <c r="AG35">
        <f t="shared" si="3"/>
        <v>-1.709610678300546</v>
      </c>
      <c r="AH35">
        <f t="shared" si="4"/>
        <v>-2.5075198819950852</v>
      </c>
      <c r="AI35">
        <f t="shared" si="5"/>
        <v>-1.1360607221564827</v>
      </c>
      <c r="AJ35">
        <f t="shared" si="6"/>
        <v>10.863785198522365</v>
      </c>
      <c r="AK35">
        <f t="shared" si="7"/>
        <v>11.739292337459922</v>
      </c>
      <c r="AL35">
        <f t="shared" si="8"/>
        <v>15.937171942943763</v>
      </c>
      <c r="AM35">
        <f t="shared" si="9"/>
        <v>3.6412730301964382</v>
      </c>
      <c r="AN35">
        <f t="shared" si="10"/>
        <v>18.787209151489055</v>
      </c>
      <c r="AO35">
        <f t="shared" si="11"/>
        <v>4.3961659871801713</v>
      </c>
      <c r="AP35">
        <f t="shared" si="12"/>
        <v>15.517974401467882</v>
      </c>
      <c r="AQ35">
        <f t="shared" si="13"/>
        <v>19.395340796165335</v>
      </c>
      <c r="AR35">
        <f t="shared" si="14"/>
        <v>3.6632028814607693</v>
      </c>
      <c r="AS35">
        <f t="shared" si="15"/>
        <v>2.8501114730447714</v>
      </c>
      <c r="AT35">
        <f t="shared" si="16"/>
        <v>12.407309345204188</v>
      </c>
      <c r="AU35">
        <f t="shared" si="17"/>
        <v>-5.8299262255303574E-3</v>
      </c>
      <c r="AV35">
        <f t="shared" si="18"/>
        <v>-9.20374949696523E-3</v>
      </c>
      <c r="AW35">
        <f t="shared" si="19"/>
        <v>8.0213390923378061</v>
      </c>
      <c r="AX35">
        <f t="shared" si="20"/>
        <v>8.4422235454494086</v>
      </c>
      <c r="AY35">
        <f t="shared" si="21"/>
        <v>22.859413840111916</v>
      </c>
      <c r="AZ35">
        <f t="shared" si="22"/>
        <v>10.393136852157088</v>
      </c>
      <c r="BA35">
        <f t="shared" si="23"/>
        <v>12.160176790571523</v>
      </c>
      <c r="BB35">
        <f t="shared" si="24"/>
        <v>12.689023588369066</v>
      </c>
      <c r="BC35" s="2">
        <f t="shared" si="26"/>
        <v>9.8732644242615617</v>
      </c>
      <c r="BD35">
        <f t="shared" si="27"/>
        <v>62.538616717782169</v>
      </c>
      <c r="BE35">
        <f t="shared" si="28"/>
        <v>7.9081361089565325</v>
      </c>
      <c r="BF35" s="12">
        <f t="shared" si="29"/>
        <v>9.7764500043886606</v>
      </c>
      <c r="BG35">
        <f t="shared" si="30"/>
        <v>9.681441987290107E-2</v>
      </c>
      <c r="BH35">
        <f t="shared" si="31"/>
        <v>9.3730318953263812E-3</v>
      </c>
    </row>
    <row r="36" spans="1:60" x14ac:dyDescent="0.25">
      <c r="A36" s="7">
        <v>25</v>
      </c>
      <c r="B36" s="9">
        <f t="shared" si="25"/>
        <v>10.052551116721588</v>
      </c>
      <c r="C36">
        <v>-0.22843104342783893</v>
      </c>
      <c r="D36">
        <v>0.2474745933408613</v>
      </c>
      <c r="E36">
        <v>-0.18131046479689927</v>
      </c>
      <c r="F36">
        <v>-0.28305917538987391</v>
      </c>
      <c r="G36">
        <v>0.3613696707052827</v>
      </c>
      <c r="H36">
        <v>-0.11386455885494551</v>
      </c>
      <c r="I36">
        <v>0.51078829309976492</v>
      </c>
      <c r="J36">
        <v>-0.67967772453993347</v>
      </c>
      <c r="K36">
        <v>-0.99951170384838406</v>
      </c>
      <c r="L36">
        <v>0.15567491683706169</v>
      </c>
      <c r="M36">
        <v>-0.46372875148777737</v>
      </c>
      <c r="N36">
        <v>-0.44181646168401134</v>
      </c>
      <c r="O36">
        <v>-0.10556352427747429</v>
      </c>
      <c r="P36">
        <v>-9.4607379375588607E-4</v>
      </c>
      <c r="Q36">
        <v>0.38724936674092847</v>
      </c>
      <c r="R36">
        <v>-9.3081453901791011E-3</v>
      </c>
      <c r="S36">
        <v>-0.74590289010284738</v>
      </c>
      <c r="T36">
        <v>-0.891109958189642</v>
      </c>
      <c r="U36">
        <v>1.0406811731314969E-2</v>
      </c>
      <c r="V36">
        <v>0.70445875423444315</v>
      </c>
      <c r="W36">
        <v>-0.96081423383281961</v>
      </c>
      <c r="X36">
        <v>-5.2888576921903185E-2</v>
      </c>
      <c r="Y36">
        <v>0.99774163029877627</v>
      </c>
      <c r="Z36">
        <v>0.9907223731192969</v>
      </c>
      <c r="AA36">
        <v>-0.82586138492996009</v>
      </c>
      <c r="AC36" s="7">
        <v>25</v>
      </c>
      <c r="AD36">
        <f t="shared" si="0"/>
        <v>6.8959177183845828</v>
      </c>
      <c r="AE36">
        <f t="shared" si="1"/>
        <v>13.472342730230578</v>
      </c>
      <c r="AF36">
        <f t="shared" si="2"/>
        <v>7.5470656097716686</v>
      </c>
      <c r="AG36">
        <f t="shared" si="3"/>
        <v>6.1410247614008497</v>
      </c>
      <c r="AH36">
        <f t="shared" si="4"/>
        <v>15.046231286355319</v>
      </c>
      <c r="AI36">
        <f t="shared" si="5"/>
        <v>8.4790842885057742</v>
      </c>
      <c r="AJ36">
        <f t="shared" si="6"/>
        <v>17.111011128473955</v>
      </c>
      <c r="AK36">
        <f t="shared" si="7"/>
        <v>0.66024885695359181</v>
      </c>
      <c r="AL36">
        <f t="shared" si="8"/>
        <v>-3.7594596286271464</v>
      </c>
      <c r="AM36">
        <f t="shared" si="9"/>
        <v>12.203785180170762</v>
      </c>
      <c r="AN36">
        <f t="shared" si="10"/>
        <v>3.6443955405384472</v>
      </c>
      <c r="AO36">
        <f t="shared" si="11"/>
        <v>3.9471961791497998</v>
      </c>
      <c r="AP36">
        <f t="shared" si="12"/>
        <v>8.5937942797345865</v>
      </c>
      <c r="AQ36">
        <f t="shared" si="13"/>
        <v>10.039477551544776</v>
      </c>
      <c r="AR36">
        <f t="shared" si="14"/>
        <v>15.403856553127504</v>
      </c>
      <c r="AS36">
        <f t="shared" si="15"/>
        <v>9.9239241044981039</v>
      </c>
      <c r="AT36">
        <f t="shared" si="16"/>
        <v>-0.25490070542333676</v>
      </c>
      <c r="AU36">
        <f t="shared" si="17"/>
        <v>-2.261482096109706</v>
      </c>
      <c r="AV36">
        <f t="shared" si="18"/>
        <v>10.196360333666533</v>
      </c>
      <c r="AW36">
        <f t="shared" si="19"/>
        <v>19.787296438540306</v>
      </c>
      <c r="AX36">
        <f t="shared" si="20"/>
        <v>-3.2247086401045912</v>
      </c>
      <c r="AY36">
        <f t="shared" si="21"/>
        <v>9.3216966505468335</v>
      </c>
      <c r="AZ36">
        <f t="shared" si="22"/>
        <v>23.840101643352416</v>
      </c>
      <c r="BA36">
        <f t="shared" si="23"/>
        <v>23.743104224298641</v>
      </c>
      <c r="BB36">
        <f t="shared" si="24"/>
        <v>-1.3598278268185222</v>
      </c>
      <c r="BC36" s="2">
        <f t="shared" si="26"/>
        <v>8.6055014464864694</v>
      </c>
      <c r="BD36">
        <f t="shared" si="27"/>
        <v>62.421380617645866</v>
      </c>
      <c r="BE36">
        <f t="shared" si="28"/>
        <v>7.9007202594222932</v>
      </c>
      <c r="BF36" s="12">
        <f t="shared" si="29"/>
        <v>10.064552222686071</v>
      </c>
      <c r="BG36">
        <f t="shared" si="30"/>
        <v>-1.4590507761996019</v>
      </c>
      <c r="BH36">
        <f t="shared" si="31"/>
        <v>2.1288291675286608</v>
      </c>
    </row>
    <row r="37" spans="1:60" x14ac:dyDescent="0.25">
      <c r="A37" s="7">
        <v>26</v>
      </c>
      <c r="B37" s="9">
        <f t="shared" si="25"/>
        <v>10.344135516771349</v>
      </c>
      <c r="C37">
        <v>0.34647663808099605</v>
      </c>
      <c r="D37">
        <v>3.1342509231849114E-2</v>
      </c>
      <c r="E37">
        <v>-0.73888363292336801</v>
      </c>
      <c r="F37">
        <v>4.9653614917447353E-2</v>
      </c>
      <c r="G37">
        <v>-0.74279000213629565</v>
      </c>
      <c r="H37">
        <v>0.89434492019409761</v>
      </c>
      <c r="I37">
        <v>-0.73473311563463239</v>
      </c>
      <c r="J37">
        <v>0.12125003814813695</v>
      </c>
      <c r="K37">
        <v>-0.79961546678060247</v>
      </c>
      <c r="L37">
        <v>-0.6395153660695212</v>
      </c>
      <c r="M37">
        <v>0.67076631977294232</v>
      </c>
      <c r="N37">
        <v>0.4184392834253976</v>
      </c>
      <c r="O37">
        <v>-9.3081453901791011E-3</v>
      </c>
      <c r="P37">
        <v>0.27603991821039453</v>
      </c>
      <c r="Q37">
        <v>-0.93084505752739033</v>
      </c>
      <c r="R37">
        <v>0.77654347361674847</v>
      </c>
      <c r="S37">
        <v>-0.70873134556108286</v>
      </c>
      <c r="T37">
        <v>0.14419995727408663</v>
      </c>
      <c r="U37">
        <v>-0.52916043580431538</v>
      </c>
      <c r="V37">
        <v>-0.39677114169743954</v>
      </c>
      <c r="W37">
        <v>0.56352427747428813</v>
      </c>
      <c r="X37">
        <v>-0.47245704519791254</v>
      </c>
      <c r="Y37">
        <v>0.34977263710440387</v>
      </c>
      <c r="Z37">
        <v>-6.6835535752434172E-3</v>
      </c>
      <c r="AA37">
        <v>-2.6764732810449554E-2</v>
      </c>
      <c r="AC37" s="7">
        <v>26</v>
      </c>
      <c r="AD37">
        <f t="shared" si="0"/>
        <v>15.132012466847504</v>
      </c>
      <c r="AE37">
        <f t="shared" si="1"/>
        <v>10.777250079241904</v>
      </c>
      <c r="AF37">
        <f t="shared" si="2"/>
        <v>0.13368111368020053</v>
      </c>
      <c r="AG37">
        <f t="shared" si="3"/>
        <v>11.030286824599578</v>
      </c>
      <c r="AH37">
        <f t="shared" si="4"/>
        <v>7.9699941337230129E-2</v>
      </c>
      <c r="AI37">
        <f t="shared" si="5"/>
        <v>22.702871887949165</v>
      </c>
      <c r="AJ37">
        <f t="shared" si="6"/>
        <v>0.19103610929460579</v>
      </c>
      <c r="AK37">
        <f t="shared" si="7"/>
        <v>12.019660498948094</v>
      </c>
      <c r="AL37">
        <f t="shared" si="8"/>
        <v>-0.70555742508942565</v>
      </c>
      <c r="AM37">
        <f t="shared" si="9"/>
        <v>1.5068271851545205</v>
      </c>
      <c r="AN37">
        <f t="shared" si="10"/>
        <v>19.613293227131944</v>
      </c>
      <c r="AO37">
        <f t="shared" si="11"/>
        <v>16.126446876103174</v>
      </c>
      <c r="AP37">
        <f t="shared" si="12"/>
        <v>10.215508504547865</v>
      </c>
      <c r="AQ37">
        <f t="shared" si="13"/>
        <v>14.158664453038311</v>
      </c>
      <c r="AR37">
        <f t="shared" si="14"/>
        <v>-2.5189874334861013</v>
      </c>
      <c r="AS37">
        <f t="shared" si="15"/>
        <v>21.07500215948145</v>
      </c>
      <c r="AT37">
        <f t="shared" si="16"/>
        <v>0.55034828770250499</v>
      </c>
      <c r="AU37">
        <f t="shared" si="17"/>
        <v>12.336799886463044</v>
      </c>
      <c r="AV37">
        <f t="shared" si="18"/>
        <v>3.0317953038434462</v>
      </c>
      <c r="AW37">
        <f t="shared" si="19"/>
        <v>4.8612509727794428</v>
      </c>
      <c r="AX37">
        <f t="shared" si="20"/>
        <v>18.131341355153822</v>
      </c>
      <c r="AY37">
        <f t="shared" si="21"/>
        <v>3.8153657586343828</v>
      </c>
      <c r="AZ37">
        <f t="shared" si="22"/>
        <v>15.177559081011887</v>
      </c>
      <c r="BA37">
        <f t="shared" si="23"/>
        <v>10.251777104715798</v>
      </c>
      <c r="BB37">
        <f t="shared" si="24"/>
        <v>9.9742801406402126</v>
      </c>
      <c r="BC37" s="2">
        <f t="shared" si="26"/>
        <v>9.1867285743889813</v>
      </c>
      <c r="BD37">
        <f t="shared" si="27"/>
        <v>57.635598594827002</v>
      </c>
      <c r="BE37">
        <f t="shared" si="28"/>
        <v>7.5918112855119757</v>
      </c>
      <c r="BF37" s="12">
        <f t="shared" si="29"/>
        <v>10.35265444098348</v>
      </c>
      <c r="BG37">
        <f t="shared" si="30"/>
        <v>-1.1659258665944989</v>
      </c>
      <c r="BH37">
        <f t="shared" si="31"/>
        <v>1.3593831263941334</v>
      </c>
    </row>
    <row r="38" spans="1:60" x14ac:dyDescent="0.25">
      <c r="A38" s="7">
        <v>27</v>
      </c>
      <c r="B38" s="9">
        <f t="shared" si="25"/>
        <v>10.635719916821108</v>
      </c>
      <c r="C38">
        <v>0.57792901394695884</v>
      </c>
      <c r="D38">
        <v>0.30185857722708831</v>
      </c>
      <c r="E38">
        <v>3.3265175328835994E-3</v>
      </c>
      <c r="F38">
        <v>0.81682790612506495</v>
      </c>
      <c r="G38">
        <v>8.5146641438031967E-3</v>
      </c>
      <c r="H38">
        <v>0.37974181340983315</v>
      </c>
      <c r="I38">
        <v>-0.10129093295083469</v>
      </c>
      <c r="J38">
        <v>-0.97076326792199463</v>
      </c>
      <c r="K38">
        <v>0.82006286812952056</v>
      </c>
      <c r="L38">
        <v>0.16464735862300484</v>
      </c>
      <c r="M38">
        <v>0.18631550035096289</v>
      </c>
      <c r="N38">
        <v>0.33695486312448497</v>
      </c>
      <c r="O38">
        <v>-0.90752891628772847</v>
      </c>
      <c r="P38">
        <v>0.64012573625904112</v>
      </c>
      <c r="Q38">
        <v>-0.75524155400250248</v>
      </c>
      <c r="R38">
        <v>0.61687063203833126</v>
      </c>
      <c r="S38">
        <v>-0.8435621204260384</v>
      </c>
      <c r="T38">
        <v>-7.1504867702261388E-2</v>
      </c>
      <c r="U38">
        <v>0.36448255867183454</v>
      </c>
      <c r="V38">
        <v>2.6032288583025531E-2</v>
      </c>
      <c r="W38">
        <v>-0.54411450544755402</v>
      </c>
      <c r="X38">
        <v>0.95312356944486831</v>
      </c>
      <c r="Y38">
        <v>-0.98937955870235295</v>
      </c>
      <c r="Z38">
        <v>0.46281319620349737</v>
      </c>
      <c r="AA38">
        <v>0.41416669209875789</v>
      </c>
      <c r="AC38" s="7">
        <v>27</v>
      </c>
      <c r="AD38">
        <f t="shared" si="0"/>
        <v>18.621981328218286</v>
      </c>
      <c r="AE38">
        <f t="shared" si="1"/>
        <v>14.807030664042394</v>
      </c>
      <c r="AF38">
        <f t="shared" si="2"/>
        <v>10.681688258894418</v>
      </c>
      <c r="AG38">
        <f t="shared" si="3"/>
        <v>21.9232673993181</v>
      </c>
      <c r="AH38">
        <f t="shared" si="4"/>
        <v>10.753382003412426</v>
      </c>
      <c r="AI38">
        <f t="shared" si="5"/>
        <v>15.883280287630377</v>
      </c>
      <c r="AJ38">
        <f t="shared" si="6"/>
        <v>9.2360049870842307</v>
      </c>
      <c r="AK38">
        <f t="shared" si="7"/>
        <v>-2.7790231383160755</v>
      </c>
      <c r="AL38">
        <f t="shared" si="8"/>
        <v>21.967970557664621</v>
      </c>
      <c r="AM38">
        <f t="shared" si="9"/>
        <v>12.910941985495542</v>
      </c>
      <c r="AN38">
        <f t="shared" si="10"/>
        <v>13.210368800835459</v>
      </c>
      <c r="AO38">
        <f t="shared" si="11"/>
        <v>15.292017759311271</v>
      </c>
      <c r="AP38">
        <f t="shared" si="12"/>
        <v>-1.9052029110142357</v>
      </c>
      <c r="AQ38">
        <f t="shared" si="13"/>
        <v>19.481462806616527</v>
      </c>
      <c r="AR38">
        <f t="shared" si="14"/>
        <v>0.19921935454376971</v>
      </c>
      <c r="AS38">
        <f t="shared" si="15"/>
        <v>19.160106140012275</v>
      </c>
      <c r="AT38">
        <f t="shared" si="16"/>
        <v>-1.0212612138980877</v>
      </c>
      <c r="AU38">
        <f t="shared" si="17"/>
        <v>9.6476114261993846</v>
      </c>
      <c r="AV38">
        <f t="shared" si="18"/>
        <v>15.672416333165646</v>
      </c>
      <c r="AW38">
        <f t="shared" si="19"/>
        <v>10.995453823137936</v>
      </c>
      <c r="AX38">
        <f t="shared" si="20"/>
        <v>3.1167330285177695</v>
      </c>
      <c r="AY38">
        <f t="shared" si="21"/>
        <v>23.806704240597064</v>
      </c>
      <c r="AZ38">
        <f t="shared" si="22"/>
        <v>-3.0362771627630458</v>
      </c>
      <c r="BA38">
        <f t="shared" si="23"/>
        <v>17.031223655736362</v>
      </c>
      <c r="BB38">
        <f t="shared" si="24"/>
        <v>16.358989368902805</v>
      </c>
      <c r="BC38" s="2">
        <f t="shared" si="26"/>
        <v>11.680643591333808</v>
      </c>
      <c r="BD38">
        <f t="shared" si="27"/>
        <v>67.61353432656729</v>
      </c>
      <c r="BE38">
        <f t="shared" si="28"/>
        <v>8.2227449386787672</v>
      </c>
      <c r="BF38" s="12">
        <f t="shared" si="29"/>
        <v>10.640756659280889</v>
      </c>
      <c r="BG38">
        <f t="shared" si="30"/>
        <v>1.0398869320529194</v>
      </c>
      <c r="BH38">
        <f t="shared" si="31"/>
        <v>1.0813648314544329</v>
      </c>
    </row>
    <row r="39" spans="1:60" x14ac:dyDescent="0.25">
      <c r="A39" s="7">
        <v>28</v>
      </c>
      <c r="B39" s="9">
        <f t="shared" si="25"/>
        <v>10.927304316870869</v>
      </c>
      <c r="C39">
        <v>-0.91100802636799216</v>
      </c>
      <c r="D39">
        <v>0.12149418622394492</v>
      </c>
      <c r="E39">
        <v>0.92223883785515914</v>
      </c>
      <c r="F39">
        <v>0.61723685415204321</v>
      </c>
      <c r="G39">
        <v>0.86455885494552454</v>
      </c>
      <c r="H39">
        <v>0.25376140629291655</v>
      </c>
      <c r="I39">
        <v>0.30906094546342366</v>
      </c>
      <c r="J39">
        <v>0.62541581469161045</v>
      </c>
      <c r="K39">
        <v>-0.22428052613910332</v>
      </c>
      <c r="L39">
        <v>0.38889736625263227</v>
      </c>
      <c r="M39">
        <v>0.26987517929624327</v>
      </c>
      <c r="N39">
        <v>0.72624897000030519</v>
      </c>
      <c r="O39">
        <v>0.2771385845515304</v>
      </c>
      <c r="P39">
        <v>0.21140171514023254</v>
      </c>
      <c r="Q39">
        <v>-0.39243751335184784</v>
      </c>
      <c r="R39">
        <v>-5.8076723532822672E-2</v>
      </c>
      <c r="S39">
        <v>1.0162663655506998E-2</v>
      </c>
      <c r="T39">
        <v>-0.32724997711111792</v>
      </c>
      <c r="U39">
        <v>0.84002197332682282</v>
      </c>
      <c r="V39">
        <v>0.60264900662251653</v>
      </c>
      <c r="W39">
        <v>-0.66698202459791855</v>
      </c>
      <c r="X39">
        <v>0.65251625110629607</v>
      </c>
      <c r="Y39">
        <v>0.46598712118900121</v>
      </c>
      <c r="Z39">
        <v>-0.20108645893734545</v>
      </c>
      <c r="AA39">
        <v>0.21329386272774431</v>
      </c>
      <c r="AC39" s="7">
        <v>28</v>
      </c>
      <c r="AD39">
        <f t="shared" si="0"/>
        <v>-1.6616954925824334</v>
      </c>
      <c r="AE39">
        <f t="shared" si="1"/>
        <v>12.606203122319048</v>
      </c>
      <c r="AF39">
        <f t="shared" si="2"/>
        <v>23.671499996810212</v>
      </c>
      <c r="AG39">
        <f t="shared" si="3"/>
        <v>19.456751274969193</v>
      </c>
      <c r="AH39">
        <f t="shared" si="4"/>
        <v>22.874434248933532</v>
      </c>
      <c r="AI39">
        <f t="shared" si="5"/>
        <v>14.433971879619325</v>
      </c>
      <c r="AJ39">
        <f t="shared" si="6"/>
        <v>15.198142850599508</v>
      </c>
      <c r="AK39">
        <f t="shared" si="7"/>
        <v>19.569774354562284</v>
      </c>
      <c r="AL39">
        <f t="shared" si="8"/>
        <v>7.8280259141482702</v>
      </c>
      <c r="AM39">
        <f t="shared" si="9"/>
        <v>16.301383060358972</v>
      </c>
      <c r="AN39">
        <f t="shared" si="10"/>
        <v>14.656644215534083</v>
      </c>
      <c r="AO39">
        <f t="shared" si="11"/>
        <v>20.963163365665221</v>
      </c>
      <c r="AP39">
        <f t="shared" si="12"/>
        <v>14.757015457859291</v>
      </c>
      <c r="AQ39">
        <f t="shared" si="13"/>
        <v>13.848613542025236</v>
      </c>
      <c r="AR39">
        <f t="shared" si="14"/>
        <v>5.5043051359469466</v>
      </c>
      <c r="AS39">
        <f t="shared" si="15"/>
        <v>10.124756106178106</v>
      </c>
      <c r="AT39">
        <f t="shared" si="16"/>
        <v>11.067739710544378</v>
      </c>
      <c r="AU39">
        <f t="shared" si="17"/>
        <v>6.4051159494202716</v>
      </c>
      <c r="AV39">
        <f t="shared" si="18"/>
        <v>22.535365010154248</v>
      </c>
      <c r="AW39">
        <f t="shared" si="19"/>
        <v>19.255165334500909</v>
      </c>
      <c r="AX39">
        <f t="shared" si="20"/>
        <v>1.7104408672175282</v>
      </c>
      <c r="AY39">
        <f t="shared" si="21"/>
        <v>19.944268737691647</v>
      </c>
      <c r="AZ39">
        <f t="shared" si="22"/>
        <v>17.36666775831479</v>
      </c>
      <c r="BA39">
        <f t="shared" si="23"/>
        <v>8.1485391249346595</v>
      </c>
      <c r="BB39">
        <f t="shared" si="24"/>
        <v>13.874760672378862</v>
      </c>
      <c r="BC39" s="2">
        <f t="shared" si="26"/>
        <v>14.017642087924163</v>
      </c>
      <c r="BD39">
        <f t="shared" si="27"/>
        <v>44.197634886401453</v>
      </c>
      <c r="BE39">
        <f t="shared" si="28"/>
        <v>6.6481301797122967</v>
      </c>
      <c r="BF39" s="12">
        <f t="shared" si="29"/>
        <v>10.9288588775783</v>
      </c>
      <c r="BG39">
        <f t="shared" si="30"/>
        <v>3.0887832103458628</v>
      </c>
      <c r="BH39">
        <f t="shared" si="31"/>
        <v>9.5405817205144938</v>
      </c>
    </row>
    <row r="40" spans="1:60" x14ac:dyDescent="0.25">
      <c r="A40" s="7">
        <v>29</v>
      </c>
      <c r="B40" s="9">
        <f t="shared" si="25"/>
        <v>11.218888716920628</v>
      </c>
      <c r="C40">
        <v>0.53007599108859527</v>
      </c>
      <c r="D40">
        <v>-0.49949644459364606</v>
      </c>
      <c r="E40">
        <v>2.5482955412457597E-2</v>
      </c>
      <c r="F40">
        <v>-0.45329142124698629</v>
      </c>
      <c r="G40">
        <v>0.47880489516891989</v>
      </c>
      <c r="H40">
        <v>-0.15744499038666948</v>
      </c>
      <c r="I40">
        <v>0.32895901364177371</v>
      </c>
      <c r="J40">
        <v>0.96380504776146725</v>
      </c>
      <c r="K40">
        <v>0.29544969023712886</v>
      </c>
      <c r="L40">
        <v>-0.9634388256477554</v>
      </c>
      <c r="M40">
        <v>0.27207251197851501</v>
      </c>
      <c r="N40">
        <v>0.18778038880581072</v>
      </c>
      <c r="O40">
        <v>0.57695242164372695</v>
      </c>
      <c r="P40">
        <v>0.99188207647938476</v>
      </c>
      <c r="Q40">
        <v>2.6398510696737487E-2</v>
      </c>
      <c r="R40">
        <v>5.4628131962035642E-3</v>
      </c>
      <c r="S40">
        <v>5.7710501419110605E-2</v>
      </c>
      <c r="T40">
        <v>-0.77910702841273238</v>
      </c>
      <c r="U40">
        <v>0.90716269417401652</v>
      </c>
      <c r="V40">
        <v>-8.621478926969206E-2</v>
      </c>
      <c r="W40">
        <v>0.91955320902127147</v>
      </c>
      <c r="X40">
        <v>0.15994750816370118</v>
      </c>
      <c r="Y40">
        <v>-0.33896908474990084</v>
      </c>
      <c r="Z40">
        <v>0.50523392437513359</v>
      </c>
      <c r="AA40">
        <v>-0.11362041077913754</v>
      </c>
      <c r="AC40" s="7">
        <v>29</v>
      </c>
      <c r="AD40">
        <f t="shared" si="0"/>
        <v>18.543880767116413</v>
      </c>
      <c r="AE40">
        <f t="shared" si="1"/>
        <v>4.3164680314721604</v>
      </c>
      <c r="AF40">
        <f t="shared" si="2"/>
        <v>11.571031520876726</v>
      </c>
      <c r="AG40">
        <f t="shared" si="3"/>
        <v>4.9549640855913628</v>
      </c>
      <c r="AH40">
        <f t="shared" si="4"/>
        <v>17.835377880114919</v>
      </c>
      <c r="AI40">
        <f t="shared" si="5"/>
        <v>9.0431944347535449</v>
      </c>
      <c r="AJ40">
        <f t="shared" si="6"/>
        <v>15.764693847271273</v>
      </c>
      <c r="AK40">
        <f t="shared" si="7"/>
        <v>24.537477808821894</v>
      </c>
      <c r="AL40">
        <f t="shared" si="8"/>
        <v>15.301636603266727</v>
      </c>
      <c r="AM40">
        <f t="shared" si="9"/>
        <v>-2.0946396400734866</v>
      </c>
      <c r="AN40">
        <f t="shared" si="10"/>
        <v>14.978593025026761</v>
      </c>
      <c r="AO40">
        <f t="shared" si="11"/>
        <v>13.813780540563593</v>
      </c>
      <c r="AP40">
        <f t="shared" si="12"/>
        <v>19.191654835232065</v>
      </c>
      <c r="AQ40">
        <f t="shared" si="13"/>
        <v>24.925467485036997</v>
      </c>
      <c r="AR40">
        <f t="shared" si="14"/>
        <v>11.58368335814461</v>
      </c>
      <c r="AS40">
        <f t="shared" si="15"/>
        <v>11.294378012619001</v>
      </c>
      <c r="AT40">
        <f t="shared" si="16"/>
        <v>12.016376192706234</v>
      </c>
      <c r="AU40">
        <f t="shared" si="17"/>
        <v>0.45259692986044975</v>
      </c>
      <c r="AV40">
        <f t="shared" si="18"/>
        <v>23.754750809848815</v>
      </c>
      <c r="AW40">
        <f t="shared" si="19"/>
        <v>10.027507374194904</v>
      </c>
      <c r="AX40">
        <f t="shared" si="20"/>
        <v>23.925972340874178</v>
      </c>
      <c r="AY40">
        <f t="shared" si="21"/>
        <v>13.429164687619924</v>
      </c>
      <c r="AZ40">
        <f t="shared" si="22"/>
        <v>6.5347568324411185</v>
      </c>
      <c r="BA40">
        <f t="shared" si="23"/>
        <v>18.200594249247835</v>
      </c>
      <c r="BB40">
        <f t="shared" si="24"/>
        <v>9.6487957119762484</v>
      </c>
      <c r="BC40" s="2">
        <f t="shared" si="26"/>
        <v>13.342086308984172</v>
      </c>
      <c r="BD40">
        <f t="shared" si="27"/>
        <v>52.312709805335508</v>
      </c>
      <c r="BE40">
        <f t="shared" si="28"/>
        <v>7.2327525745967218</v>
      </c>
      <c r="BF40" s="12">
        <f t="shared" si="29"/>
        <v>11.216961095875707</v>
      </c>
      <c r="BG40">
        <f t="shared" si="30"/>
        <v>2.1251252131084648</v>
      </c>
      <c r="BH40">
        <f t="shared" si="31"/>
        <v>4.5161571713892981</v>
      </c>
    </row>
    <row r="41" spans="1:60" x14ac:dyDescent="0.25">
      <c r="A41" s="7">
        <v>30</v>
      </c>
      <c r="B41" s="9">
        <f t="shared" si="25"/>
        <v>11.510473116970388</v>
      </c>
      <c r="C41">
        <v>-0.86596270638142037</v>
      </c>
      <c r="D41">
        <v>0.82171086764122436</v>
      </c>
      <c r="E41">
        <v>-0.3469649342326121</v>
      </c>
      <c r="F41">
        <v>-8.2918790246284346E-2</v>
      </c>
      <c r="G41">
        <v>0.52952665791802733</v>
      </c>
      <c r="H41">
        <v>0.44254890591143536</v>
      </c>
      <c r="I41">
        <v>0.56089968565935244</v>
      </c>
      <c r="J41">
        <v>0.30814539017914355</v>
      </c>
      <c r="K41">
        <v>0.73491622669148837</v>
      </c>
      <c r="L41">
        <v>-0.47764519180883203</v>
      </c>
      <c r="M41">
        <v>0.73735770744956808</v>
      </c>
      <c r="N41">
        <v>1.9257179479354125E-2</v>
      </c>
      <c r="O41">
        <v>-0.58470412305063024</v>
      </c>
      <c r="P41">
        <v>0.43412579729606016</v>
      </c>
      <c r="Q41">
        <v>-4.0925321207312182E-2</v>
      </c>
      <c r="R41">
        <v>3.3722952970976827E-2</v>
      </c>
      <c r="S41">
        <v>-0.31955931272316662</v>
      </c>
      <c r="T41">
        <v>0.67027802362132638</v>
      </c>
      <c r="U41">
        <v>0.28495132297738568</v>
      </c>
      <c r="V41">
        <v>-0.43321024201178016</v>
      </c>
      <c r="W41">
        <v>0.70970793786431474</v>
      </c>
      <c r="X41">
        <v>-0.78301339762565991</v>
      </c>
      <c r="Y41">
        <v>0.18289742728965108</v>
      </c>
      <c r="Z41">
        <v>-6.5950498977629946E-2</v>
      </c>
      <c r="AA41">
        <v>-0.60307626575518047</v>
      </c>
      <c r="AC41" s="7">
        <v>30</v>
      </c>
      <c r="AD41">
        <f t="shared" si="0"/>
        <v>-0.45605629890303057</v>
      </c>
      <c r="AE41">
        <f t="shared" si="1"/>
        <v>22.86549706489609</v>
      </c>
      <c r="AF41">
        <f t="shared" si="2"/>
        <v>6.7158485203513605</v>
      </c>
      <c r="AG41">
        <f t="shared" si="3"/>
        <v>10.364638388409046</v>
      </c>
      <c r="AH41">
        <f t="shared" si="4"/>
        <v>18.827874064805442</v>
      </c>
      <c r="AI41">
        <f t="shared" si="5"/>
        <v>17.625949524356486</v>
      </c>
      <c r="AJ41">
        <f t="shared" si="6"/>
        <v>19.261410355184928</v>
      </c>
      <c r="AK41">
        <f t="shared" si="7"/>
        <v>15.768659813431142</v>
      </c>
      <c r="AL41">
        <f t="shared" si="8"/>
        <v>21.666102891900707</v>
      </c>
      <c r="AM41">
        <f t="shared" si="9"/>
        <v>4.910009614315415</v>
      </c>
      <c r="AN41">
        <f t="shared" si="10"/>
        <v>21.699841124615062</v>
      </c>
      <c r="AO41">
        <f t="shared" si="11"/>
        <v>11.776583427504876</v>
      </c>
      <c r="AP41">
        <f t="shared" si="12"/>
        <v>3.4305881097908699</v>
      </c>
      <c r="AQ41">
        <f t="shared" si="13"/>
        <v>17.509552621491956</v>
      </c>
      <c r="AR41">
        <f t="shared" si="14"/>
        <v>10.944935991095983</v>
      </c>
      <c r="AS41">
        <f t="shared" si="15"/>
        <v>11.97648245633744</v>
      </c>
      <c r="AT41">
        <f t="shared" si="16"/>
        <v>7.0945601825700155</v>
      </c>
      <c r="AU41">
        <f t="shared" si="17"/>
        <v>20.772883180788114</v>
      </c>
      <c r="AV41">
        <f t="shared" si="18"/>
        <v>15.448146602644751</v>
      </c>
      <c r="AW41">
        <f t="shared" si="19"/>
        <v>5.5240454497167075</v>
      </c>
      <c r="AX41">
        <f t="shared" si="20"/>
        <v>21.317755639124975</v>
      </c>
      <c r="AY41">
        <f t="shared" si="21"/>
        <v>0.69020015756724185</v>
      </c>
      <c r="AZ41">
        <f t="shared" si="22"/>
        <v>14.037888475184639</v>
      </c>
      <c r="BA41">
        <f t="shared" si="23"/>
        <v>10.599119105773825</v>
      </c>
      <c r="BB41">
        <f t="shared" si="24"/>
        <v>3.1767079086153363</v>
      </c>
      <c r="BC41" s="2">
        <f t="shared" si="26"/>
        <v>12.541968974862773</v>
      </c>
      <c r="BD41">
        <f t="shared" si="27"/>
        <v>51.581769529671909</v>
      </c>
      <c r="BE41">
        <f t="shared" si="28"/>
        <v>7.1820449406608358</v>
      </c>
      <c r="BF41" s="12">
        <f t="shared" si="29"/>
        <v>11.505063314173118</v>
      </c>
      <c r="BG41">
        <f t="shared" si="30"/>
        <v>1.036905660689655</v>
      </c>
      <c r="BH41">
        <f t="shared" si="31"/>
        <v>1.0751733491702498</v>
      </c>
    </row>
    <row r="42" spans="1:60" x14ac:dyDescent="0.25">
      <c r="A42" s="7">
        <v>31</v>
      </c>
      <c r="B42" s="9">
        <f t="shared" si="25"/>
        <v>11.802057517020147</v>
      </c>
      <c r="C42">
        <v>-0.12997833185827201</v>
      </c>
      <c r="D42">
        <v>-0.1667226172673727</v>
      </c>
      <c r="E42">
        <v>0.89263588366344182</v>
      </c>
      <c r="F42">
        <v>0.57750175481429489</v>
      </c>
      <c r="G42">
        <v>0.80419324320200203</v>
      </c>
      <c r="H42">
        <v>-0.33024079103976567</v>
      </c>
      <c r="I42">
        <v>-0.73290200506607261</v>
      </c>
      <c r="J42">
        <v>0.39939573351237523</v>
      </c>
      <c r="K42">
        <v>0.70915860469374681</v>
      </c>
      <c r="L42">
        <v>-0.77825251014740437</v>
      </c>
      <c r="M42">
        <v>0.67381817072054195</v>
      </c>
      <c r="N42">
        <v>0.40171514023255095</v>
      </c>
      <c r="O42">
        <v>0.80468153935361797</v>
      </c>
      <c r="P42">
        <v>0.31931516464735865</v>
      </c>
      <c r="Q42">
        <v>0.15445417645802184</v>
      </c>
      <c r="R42">
        <v>0.86248359630115656</v>
      </c>
      <c r="S42">
        <v>-0.95336771752067628</v>
      </c>
      <c r="T42">
        <v>-0.27536851100192261</v>
      </c>
      <c r="U42">
        <v>0.53300576799829091</v>
      </c>
      <c r="V42">
        <v>0.97857600634784991</v>
      </c>
      <c r="W42">
        <v>-0.16251106295968509</v>
      </c>
      <c r="X42">
        <v>-0.74889370403149513</v>
      </c>
      <c r="Y42">
        <v>0.30759605700857562</v>
      </c>
      <c r="Z42">
        <v>0.44035157322916341</v>
      </c>
      <c r="AA42">
        <v>-0.44755394146549887</v>
      </c>
      <c r="AC42" s="7">
        <v>31</v>
      </c>
      <c r="AD42">
        <f t="shared" si="0"/>
        <v>10.005918352889578</v>
      </c>
      <c r="AE42">
        <f t="shared" si="1"/>
        <v>9.4981579505385092</v>
      </c>
      <c r="AF42">
        <f t="shared" si="2"/>
        <v>24.137177125297914</v>
      </c>
      <c r="AG42">
        <f t="shared" si="3"/>
        <v>19.782414737692314</v>
      </c>
      <c r="AH42">
        <f t="shared" si="4"/>
        <v>22.915009645220341</v>
      </c>
      <c r="AI42">
        <f t="shared" si="5"/>
        <v>7.2385398144944633</v>
      </c>
      <c r="AJ42">
        <f t="shared" si="6"/>
        <v>1.6742617840791709</v>
      </c>
      <c r="AK42">
        <f t="shared" si="7"/>
        <v>17.321210661179986</v>
      </c>
      <c r="AL42">
        <f t="shared" si="8"/>
        <v>21.601748936814005</v>
      </c>
      <c r="AM42">
        <f t="shared" si="9"/>
        <v>1.047574111409995</v>
      </c>
      <c r="AN42">
        <f t="shared" si="10"/>
        <v>21.113388018273689</v>
      </c>
      <c r="AO42">
        <f t="shared" si="11"/>
        <v>17.353261982258623</v>
      </c>
      <c r="AP42">
        <f t="shared" si="12"/>
        <v>22.92175729176321</v>
      </c>
      <c r="AQ42">
        <f t="shared" si="13"/>
        <v>16.214596628149085</v>
      </c>
      <c r="AR42">
        <f t="shared" si="14"/>
        <v>13.936422464112143</v>
      </c>
      <c r="AS42">
        <f t="shared" si="15"/>
        <v>23.720509951275609</v>
      </c>
      <c r="AT42">
        <f t="shared" si="16"/>
        <v>-1.3723006300272438</v>
      </c>
      <c r="AU42">
        <f t="shared" si="17"/>
        <v>7.996806594749633</v>
      </c>
      <c r="AV42">
        <f t="shared" si="18"/>
        <v>19.16753544647316</v>
      </c>
      <c r="AW42">
        <f t="shared" si="19"/>
        <v>25.32476291684327</v>
      </c>
      <c r="AX42">
        <f t="shared" si="20"/>
        <v>9.5563564019707741</v>
      </c>
      <c r="AY42">
        <f t="shared" si="21"/>
        <v>1.4532763598001353</v>
      </c>
      <c r="AZ42">
        <f t="shared" si="22"/>
        <v>16.052653111120172</v>
      </c>
      <c r="BA42">
        <f t="shared" si="23"/>
        <v>17.887169514963318</v>
      </c>
      <c r="BB42">
        <f t="shared" si="24"/>
        <v>5.6174177325696197</v>
      </c>
      <c r="BC42" s="2">
        <f t="shared" si="26"/>
        <v>14.086625076156459</v>
      </c>
      <c r="BD42">
        <f t="shared" si="27"/>
        <v>67.534479873001786</v>
      </c>
      <c r="BE42">
        <f t="shared" si="28"/>
        <v>8.217936472923224</v>
      </c>
      <c r="BF42" s="12">
        <f t="shared" si="29"/>
        <v>11.793165532470528</v>
      </c>
      <c r="BG42">
        <f t="shared" si="30"/>
        <v>2.2934595436859304</v>
      </c>
      <c r="BH42">
        <f t="shared" si="31"/>
        <v>5.2599566785240759</v>
      </c>
    </row>
    <row r="43" spans="1:60" x14ac:dyDescent="0.25">
      <c r="A43" s="7">
        <v>32</v>
      </c>
      <c r="B43" s="9">
        <f t="shared" si="25"/>
        <v>12.093641917069908</v>
      </c>
      <c r="C43">
        <v>0.4337595751823482</v>
      </c>
      <c r="D43">
        <v>-0.11014130069887385</v>
      </c>
      <c r="E43">
        <v>-3.7018951994384541E-2</v>
      </c>
      <c r="F43">
        <v>-0.80437635425885801</v>
      </c>
      <c r="G43">
        <v>-0.18753624073000275</v>
      </c>
      <c r="H43">
        <v>4.7914059877316451E-3</v>
      </c>
      <c r="I43">
        <v>-0.66252632221442309</v>
      </c>
      <c r="J43">
        <v>0.49638355662709444</v>
      </c>
      <c r="K43">
        <v>-0.10855433820612204</v>
      </c>
      <c r="L43">
        <v>-0.93719290749839779</v>
      </c>
      <c r="M43">
        <v>0.56389049958800008</v>
      </c>
      <c r="N43">
        <v>0.76042970061342197</v>
      </c>
      <c r="O43">
        <v>-0.16354869228186897</v>
      </c>
      <c r="P43">
        <v>-0.68254646443067712</v>
      </c>
      <c r="Q43">
        <v>0.62858973967711407</v>
      </c>
      <c r="R43">
        <v>0.78698080385753966</v>
      </c>
      <c r="S43">
        <v>0.97326578569902655</v>
      </c>
      <c r="T43">
        <v>0.62053285317545082</v>
      </c>
      <c r="U43">
        <v>-0.51066621906186094</v>
      </c>
      <c r="V43">
        <v>-0.83489486373485522</v>
      </c>
      <c r="W43">
        <v>-0.85070345164342176</v>
      </c>
      <c r="X43">
        <v>-0.41306802575762203</v>
      </c>
      <c r="Y43">
        <v>-0.17099520859401229</v>
      </c>
      <c r="Z43">
        <v>-0.73906674398022398</v>
      </c>
      <c r="AA43">
        <v>-0.97924741355632194</v>
      </c>
      <c r="AC43" s="7">
        <v>32</v>
      </c>
      <c r="AD43">
        <f t="shared" si="0"/>
        <v>18.08766068668432</v>
      </c>
      <c r="AE43">
        <f t="shared" si="1"/>
        <v>10.571625893743487</v>
      </c>
      <c r="AF43">
        <f t="shared" si="2"/>
        <v>11.582085963538473</v>
      </c>
      <c r="AG43">
        <f t="shared" si="3"/>
        <v>0.9781594214161391</v>
      </c>
      <c r="AH43">
        <f t="shared" si="4"/>
        <v>9.5021239166983786</v>
      </c>
      <c r="AI43">
        <f t="shared" si="5"/>
        <v>12.159853198771835</v>
      </c>
      <c r="AJ43">
        <f t="shared" si="6"/>
        <v>2.9383507421202673</v>
      </c>
      <c r="AK43">
        <f t="shared" si="7"/>
        <v>18.953046355807572</v>
      </c>
      <c r="AL43">
        <f t="shared" si="8"/>
        <v>10.593555745007819</v>
      </c>
      <c r="AM43">
        <f t="shared" si="9"/>
        <v>-0.85720043824487036</v>
      </c>
      <c r="AN43">
        <f t="shared" si="10"/>
        <v>19.885908490359533</v>
      </c>
      <c r="AO43">
        <f t="shared" si="11"/>
        <v>22.601836223865256</v>
      </c>
      <c r="AP43">
        <f t="shared" si="12"/>
        <v>9.8336020531169339</v>
      </c>
      <c r="AQ43">
        <f t="shared" si="13"/>
        <v>2.661697233862542</v>
      </c>
      <c r="AR43">
        <f t="shared" si="14"/>
        <v>20.779971657289988</v>
      </c>
      <c r="AS43">
        <f t="shared" si="15"/>
        <v>22.968739504633888</v>
      </c>
      <c r="AT43">
        <f t="shared" si="16"/>
        <v>25.54296666073931</v>
      </c>
      <c r="AU43">
        <f t="shared" si="17"/>
        <v>20.668635489332608</v>
      </c>
      <c r="AV43">
        <f t="shared" si="18"/>
        <v>5.0368688169532598</v>
      </c>
      <c r="AW43">
        <f t="shared" si="19"/>
        <v>0.55643151248667877</v>
      </c>
      <c r="AX43">
        <f t="shared" si="20"/>
        <v>0.33797645566121837</v>
      </c>
      <c r="AY43">
        <f t="shared" si="21"/>
        <v>6.3855546697096708</v>
      </c>
      <c r="AZ43">
        <f t="shared" si="22"/>
        <v>9.7307004433381454</v>
      </c>
      <c r="BA43">
        <f t="shared" si="23"/>
        <v>1.8806571465251825</v>
      </c>
      <c r="BB43">
        <f t="shared" si="24"/>
        <v>-1.4383414967496666</v>
      </c>
      <c r="BC43" s="2">
        <f t="shared" si="26"/>
        <v>10.477698653866721</v>
      </c>
      <c r="BD43">
        <f t="shared" si="27"/>
        <v>73.515687744890258</v>
      </c>
      <c r="BE43">
        <f t="shared" si="28"/>
        <v>8.5741289787878898</v>
      </c>
      <c r="BF43" s="12">
        <f t="shared" si="29"/>
        <v>12.081267750767935</v>
      </c>
      <c r="BG43">
        <f t="shared" si="30"/>
        <v>-1.6035690969012144</v>
      </c>
      <c r="BH43">
        <f t="shared" si="31"/>
        <v>2.5714338485365764</v>
      </c>
    </row>
    <row r="44" spans="1:60" x14ac:dyDescent="0.25">
      <c r="A44" s="7">
        <v>33</v>
      </c>
      <c r="B44" s="9">
        <f t="shared" si="25"/>
        <v>12.385226317119669</v>
      </c>
      <c r="C44">
        <v>0.98339793084505756</v>
      </c>
      <c r="D44">
        <v>0.14206366161076689</v>
      </c>
      <c r="E44">
        <v>0.20944853053376877</v>
      </c>
      <c r="F44">
        <v>0.32865382854701375</v>
      </c>
      <c r="G44">
        <v>-0.84936063722647792</v>
      </c>
      <c r="H44">
        <v>-0.28482924893948181</v>
      </c>
      <c r="I44">
        <v>0.22202215643787948</v>
      </c>
      <c r="J44">
        <v>-0.7754448072756126</v>
      </c>
      <c r="K44">
        <v>0.27518539994506663</v>
      </c>
      <c r="L44">
        <v>-0.9353007599108859</v>
      </c>
      <c r="M44">
        <v>-0.47660756248664815</v>
      </c>
      <c r="N44">
        <v>0.71117282631916257</v>
      </c>
      <c r="O44">
        <v>-0.68083742790002133</v>
      </c>
      <c r="P44">
        <v>0.39469588305307179</v>
      </c>
      <c r="Q44">
        <v>-0.77007354960783714</v>
      </c>
      <c r="R44">
        <v>-0.74321726126895959</v>
      </c>
      <c r="S44">
        <v>0.42478713339640484</v>
      </c>
      <c r="T44">
        <v>-0.36484878078554639</v>
      </c>
      <c r="U44">
        <v>-0.51860103152562032</v>
      </c>
      <c r="V44">
        <v>-0.34983367412335586</v>
      </c>
      <c r="W44">
        <v>0.60240485854670855</v>
      </c>
      <c r="X44">
        <v>0.62688070314645827</v>
      </c>
      <c r="Y44">
        <v>-0.86034730063783682</v>
      </c>
      <c r="Z44">
        <v>-0.84588152714621412</v>
      </c>
      <c r="AA44">
        <v>-0.48271126438184764</v>
      </c>
      <c r="AC44" s="7">
        <v>33</v>
      </c>
      <c r="AD44">
        <f t="shared" ref="AD44:AD75" si="32">$B44+$G$7*C44</f>
        <v>25.974564726553648</v>
      </c>
      <c r="AE44">
        <f t="shared" ref="AE44:AE75" si="33">$B44+$G$7*D44</f>
        <v>14.348369733186303</v>
      </c>
      <c r="AF44">
        <f t="shared" ref="AF44:AF75" si="34">$B44+$G$7*E44</f>
        <v>15.279544956102551</v>
      </c>
      <c r="AG44">
        <f t="shared" ref="AG44:AG75" si="35">$B44+$G$7*F44</f>
        <v>16.926814168381021</v>
      </c>
      <c r="AH44">
        <f t="shared" ref="AH44:AH75" si="36">$B44+$G$7*G44</f>
        <v>0.64811688370387444</v>
      </c>
      <c r="AI44">
        <f t="shared" ref="AI44:AI75" si="37">$B44+$G$7*H44</f>
        <v>8.4492397430810211</v>
      </c>
      <c r="AJ44">
        <f t="shared" ref="AJ44:AJ75" si="38">$B44+$G$7*I44</f>
        <v>15.453296854581486</v>
      </c>
      <c r="AK44">
        <f t="shared" ref="AK44:AK75" si="39">$B44+$G$7*J44</f>
        <v>1.6695418791310281</v>
      </c>
      <c r="AL44">
        <f t="shared" ref="AL44:AL75" si="40">$B44+$G$7*K44</f>
        <v>16.187946871936607</v>
      </c>
      <c r="AM44">
        <f t="shared" ref="AM44:AM75" si="41">$B44+$G$7*L44</f>
        <v>-0.53946890784148316</v>
      </c>
      <c r="AN44">
        <f t="shared" ref="AN44:AN75" si="42">$B44+$G$7*M44</f>
        <v>5.7991015633682963</v>
      </c>
      <c r="AO44">
        <f t="shared" ref="AO44:AO75" si="43">$B44+$G$7*N44</f>
        <v>22.21275177890287</v>
      </c>
      <c r="AP44">
        <f t="shared" ref="AP44:AP75" si="44">$B44+$G$7*O44</f>
        <v>2.9768983968123521</v>
      </c>
      <c r="AQ44">
        <f t="shared" ref="AQ44:AQ75" si="45">$B44+$G$7*P44</f>
        <v>17.839433363304373</v>
      </c>
      <c r="AR44">
        <f t="shared" ref="AR44:AR75" si="46">$B44+$G$7*Q44</f>
        <v>1.7437659911026113</v>
      </c>
      <c r="AS44">
        <f t="shared" ref="AS44:AS75" si="47">$B44+$G$7*R44</f>
        <v>2.1148865509605361</v>
      </c>
      <c r="AT44">
        <f t="shared" ref="AT44:AT75" si="48">$B44+$G$7*S44</f>
        <v>18.255257081508816</v>
      </c>
      <c r="AU44">
        <f t="shared" ref="AU44:AU75" si="49">$B44+$G$7*T44</f>
        <v>7.3434691658679787</v>
      </c>
      <c r="AV44">
        <f t="shared" ref="AV44:AV75" si="50">$B44+$G$7*U44</f>
        <v>5.2188039606813597</v>
      </c>
      <c r="AW44">
        <f t="shared" ref="AW44:AW75" si="51">$B44+$G$7*V44</f>
        <v>7.5509592970612713</v>
      </c>
      <c r="AX44">
        <f t="shared" ref="AX44:AX75" si="52">$B44+$G$7*W44</f>
        <v>20.709713511478274</v>
      </c>
      <c r="AY44">
        <f t="shared" ref="AY44:AY75" si="53">$B44+$G$7*X44</f>
        <v>21.047939294439701</v>
      </c>
      <c r="AZ44">
        <f t="shared" ref="AZ44:AZ75" si="54">$B44+$G$7*Y44</f>
        <v>0.49629483648926964</v>
      </c>
      <c r="BA44">
        <f t="shared" ref="BA44:BA75" si="55">$B44+$G$7*Z44</f>
        <v>0.69619386532183469</v>
      </c>
      <c r="BB44">
        <f t="shared" ref="BB44:BB75" si="56">$B44+$G$7*AA44</f>
        <v>5.7147559815824041</v>
      </c>
      <c r="BC44" s="2">
        <f t="shared" si="26"/>
        <v>10.164727661907921</v>
      </c>
      <c r="BD44">
        <f t="shared" si="27"/>
        <v>67.984296513453558</v>
      </c>
      <c r="BE44">
        <f t="shared" si="28"/>
        <v>8.2452590325261195</v>
      </c>
      <c r="BF44" s="12">
        <f t="shared" si="29"/>
        <v>12.369369969065346</v>
      </c>
      <c r="BG44">
        <f t="shared" si="30"/>
        <v>-2.2046423071574246</v>
      </c>
      <c r="BH44">
        <f t="shared" si="31"/>
        <v>4.8604477025084121</v>
      </c>
    </row>
    <row r="45" spans="1:60" x14ac:dyDescent="0.25">
      <c r="A45" s="7">
        <v>34</v>
      </c>
      <c r="B45" s="9">
        <f t="shared" si="25"/>
        <v>12.676810717169428</v>
      </c>
      <c r="C45">
        <v>-0.98840296639912106</v>
      </c>
      <c r="D45">
        <v>0.36613055818353835</v>
      </c>
      <c r="E45">
        <v>-0.97613452558977021</v>
      </c>
      <c r="F45">
        <v>-0.8137760551774651</v>
      </c>
      <c r="G45">
        <v>0.39292580950346379</v>
      </c>
      <c r="H45">
        <v>0.39042329172643209</v>
      </c>
      <c r="I45">
        <v>0.45060579241309862</v>
      </c>
      <c r="J45">
        <v>0.39622180852687161</v>
      </c>
      <c r="K45">
        <v>0.32828760643330179</v>
      </c>
      <c r="L45">
        <v>-0.21701712088381608</v>
      </c>
      <c r="M45">
        <v>0.99298074282052062</v>
      </c>
      <c r="N45">
        <v>-0.34080019531846062</v>
      </c>
      <c r="O45">
        <v>0.71629993591113017</v>
      </c>
      <c r="P45">
        <v>-0.45542771691030615</v>
      </c>
      <c r="Q45">
        <v>0.56028931546983252</v>
      </c>
      <c r="R45">
        <v>-0.48576311532944727</v>
      </c>
      <c r="S45">
        <v>0.14047669911801508</v>
      </c>
      <c r="T45">
        <v>0.3238929410687581</v>
      </c>
      <c r="U45">
        <v>-0.99188207647938476</v>
      </c>
      <c r="V45">
        <v>-1.0895107882931021E-2</v>
      </c>
      <c r="W45">
        <v>0.7330240791039766</v>
      </c>
      <c r="X45">
        <v>7.7120273445844933E-2</v>
      </c>
      <c r="Y45">
        <v>0.41032135990478236</v>
      </c>
      <c r="Z45">
        <v>3.5615100558488821E-2</v>
      </c>
      <c r="AA45">
        <v>-0.880062257759331</v>
      </c>
      <c r="AC45" s="7">
        <v>34</v>
      </c>
      <c r="AD45">
        <f t="shared" si="32"/>
        <v>-0.98169106932898309</v>
      </c>
      <c r="AE45">
        <f t="shared" si="33"/>
        <v>17.736280440596154</v>
      </c>
      <c r="AF45">
        <f t="shared" si="34"/>
        <v>-0.81215644993934077</v>
      </c>
      <c r="AG45">
        <f t="shared" si="35"/>
        <v>1.4314360255653842</v>
      </c>
      <c r="AH45">
        <f t="shared" si="36"/>
        <v>18.106557544636221</v>
      </c>
      <c r="AI45">
        <f t="shared" si="37"/>
        <v>18.071975856104004</v>
      </c>
      <c r="AJ45">
        <f t="shared" si="38"/>
        <v>18.903623292512901</v>
      </c>
      <c r="AK45">
        <f t="shared" si="39"/>
        <v>18.152104158800604</v>
      </c>
      <c r="AL45">
        <f t="shared" si="40"/>
        <v>17.213337833523624</v>
      </c>
      <c r="AM45">
        <f t="shared" si="41"/>
        <v>9.6779035567720388</v>
      </c>
      <c r="AN45">
        <f t="shared" si="42"/>
        <v>26.398571690007259</v>
      </c>
      <c r="AO45">
        <f t="shared" si="43"/>
        <v>7.9673751581541516</v>
      </c>
      <c r="AP45">
        <f t="shared" si="44"/>
        <v>22.575186467652777</v>
      </c>
      <c r="AQ45">
        <f t="shared" si="45"/>
        <v>6.3833651322150997</v>
      </c>
      <c r="AR45">
        <f t="shared" si="46"/>
        <v>20.419313397205379</v>
      </c>
      <c r="AS45">
        <f t="shared" si="47"/>
        <v>5.9641675907392182</v>
      </c>
      <c r="AT45">
        <f t="shared" si="48"/>
        <v>14.618024281971731</v>
      </c>
      <c r="AU45">
        <f t="shared" si="49"/>
        <v>17.152609014637783</v>
      </c>
      <c r="AV45">
        <f t="shared" si="50"/>
        <v>-1.0297680509469416</v>
      </c>
      <c r="AW45">
        <f t="shared" si="51"/>
        <v>12.526253853681609</v>
      </c>
      <c r="AX45">
        <f t="shared" si="52"/>
        <v>22.806293361746121</v>
      </c>
      <c r="AY45">
        <f t="shared" si="53"/>
        <v>13.742517143034172</v>
      </c>
      <c r="AZ45">
        <f t="shared" si="54"/>
        <v>18.346942452726015</v>
      </c>
      <c r="BA45">
        <f t="shared" si="55"/>
        <v>13.168967186890109</v>
      </c>
      <c r="BB45">
        <f t="shared" si="56"/>
        <v>0.51544300737059778</v>
      </c>
      <c r="BC45" s="2">
        <f t="shared" si="26"/>
        <v>12.762185315053104</v>
      </c>
      <c r="BD45">
        <f t="shared" si="27"/>
        <v>67.753387171362235</v>
      </c>
      <c r="BE45">
        <f t="shared" si="28"/>
        <v>8.2312445700126204</v>
      </c>
      <c r="BF45" s="12">
        <f t="shared" si="29"/>
        <v>12.657472187362757</v>
      </c>
      <c r="BG45">
        <f t="shared" si="30"/>
        <v>0.10471312769034746</v>
      </c>
      <c r="BH45">
        <f t="shared" si="31"/>
        <v>1.0964839110695013E-2</v>
      </c>
    </row>
    <row r="46" spans="1:60" x14ac:dyDescent="0.25">
      <c r="A46" s="7">
        <v>35</v>
      </c>
      <c r="B46" s="9">
        <f t="shared" si="25"/>
        <v>12.968395117219188</v>
      </c>
      <c r="C46">
        <v>-0.5187231055635243</v>
      </c>
      <c r="D46">
        <v>6.8514053773613748E-2</v>
      </c>
      <c r="E46">
        <v>0.74925992614520709</v>
      </c>
      <c r="F46">
        <v>1.1810663167211022E-2</v>
      </c>
      <c r="G46">
        <v>-0.5858638264107181</v>
      </c>
      <c r="H46">
        <v>-0.67656483657338173</v>
      </c>
      <c r="I46">
        <v>-0.8129215369121372</v>
      </c>
      <c r="J46">
        <v>2.7466658528396692E-4</v>
      </c>
      <c r="K46">
        <v>-0.18747520371105075</v>
      </c>
      <c r="L46">
        <v>0.22885830256050288</v>
      </c>
      <c r="M46">
        <v>0.59538560136722918</v>
      </c>
      <c r="N46">
        <v>0.12491225928525651</v>
      </c>
      <c r="O46">
        <v>0.22251045258949542</v>
      </c>
      <c r="P46">
        <v>-0.84887234107486187</v>
      </c>
      <c r="Q46">
        <v>-0.14011047700430312</v>
      </c>
      <c r="R46">
        <v>0.77202673421430101</v>
      </c>
      <c r="S46">
        <v>-0.64653462324900057</v>
      </c>
      <c r="T46">
        <v>-0.64220099490340887</v>
      </c>
      <c r="U46">
        <v>-8.0874050111392481E-3</v>
      </c>
      <c r="V46">
        <v>-0.53233436078981899</v>
      </c>
      <c r="W46">
        <v>-5.1606799523911229E-2</v>
      </c>
      <c r="X46">
        <v>-0.34385204626606036</v>
      </c>
      <c r="Y46">
        <v>0.46104312265388958</v>
      </c>
      <c r="Z46">
        <v>-0.87188329721976376</v>
      </c>
      <c r="AA46">
        <v>0.28305917538987391</v>
      </c>
      <c r="AC46" s="7">
        <v>35</v>
      </c>
      <c r="AD46">
        <f t="shared" si="32"/>
        <v>5.800285849145161</v>
      </c>
      <c r="AE46">
        <f t="shared" si="33"/>
        <v>13.915174272765826</v>
      </c>
      <c r="AF46">
        <f t="shared" si="34"/>
        <v>23.322237009346352</v>
      </c>
      <c r="AG46">
        <f t="shared" si="35"/>
        <v>13.131603817974892</v>
      </c>
      <c r="AH46">
        <f t="shared" si="36"/>
        <v>4.8724844495003499</v>
      </c>
      <c r="AI46">
        <f t="shared" si="37"/>
        <v>3.6191091041619963</v>
      </c>
      <c r="AJ46">
        <f t="shared" si="38"/>
        <v>1.7348288070651705</v>
      </c>
      <c r="AK46">
        <f t="shared" si="39"/>
        <v>12.972190668399554</v>
      </c>
      <c r="AL46">
        <f t="shared" si="40"/>
        <v>10.377720572665517</v>
      </c>
      <c r="AM46">
        <f t="shared" si="41"/>
        <v>16.130932706281207</v>
      </c>
      <c r="AN46">
        <f t="shared" si="42"/>
        <v>21.195884892524017</v>
      </c>
      <c r="AO46">
        <f t="shared" si="43"/>
        <v>14.694527448467467</v>
      </c>
      <c r="AP46">
        <f t="shared" si="44"/>
        <v>16.043213301223879</v>
      </c>
      <c r="AQ46">
        <f t="shared" si="45"/>
        <v>1.2380333303462674</v>
      </c>
      <c r="AR46">
        <f t="shared" si="46"/>
        <v>11.032242287324038</v>
      </c>
      <c r="AS46">
        <f t="shared" si="47"/>
        <v>23.636846029407732</v>
      </c>
      <c r="AT46">
        <f t="shared" si="48"/>
        <v>4.0340893665485833</v>
      </c>
      <c r="AU46">
        <f t="shared" si="49"/>
        <v>4.0939747296165692</v>
      </c>
      <c r="AV46">
        <f t="shared" si="50"/>
        <v>12.856637221352882</v>
      </c>
      <c r="AW46">
        <f t="shared" si="51"/>
        <v>5.6121952017626233</v>
      </c>
      <c r="AX46">
        <f t="shared" si="52"/>
        <v>12.255253223219473</v>
      </c>
      <c r="AY46">
        <f t="shared" si="53"/>
        <v>8.2167867673109658</v>
      </c>
      <c r="AZ46">
        <f t="shared" si="54"/>
        <v>19.339438637416535</v>
      </c>
      <c r="BA46">
        <f t="shared" si="55"/>
        <v>0.92005048701345338</v>
      </c>
      <c r="BB46">
        <f t="shared" si="56"/>
        <v>16.879921472539927</v>
      </c>
      <c r="BC46" s="2">
        <f t="shared" si="26"/>
        <v>11.117026466135218</v>
      </c>
      <c r="BD46">
        <f t="shared" si="27"/>
        <v>47.575456824293347</v>
      </c>
      <c r="BE46">
        <f t="shared" si="28"/>
        <v>6.8974964171279822</v>
      </c>
      <c r="BF46" s="12">
        <f t="shared" si="29"/>
        <v>12.945574405660164</v>
      </c>
      <c r="BG46">
        <f t="shared" si="30"/>
        <v>-1.8285479395249453</v>
      </c>
      <c r="BH46">
        <f t="shared" si="31"/>
        <v>3.343587567140923</v>
      </c>
    </row>
    <row r="47" spans="1:60" x14ac:dyDescent="0.25">
      <c r="A47" s="7">
        <v>36</v>
      </c>
      <c r="B47" s="9">
        <f t="shared" si="25"/>
        <v>13.259979517268947</v>
      </c>
      <c r="C47">
        <v>-0.85448774681844542</v>
      </c>
      <c r="D47">
        <v>-0.81121250038148141</v>
      </c>
      <c r="E47">
        <v>-0.67052217169713435</v>
      </c>
      <c r="F47">
        <v>0.60673848689230025</v>
      </c>
      <c r="G47">
        <v>-0.8546098208563494</v>
      </c>
      <c r="H47">
        <v>-0.98510696737571335</v>
      </c>
      <c r="I47">
        <v>0.15945921201208524</v>
      </c>
      <c r="J47">
        <v>-0.16318247016815701</v>
      </c>
      <c r="K47">
        <v>0.36149174474318668</v>
      </c>
      <c r="L47">
        <v>0.4480422376171147</v>
      </c>
      <c r="M47">
        <v>-0.78630939664906763</v>
      </c>
      <c r="N47">
        <v>0.82000183111056857</v>
      </c>
      <c r="O47">
        <v>0.3528855250709555</v>
      </c>
      <c r="P47">
        <v>-0.48496963408307137</v>
      </c>
      <c r="Q47">
        <v>-0.70043031098361164</v>
      </c>
      <c r="R47">
        <v>-0.52848902859584346</v>
      </c>
      <c r="S47">
        <v>-0.63774529251991341</v>
      </c>
      <c r="T47">
        <v>0.51988280892361227</v>
      </c>
      <c r="U47">
        <v>-0.59172338023010962</v>
      </c>
      <c r="V47">
        <v>0.10739463484603418</v>
      </c>
      <c r="W47">
        <v>-0.4277779473250527</v>
      </c>
      <c r="X47">
        <v>0.52537614062929161</v>
      </c>
      <c r="Y47">
        <v>0.52061525315103618</v>
      </c>
      <c r="Z47">
        <v>0.27884762108218641</v>
      </c>
      <c r="AA47">
        <v>-0.15048677022614221</v>
      </c>
      <c r="AC47" s="7">
        <v>36</v>
      </c>
      <c r="AD47">
        <f t="shared" si="32"/>
        <v>1.4520197951530047</v>
      </c>
      <c r="AE47">
        <f t="shared" si="33"/>
        <v>2.0500299700149789</v>
      </c>
      <c r="AF47">
        <f t="shared" si="34"/>
        <v>3.994195630179787</v>
      </c>
      <c r="AG47">
        <f t="shared" si="35"/>
        <v>21.644352074695536</v>
      </c>
      <c r="AH47">
        <f t="shared" si="36"/>
        <v>1.4503328835172873</v>
      </c>
      <c r="AI47">
        <f t="shared" si="37"/>
        <v>-0.35297565506508199</v>
      </c>
      <c r="AJ47">
        <f t="shared" si="38"/>
        <v>15.463507841425372</v>
      </c>
      <c r="AK47">
        <f t="shared" si="39"/>
        <v>11.005000388223126</v>
      </c>
      <c r="AL47">
        <f t="shared" si="40"/>
        <v>18.255346598538395</v>
      </c>
      <c r="AM47">
        <f t="shared" si="41"/>
        <v>19.451366948262343</v>
      </c>
      <c r="AN47">
        <f t="shared" si="42"/>
        <v>2.3941599437014176</v>
      </c>
      <c r="AO47">
        <f t="shared" si="43"/>
        <v>24.591386702294599</v>
      </c>
      <c r="AP47">
        <f t="shared" si="44"/>
        <v>18.136419328220288</v>
      </c>
      <c r="AQ47">
        <f t="shared" si="45"/>
        <v>6.558301316470903</v>
      </c>
      <c r="AR47">
        <f t="shared" si="46"/>
        <v>3.5809022794289156</v>
      </c>
      <c r="AS47">
        <f t="shared" si="47"/>
        <v>5.9569173183374922</v>
      </c>
      <c r="AT47">
        <f t="shared" si="48"/>
        <v>4.4471314043700261</v>
      </c>
      <c r="AU47">
        <f t="shared" si="49"/>
        <v>20.444114445882295</v>
      </c>
      <c r="AV47">
        <f t="shared" si="50"/>
        <v>5.0830970910356523</v>
      </c>
      <c r="AW47">
        <f t="shared" si="51"/>
        <v>14.744040028791716</v>
      </c>
      <c r="AX47">
        <f t="shared" si="52"/>
        <v>7.3486194178047102</v>
      </c>
      <c r="AY47">
        <f t="shared" si="53"/>
        <v>20.520025469489596</v>
      </c>
      <c r="AZ47">
        <f t="shared" si="54"/>
        <v>20.4542359156966</v>
      </c>
      <c r="BA47">
        <f t="shared" si="55"/>
        <v>17.113307421157423</v>
      </c>
      <c r="BB47">
        <f t="shared" si="56"/>
        <v>11.18043919833778</v>
      </c>
      <c r="BC47" s="2">
        <f t="shared" si="26"/>
        <v>11.078650950238567</v>
      </c>
      <c r="BD47">
        <f t="shared" si="27"/>
        <v>63.308282284093082</v>
      </c>
      <c r="BE47">
        <f t="shared" si="28"/>
        <v>7.9566501923920896</v>
      </c>
      <c r="BF47" s="12">
        <f t="shared" si="29"/>
        <v>13.233676623957574</v>
      </c>
      <c r="BG47">
        <f t="shared" si="30"/>
        <v>-2.1550256737190079</v>
      </c>
      <c r="BH47">
        <f t="shared" si="31"/>
        <v>4.6441356543880641</v>
      </c>
    </row>
    <row r="48" spans="1:60" x14ac:dyDescent="0.25">
      <c r="A48" s="7">
        <v>37</v>
      </c>
      <c r="B48" s="9">
        <f t="shared" si="25"/>
        <v>13.551563917318708</v>
      </c>
      <c r="C48">
        <v>-0.63011566515091411</v>
      </c>
      <c r="D48">
        <v>0.80578020569475384</v>
      </c>
      <c r="E48">
        <v>-0.57585375530259109</v>
      </c>
      <c r="F48">
        <v>-0.95995971556749171</v>
      </c>
      <c r="G48">
        <v>3.2074953459273026E-2</v>
      </c>
      <c r="H48">
        <v>-0.22177800836207162</v>
      </c>
      <c r="I48">
        <v>0.64940336313974423</v>
      </c>
      <c r="J48">
        <v>-0.12234870448927271</v>
      </c>
      <c r="K48">
        <v>-0.84484389782403024</v>
      </c>
      <c r="L48">
        <v>-2.6276436658833613E-2</v>
      </c>
      <c r="M48">
        <v>-4.9897762993255435E-2</v>
      </c>
      <c r="N48">
        <v>0.5680410168767358</v>
      </c>
      <c r="O48">
        <v>0.54490798669392992</v>
      </c>
      <c r="P48">
        <v>-0.29288613544114506</v>
      </c>
      <c r="Q48">
        <v>0.1871089815973388</v>
      </c>
      <c r="R48">
        <v>0.11160618915372167</v>
      </c>
      <c r="S48">
        <v>-0.54887539292580945</v>
      </c>
      <c r="T48">
        <v>-0.52476577043977168</v>
      </c>
      <c r="U48">
        <v>0.12900173955504024</v>
      </c>
      <c r="V48">
        <v>0.42637409588915687</v>
      </c>
      <c r="W48">
        <v>0.4488967558824426</v>
      </c>
      <c r="X48">
        <v>-0.43382061220130008</v>
      </c>
      <c r="Y48">
        <v>-0.12698751792962437</v>
      </c>
      <c r="Z48">
        <v>-0.66527298806726276</v>
      </c>
      <c r="AA48">
        <v>0.72795800653096099</v>
      </c>
      <c r="AC48" s="7">
        <v>37</v>
      </c>
      <c r="AD48">
        <f t="shared" si="32"/>
        <v>4.8441477816521523</v>
      </c>
      <c r="AE48">
        <f t="shared" si="33"/>
        <v>24.686445896783233</v>
      </c>
      <c r="AF48">
        <f t="shared" si="34"/>
        <v>5.5939800037287322</v>
      </c>
      <c r="AG48">
        <f t="shared" si="35"/>
        <v>0.28611254194255231</v>
      </c>
      <c r="AH48">
        <f t="shared" si="36"/>
        <v>13.99479994960357</v>
      </c>
      <c r="AI48">
        <f t="shared" si="37"/>
        <v>10.486867203128323</v>
      </c>
      <c r="AJ48">
        <f t="shared" si="38"/>
        <v>22.525512091428681</v>
      </c>
      <c r="AK48">
        <f t="shared" si="39"/>
        <v>11.860856730420505</v>
      </c>
      <c r="AL48">
        <f t="shared" si="40"/>
        <v>1.8768702144244749</v>
      </c>
      <c r="AM48">
        <f t="shared" si="41"/>
        <v>13.188456187730443</v>
      </c>
      <c r="AN48">
        <f t="shared" si="42"/>
        <v>12.86203878621904</v>
      </c>
      <c r="AO48">
        <f t="shared" si="43"/>
        <v>21.401185486222744</v>
      </c>
      <c r="AP48">
        <f t="shared" si="44"/>
        <v>21.081515731254211</v>
      </c>
      <c r="AQ48">
        <f t="shared" si="45"/>
        <v>9.504241175322683</v>
      </c>
      <c r="AR48">
        <f t="shared" si="46"/>
        <v>16.137177726965227</v>
      </c>
      <c r="AS48">
        <f t="shared" si="47"/>
        <v>15.093822880273741</v>
      </c>
      <c r="AT48">
        <f t="shared" si="48"/>
        <v>5.9667874752223762</v>
      </c>
      <c r="AU48">
        <f t="shared" si="49"/>
        <v>6.2999525232766489</v>
      </c>
      <c r="AV48">
        <f t="shared" si="50"/>
        <v>15.334207788363535</v>
      </c>
      <c r="AW48">
        <f t="shared" si="51"/>
        <v>19.443524532972191</v>
      </c>
      <c r="AX48">
        <f t="shared" si="52"/>
        <v>19.754759729762128</v>
      </c>
      <c r="AY48">
        <f t="shared" si="53"/>
        <v>7.5567016918864383</v>
      </c>
      <c r="AZ48">
        <f t="shared" si="54"/>
        <v>11.796754088263226</v>
      </c>
      <c r="BA48">
        <f t="shared" si="55"/>
        <v>4.358317230565417</v>
      </c>
      <c r="BB48">
        <f t="shared" si="56"/>
        <v>23.611039729013108</v>
      </c>
      <c r="BC48" s="2">
        <f t="shared" si="26"/>
        <v>12.781843007057013</v>
      </c>
      <c r="BD48">
        <f t="shared" si="27"/>
        <v>50.381189459244808</v>
      </c>
      <c r="BE48">
        <f t="shared" si="28"/>
        <v>7.0979707987033036</v>
      </c>
      <c r="BF48" s="12">
        <f t="shared" si="29"/>
        <v>13.521778842254982</v>
      </c>
      <c r="BG48">
        <f t="shared" si="30"/>
        <v>-0.73993583519796857</v>
      </c>
      <c r="BH48">
        <f t="shared" si="31"/>
        <v>0.54750504021011526</v>
      </c>
    </row>
    <row r="49" spans="1:60" x14ac:dyDescent="0.25">
      <c r="A49" s="7">
        <v>38</v>
      </c>
      <c r="B49" s="9">
        <f t="shared" si="25"/>
        <v>13.843148317368469</v>
      </c>
      <c r="C49">
        <v>-0.56108279671620842</v>
      </c>
      <c r="D49">
        <v>0.95776238288521998</v>
      </c>
      <c r="E49">
        <v>-0.52397228919339578</v>
      </c>
      <c r="F49">
        <v>-0.39402447584459976</v>
      </c>
      <c r="G49">
        <v>0.43400372325815617</v>
      </c>
      <c r="H49">
        <v>0.47947630237739181</v>
      </c>
      <c r="I49">
        <v>-0.79320657979064302</v>
      </c>
      <c r="J49">
        <v>7.6937162388988956E-2</v>
      </c>
      <c r="K49">
        <v>0.37949766533402518</v>
      </c>
      <c r="L49">
        <v>-0.47489852595599236</v>
      </c>
      <c r="M49">
        <v>0.55229346598712126</v>
      </c>
      <c r="N49">
        <v>-0.79369487594225896</v>
      </c>
      <c r="O49">
        <v>-0.34623249000518819</v>
      </c>
      <c r="P49">
        <v>-0.76598406933805352</v>
      </c>
      <c r="Q49">
        <v>0.2713400677510911</v>
      </c>
      <c r="R49">
        <v>-0.81249427777947325</v>
      </c>
      <c r="S49">
        <v>-0.7322305978576007</v>
      </c>
      <c r="T49">
        <v>0.8011413922544024</v>
      </c>
      <c r="U49">
        <v>-0.90331736198004087</v>
      </c>
      <c r="V49">
        <v>-0.12991729483932002</v>
      </c>
      <c r="W49">
        <v>0.52928250984221936</v>
      </c>
      <c r="X49">
        <v>0.7338175603503525</v>
      </c>
      <c r="Y49">
        <v>-0.78618732261116364</v>
      </c>
      <c r="Z49">
        <v>0.57359538560136714</v>
      </c>
      <c r="AA49">
        <v>0.85149693288979766</v>
      </c>
      <c r="AC49" s="7">
        <v>38</v>
      </c>
      <c r="AD49">
        <f t="shared" si="32"/>
        <v>6.0896807117003515</v>
      </c>
      <c r="AE49">
        <f t="shared" si="33"/>
        <v>27.078235283301701</v>
      </c>
      <c r="AF49">
        <f t="shared" si="34"/>
        <v>6.6025018489585747</v>
      </c>
      <c r="AG49">
        <f t="shared" si="35"/>
        <v>8.3982192851802147</v>
      </c>
      <c r="AH49">
        <f t="shared" si="36"/>
        <v>19.840540910254315</v>
      </c>
      <c r="AI49">
        <f t="shared" si="37"/>
        <v>20.468915494559209</v>
      </c>
      <c r="AJ49">
        <f t="shared" si="38"/>
        <v>2.8820182363828817</v>
      </c>
      <c r="AK49">
        <f t="shared" si="39"/>
        <v>14.906324375779636</v>
      </c>
      <c r="AL49">
        <f t="shared" si="40"/>
        <v>19.087334864906303</v>
      </c>
      <c r="AM49">
        <f t="shared" si="41"/>
        <v>7.2806403265171458</v>
      </c>
      <c r="AN49">
        <f t="shared" si="42"/>
        <v>21.475158285264904</v>
      </c>
      <c r="AO49">
        <f t="shared" si="43"/>
        <v>2.8752705898400102</v>
      </c>
      <c r="AP49">
        <f t="shared" si="44"/>
        <v>9.0586451905637482</v>
      </c>
      <c r="AQ49">
        <f t="shared" si="45"/>
        <v>3.2581995311479588</v>
      </c>
      <c r="AR49">
        <f t="shared" si="46"/>
        <v>17.592731155660296</v>
      </c>
      <c r="AS49">
        <f t="shared" si="47"/>
        <v>2.6154861979394628</v>
      </c>
      <c r="AT49">
        <f t="shared" si="48"/>
        <v>3.724630598423941</v>
      </c>
      <c r="AU49">
        <f t="shared" si="49"/>
        <v>24.913927654675717</v>
      </c>
      <c r="AV49">
        <f t="shared" si="50"/>
        <v>1.3604239409653918</v>
      </c>
      <c r="AW49">
        <f t="shared" si="51"/>
        <v>12.047852609055759</v>
      </c>
      <c r="AX49">
        <f t="shared" si="52"/>
        <v>21.15717544193209</v>
      </c>
      <c r="AY49">
        <f t="shared" si="53"/>
        <v>23.98359588757733</v>
      </c>
      <c r="AZ49">
        <f t="shared" si="54"/>
        <v>2.9790156554366582</v>
      </c>
      <c r="BA49">
        <f t="shared" si="55"/>
        <v>21.769524365697663</v>
      </c>
      <c r="BB49">
        <f t="shared" si="56"/>
        <v>25.609778704409322</v>
      </c>
      <c r="BC49" s="2">
        <f t="shared" si="26"/>
        <v>13.082233085845223</v>
      </c>
      <c r="BD49">
        <f t="shared" si="27"/>
        <v>78.658910525052647</v>
      </c>
      <c r="BE49">
        <f t="shared" si="28"/>
        <v>8.8689858791776555</v>
      </c>
      <c r="BF49" s="12">
        <f t="shared" si="29"/>
        <v>13.809881060552392</v>
      </c>
      <c r="BG49">
        <f t="shared" si="30"/>
        <v>-0.72764797470716935</v>
      </c>
      <c r="BH49">
        <f t="shared" si="31"/>
        <v>0.5294715750954454</v>
      </c>
    </row>
    <row r="50" spans="1:60" x14ac:dyDescent="0.25">
      <c r="A50" s="7">
        <v>39</v>
      </c>
      <c r="B50" s="9">
        <f t="shared" si="25"/>
        <v>14.134732717418228</v>
      </c>
      <c r="C50">
        <v>-0.32419812616351817</v>
      </c>
      <c r="D50">
        <v>-0.95953245643482776</v>
      </c>
      <c r="E50">
        <v>-1.0681478316598714E-3</v>
      </c>
      <c r="F50">
        <v>-0.73052156132694479</v>
      </c>
      <c r="G50">
        <v>0.10922574541459396</v>
      </c>
      <c r="H50">
        <v>-0.63054292428357805</v>
      </c>
      <c r="I50">
        <v>5.0019837031159309E-2</v>
      </c>
      <c r="J50">
        <v>0.22507400738547934</v>
      </c>
      <c r="K50">
        <v>-0.75145725882747882</v>
      </c>
      <c r="L50">
        <v>-6.2715536973174224E-2</v>
      </c>
      <c r="M50">
        <v>0.37760551774651319</v>
      </c>
      <c r="N50">
        <v>-0.81560716574602499</v>
      </c>
      <c r="O50">
        <v>0.43827631458479566</v>
      </c>
      <c r="P50">
        <v>0.48094119083223985</v>
      </c>
      <c r="Q50">
        <v>-0.54087954344309819</v>
      </c>
      <c r="R50">
        <v>0.65019684438612013</v>
      </c>
      <c r="S50">
        <v>-0.63304544206060975</v>
      </c>
      <c r="T50">
        <v>-0.65434736167485585</v>
      </c>
      <c r="U50">
        <v>-0.97466963713492238</v>
      </c>
      <c r="V50">
        <v>0.13022247993408009</v>
      </c>
      <c r="W50">
        <v>0.41050447096163833</v>
      </c>
      <c r="X50">
        <v>-0.29398480178228092</v>
      </c>
      <c r="Y50">
        <v>-0.35239722891933956</v>
      </c>
      <c r="Z50">
        <v>0.62620929593798635</v>
      </c>
      <c r="AA50">
        <v>-0.58391064180425434</v>
      </c>
      <c r="AC50" s="7">
        <v>39</v>
      </c>
      <c r="AD50">
        <f t="shared" si="32"/>
        <v>9.6547171408605763</v>
      </c>
      <c r="AE50">
        <f t="shared" si="33"/>
        <v>0.87518553276708388</v>
      </c>
      <c r="AF50">
        <f t="shared" si="34"/>
        <v>14.119972240605698</v>
      </c>
      <c r="AG50">
        <f t="shared" si="35"/>
        <v>4.0398317613737511</v>
      </c>
      <c r="AH50">
        <f t="shared" si="36"/>
        <v>15.644096903476765</v>
      </c>
      <c r="AI50">
        <f t="shared" si="37"/>
        <v>5.4214123910266601</v>
      </c>
      <c r="AJ50">
        <f t="shared" si="38"/>
        <v>14.825944760153611</v>
      </c>
      <c r="AK50">
        <f t="shared" si="39"/>
        <v>17.244976045772994</v>
      </c>
      <c r="AL50">
        <f t="shared" si="40"/>
        <v>3.7505264158481424</v>
      </c>
      <c r="AM50">
        <f t="shared" si="41"/>
        <v>13.268081864568188</v>
      </c>
      <c r="AN50">
        <f t="shared" si="42"/>
        <v>19.352772134602432</v>
      </c>
      <c r="AO50">
        <f t="shared" si="43"/>
        <v>2.8640543512784173</v>
      </c>
      <c r="AP50">
        <f t="shared" si="44"/>
        <v>20.191167217554199</v>
      </c>
      <c r="AQ50">
        <f t="shared" si="45"/>
        <v>20.780742834237586</v>
      </c>
      <c r="AR50">
        <f t="shared" si="46"/>
        <v>6.6604489874614137</v>
      </c>
      <c r="AS50">
        <f t="shared" si="47"/>
        <v>23.119645817160368</v>
      </c>
      <c r="AT50">
        <f t="shared" si="48"/>
        <v>5.3868307024944446</v>
      </c>
      <c r="AU50">
        <f t="shared" si="49"/>
        <v>5.0924646220616818</v>
      </c>
      <c r="AV50">
        <f t="shared" si="50"/>
        <v>0.66600848993807205</v>
      </c>
      <c r="AW50">
        <f t="shared" si="51"/>
        <v>15.934245704820233</v>
      </c>
      <c r="AX50">
        <f t="shared" si="52"/>
        <v>19.807394820428392</v>
      </c>
      <c r="AY50">
        <f t="shared" si="53"/>
        <v>10.072227770700742</v>
      </c>
      <c r="AZ50">
        <f t="shared" si="54"/>
        <v>9.2650405530097579</v>
      </c>
      <c r="BA50">
        <f t="shared" si="55"/>
        <v>22.788167680741811</v>
      </c>
      <c r="BB50">
        <f t="shared" si="56"/>
        <v>6.0658126358708735</v>
      </c>
      <c r="BC50" s="2">
        <f t="shared" si="26"/>
        <v>11.475670775152558</v>
      </c>
      <c r="BD50">
        <f t="shared" si="27"/>
        <v>51.874231090690614</v>
      </c>
      <c r="BE50">
        <f t="shared" si="28"/>
        <v>7.2023767667826579</v>
      </c>
      <c r="BF50" s="12">
        <f t="shared" si="29"/>
        <v>14.097983278849803</v>
      </c>
      <c r="BG50">
        <f t="shared" si="30"/>
        <v>-2.6223125036972448</v>
      </c>
      <c r="BH50">
        <f t="shared" si="31"/>
        <v>6.8765228670469121</v>
      </c>
    </row>
    <row r="51" spans="1:60" x14ac:dyDescent="0.25">
      <c r="A51" s="7">
        <v>40</v>
      </c>
      <c r="B51" s="9">
        <f t="shared" si="25"/>
        <v>14.426317117467988</v>
      </c>
      <c r="C51">
        <v>0.46232490005188143</v>
      </c>
      <c r="D51">
        <v>0.29770805993835259</v>
      </c>
      <c r="E51">
        <v>-0.79570909756767483</v>
      </c>
      <c r="F51">
        <v>0.24106570635090185</v>
      </c>
      <c r="G51">
        <v>-0.12424085207678459</v>
      </c>
      <c r="H51">
        <v>-0.30722983489486377</v>
      </c>
      <c r="I51">
        <v>0.21018097476119268</v>
      </c>
      <c r="J51">
        <v>-0.64275032807397681</v>
      </c>
      <c r="K51">
        <v>-0.99554429761650443</v>
      </c>
      <c r="L51">
        <v>0.23795281838435001</v>
      </c>
      <c r="M51">
        <v>0.69109164708395632</v>
      </c>
      <c r="N51">
        <v>-0.16507461775566878</v>
      </c>
      <c r="O51">
        <v>-0.99786370433668015</v>
      </c>
      <c r="P51">
        <v>0.37919248023926522</v>
      </c>
      <c r="Q51">
        <v>0.5875118259224219</v>
      </c>
      <c r="R51">
        <v>-0.98260444959868165</v>
      </c>
      <c r="S51">
        <v>-0.65684987945188755</v>
      </c>
      <c r="T51">
        <v>0.1786248359630116</v>
      </c>
      <c r="U51">
        <v>-0.74309518723105561</v>
      </c>
      <c r="V51">
        <v>-0.7993713187047945</v>
      </c>
      <c r="W51">
        <v>-0.96435438093203529</v>
      </c>
      <c r="X51">
        <v>-7.4739829706717109E-2</v>
      </c>
      <c r="Y51">
        <v>0.89190343943601791</v>
      </c>
      <c r="Z51">
        <v>-0.37205114902188174</v>
      </c>
      <c r="AA51">
        <v>-0.11441389202551344</v>
      </c>
      <c r="AC51" s="7">
        <v>40</v>
      </c>
      <c r="AD51">
        <f t="shared" si="32"/>
        <v>20.815073209840371</v>
      </c>
      <c r="AE51">
        <f t="shared" si="33"/>
        <v>18.540272869074869</v>
      </c>
      <c r="AF51">
        <f t="shared" si="34"/>
        <v>3.4306053479501841</v>
      </c>
      <c r="AG51">
        <f t="shared" si="35"/>
        <v>17.75754587010179</v>
      </c>
      <c r="AH51">
        <f t="shared" si="36"/>
        <v>12.709462800216158</v>
      </c>
      <c r="AI51">
        <f t="shared" si="37"/>
        <v>10.180782258275116</v>
      </c>
      <c r="AJ51">
        <f t="shared" si="38"/>
        <v>17.330757226265177</v>
      </c>
      <c r="AK51">
        <f t="shared" si="39"/>
        <v>5.5443056275046381</v>
      </c>
      <c r="AL51">
        <f t="shared" si="40"/>
        <v>0.66913100028008365</v>
      </c>
      <c r="AM51">
        <f t="shared" si="41"/>
        <v>17.714529623390984</v>
      </c>
      <c r="AN51">
        <f t="shared" si="42"/>
        <v>23.976345615175603</v>
      </c>
      <c r="AO51">
        <f t="shared" si="43"/>
        <v>12.145190858068542</v>
      </c>
      <c r="AP51">
        <f t="shared" si="44"/>
        <v>0.63707967920144526</v>
      </c>
      <c r="AQ51">
        <f t="shared" si="45"/>
        <v>19.666286385916528</v>
      </c>
      <c r="AR51">
        <f t="shared" si="46"/>
        <v>22.545001092269018</v>
      </c>
      <c r="AS51">
        <f t="shared" si="47"/>
        <v>0.84794363366617276</v>
      </c>
      <c r="AT51">
        <f t="shared" si="48"/>
        <v>5.3494673335792271</v>
      </c>
      <c r="AU51">
        <f t="shared" si="49"/>
        <v>16.894690568432118</v>
      </c>
      <c r="AV51">
        <f t="shared" si="50"/>
        <v>4.157664262944575</v>
      </c>
      <c r="AW51">
        <f t="shared" si="51"/>
        <v>3.3799979988786504</v>
      </c>
      <c r="AX51">
        <f t="shared" si="52"/>
        <v>1.1001369232059908</v>
      </c>
      <c r="AY51">
        <f t="shared" si="53"/>
        <v>13.393505468499741</v>
      </c>
      <c r="AZ51">
        <f t="shared" si="54"/>
        <v>26.751315255931448</v>
      </c>
      <c r="BA51">
        <f t="shared" si="55"/>
        <v>9.2850321797089457</v>
      </c>
      <c r="BB51">
        <f t="shared" si="56"/>
        <v>12.845259186891445</v>
      </c>
      <c r="BC51" s="2">
        <f t="shared" si="26"/>
        <v>11.906695291010751</v>
      </c>
      <c r="BD51">
        <f t="shared" si="27"/>
        <v>65.797265652033857</v>
      </c>
      <c r="BE51">
        <f t="shared" si="28"/>
        <v>8.1115513714722827</v>
      </c>
      <c r="BF51" s="12">
        <f t="shared" si="29"/>
        <v>14.38608549714721</v>
      </c>
      <c r="BG51">
        <f t="shared" si="30"/>
        <v>-2.4793902061364594</v>
      </c>
      <c r="BH51">
        <f t="shared" si="31"/>
        <v>6.147375794285395</v>
      </c>
    </row>
    <row r="52" spans="1:60" x14ac:dyDescent="0.25">
      <c r="A52" s="7">
        <v>41</v>
      </c>
      <c r="B52" s="9">
        <f t="shared" si="25"/>
        <v>14.717901517517747</v>
      </c>
      <c r="C52">
        <v>0.59312723166600545</v>
      </c>
      <c r="D52">
        <v>0.39555040131839969</v>
      </c>
      <c r="E52">
        <v>-0.8852504043702506</v>
      </c>
      <c r="F52">
        <v>-0.12637714774010433</v>
      </c>
      <c r="G52">
        <v>-4.019287697988827E-2</v>
      </c>
      <c r="H52">
        <v>0.27603991821039453</v>
      </c>
      <c r="I52">
        <v>-0.3860896633808405</v>
      </c>
      <c r="J52">
        <v>-0.2916653950621052</v>
      </c>
      <c r="K52">
        <v>-0.80266731772820221</v>
      </c>
      <c r="L52">
        <v>0.12350840784936068</v>
      </c>
      <c r="M52">
        <v>3.5554063539536829E-2</v>
      </c>
      <c r="N52">
        <v>0.61748100222785118</v>
      </c>
      <c r="O52">
        <v>-0.25138096255378883</v>
      </c>
      <c r="P52">
        <v>-0.76848658711508533</v>
      </c>
      <c r="Q52">
        <v>0.63298440504165776</v>
      </c>
      <c r="R52">
        <v>0.43980224005859547</v>
      </c>
      <c r="S52">
        <v>-0.69890438550981171</v>
      </c>
      <c r="T52">
        <v>-7.4739829706717109E-2</v>
      </c>
      <c r="U52">
        <v>-0.73259681997131265</v>
      </c>
      <c r="V52">
        <v>8.0782494582964492E-2</v>
      </c>
      <c r="W52">
        <v>0.67107150486770228</v>
      </c>
      <c r="X52">
        <v>0.15958128604998922</v>
      </c>
      <c r="Y52">
        <v>-0.13547166356395157</v>
      </c>
      <c r="Z52">
        <v>-0.60667744987334826</v>
      </c>
      <c r="AA52">
        <v>0.40989410077211819</v>
      </c>
      <c r="AC52" s="7">
        <v>41</v>
      </c>
      <c r="AD52">
        <f t="shared" si="32"/>
        <v>22.914183427561795</v>
      </c>
      <c r="AE52">
        <f t="shared" si="33"/>
        <v>20.183916945152475</v>
      </c>
      <c r="AF52">
        <f t="shared" si="34"/>
        <v>2.4848400632009096</v>
      </c>
      <c r="AG52">
        <f t="shared" si="35"/>
        <v>12.971526246640856</v>
      </c>
      <c r="AH52">
        <f t="shared" si="36"/>
        <v>14.162485861457649</v>
      </c>
      <c r="AI52">
        <f t="shared" si="37"/>
        <v>18.532430453784709</v>
      </c>
      <c r="AJ52">
        <f t="shared" si="38"/>
        <v>9.3826217416511533</v>
      </c>
      <c r="AK52">
        <f t="shared" si="39"/>
        <v>10.6874478918789</v>
      </c>
      <c r="AL52">
        <f t="shared" si="40"/>
        <v>3.6260357847640261</v>
      </c>
      <c r="AM52">
        <f t="shared" si="41"/>
        <v>16.424634364955271</v>
      </c>
      <c r="AN52">
        <f t="shared" si="42"/>
        <v>15.209214531420569</v>
      </c>
      <c r="AO52">
        <f t="shared" si="43"/>
        <v>23.250722298887503</v>
      </c>
      <c r="AP52">
        <f t="shared" si="44"/>
        <v>11.244128731665789</v>
      </c>
      <c r="AQ52">
        <f t="shared" si="45"/>
        <v>4.098371042765022</v>
      </c>
      <c r="AR52">
        <f t="shared" si="46"/>
        <v>23.464960076623669</v>
      </c>
      <c r="AS52">
        <f t="shared" si="47"/>
        <v>20.795422413100191</v>
      </c>
      <c r="AT52">
        <f t="shared" si="48"/>
        <v>5.0599106751241898</v>
      </c>
      <c r="AU52">
        <f t="shared" si="49"/>
        <v>13.6850898685495</v>
      </c>
      <c r="AV52">
        <f t="shared" si="50"/>
        <v>4.5943230636660655</v>
      </c>
      <c r="AW52">
        <f t="shared" si="51"/>
        <v>15.834215292454026</v>
      </c>
      <c r="AX52">
        <f t="shared" si="52"/>
        <v>23.991276506967637</v>
      </c>
      <c r="AY52">
        <f t="shared" si="53"/>
        <v>16.923116753309891</v>
      </c>
      <c r="AZ52">
        <f t="shared" si="54"/>
        <v>12.845851329779876</v>
      </c>
      <c r="BA52">
        <f t="shared" si="55"/>
        <v>6.3343724159090176</v>
      </c>
      <c r="BB52">
        <f t="shared" si="56"/>
        <v>20.382129062349321</v>
      </c>
      <c r="BC52" s="2">
        <f t="shared" si="26"/>
        <v>13.963329073744799</v>
      </c>
      <c r="BD52">
        <f t="shared" si="27"/>
        <v>46.965690988475103</v>
      </c>
      <c r="BE52">
        <f t="shared" si="28"/>
        <v>6.8531519017511284</v>
      </c>
      <c r="BF52" s="12">
        <f t="shared" si="29"/>
        <v>14.674187715444621</v>
      </c>
      <c r="BG52">
        <f t="shared" si="30"/>
        <v>-0.71085864169982216</v>
      </c>
      <c r="BH52">
        <f t="shared" si="31"/>
        <v>0.50532000847931613</v>
      </c>
    </row>
    <row r="53" spans="1:60" x14ac:dyDescent="0.25">
      <c r="A53" s="7">
        <v>42</v>
      </c>
      <c r="B53" s="9">
        <f t="shared" si="25"/>
        <v>15.009485917567508</v>
      </c>
      <c r="C53">
        <v>0.94872890408032462</v>
      </c>
      <c r="D53">
        <v>0.37455366679891355</v>
      </c>
      <c r="E53">
        <v>0.54734946745200963</v>
      </c>
      <c r="F53">
        <v>0.94647053437910089</v>
      </c>
      <c r="G53">
        <v>-0.80901516769920956</v>
      </c>
      <c r="H53">
        <v>0.54881435590685745</v>
      </c>
      <c r="I53">
        <v>-5.0141911069063405E-2</v>
      </c>
      <c r="J53">
        <v>-0.92388683736686295</v>
      </c>
      <c r="K53">
        <v>-0.54972991119113734</v>
      </c>
      <c r="L53">
        <v>0.84545426801355017</v>
      </c>
      <c r="M53">
        <v>0.77855769524216445</v>
      </c>
      <c r="N53">
        <v>0.61088900418103576</v>
      </c>
      <c r="O53">
        <v>-0.74327829828791159</v>
      </c>
      <c r="P53">
        <v>0.77593310342722854</v>
      </c>
      <c r="Q53">
        <v>-0.80925931577501753</v>
      </c>
      <c r="R53">
        <v>1.129184850611864E-3</v>
      </c>
      <c r="S53">
        <v>-0.50962858973967706</v>
      </c>
      <c r="T53">
        <v>6.4394054994354466E-3</v>
      </c>
      <c r="U53">
        <v>0.2713400677510911</v>
      </c>
      <c r="V53">
        <v>0.74364452040162354</v>
      </c>
      <c r="W53">
        <v>0.4081240272225104</v>
      </c>
      <c r="X53">
        <v>0.52482680745872368</v>
      </c>
      <c r="Y53">
        <v>0.7806329538865322</v>
      </c>
      <c r="Z53">
        <v>-0.61375774407177952</v>
      </c>
      <c r="AA53">
        <v>0.87878048036133904</v>
      </c>
      <c r="AC53" s="7">
        <v>42</v>
      </c>
      <c r="AD53">
        <f t="shared" si="32"/>
        <v>28.119741422457622</v>
      </c>
      <c r="AE53">
        <f t="shared" si="33"/>
        <v>20.185352543858766</v>
      </c>
      <c r="AF53">
        <f t="shared" si="34"/>
        <v>22.573175964217366</v>
      </c>
      <c r="AG53">
        <f t="shared" si="35"/>
        <v>28.08853355719684</v>
      </c>
      <c r="AH53">
        <f t="shared" si="36"/>
        <v>3.8299007797564606</v>
      </c>
      <c r="AI53">
        <f t="shared" si="37"/>
        <v>22.593418903845979</v>
      </c>
      <c r="AJ53">
        <f t="shared" si="38"/>
        <v>14.316586963196405</v>
      </c>
      <c r="AK53">
        <f t="shared" si="39"/>
        <v>2.2425169305459747</v>
      </c>
      <c r="AL53">
        <f t="shared" si="40"/>
        <v>7.4129010940211515</v>
      </c>
      <c r="AM53">
        <f t="shared" si="41"/>
        <v>26.69261417864033</v>
      </c>
      <c r="AN53">
        <f t="shared" si="42"/>
        <v>25.768186602266958</v>
      </c>
      <c r="AO53">
        <f t="shared" si="43"/>
        <v>23.451213470608501</v>
      </c>
      <c r="AP53">
        <f t="shared" si="44"/>
        <v>4.7383026955905176</v>
      </c>
      <c r="AQ53">
        <f t="shared" si="45"/>
        <v>25.731918002099022</v>
      </c>
      <c r="AR53">
        <f t="shared" si="46"/>
        <v>3.8265269564850257</v>
      </c>
      <c r="AS53">
        <f t="shared" si="47"/>
        <v>15.025089850197897</v>
      </c>
      <c r="AT53">
        <f t="shared" si="48"/>
        <v>7.9670515663544608</v>
      </c>
      <c r="AU53">
        <f t="shared" si="49"/>
        <v>15.098470506351624</v>
      </c>
      <c r="AV53">
        <f t="shared" si="50"/>
        <v>18.759068755859335</v>
      </c>
      <c r="AW53">
        <f t="shared" si="51"/>
        <v>25.285729874451654</v>
      </c>
      <c r="AX53">
        <f t="shared" si="52"/>
        <v>20.649253243681173</v>
      </c>
      <c r="AY53">
        <f t="shared" si="53"/>
        <v>22.261940767427426</v>
      </c>
      <c r="AZ53">
        <f t="shared" si="54"/>
        <v>25.79686410007416</v>
      </c>
      <c r="BA53">
        <f t="shared" si="55"/>
        <v>6.5281159410871439</v>
      </c>
      <c r="BB53">
        <f t="shared" si="56"/>
        <v>27.153141055191298</v>
      </c>
      <c r="BC53" s="2">
        <f t="shared" si="26"/>
        <v>17.763824629018526</v>
      </c>
      <c r="BD53">
        <f t="shared" si="27"/>
        <v>79.14316827257646</v>
      </c>
      <c r="BE53">
        <f t="shared" si="28"/>
        <v>8.8962446162735684</v>
      </c>
      <c r="BF53" s="12">
        <f t="shared" si="29"/>
        <v>14.962289933742031</v>
      </c>
      <c r="BG53">
        <f t="shared" si="30"/>
        <v>2.8015346952764943</v>
      </c>
      <c r="BH53">
        <f t="shared" si="31"/>
        <v>7.8485966488379599</v>
      </c>
    </row>
    <row r="54" spans="1:60" x14ac:dyDescent="0.25">
      <c r="A54" s="7">
        <v>43</v>
      </c>
      <c r="B54" s="9">
        <f t="shared" si="25"/>
        <v>15.301070317617269</v>
      </c>
      <c r="C54">
        <v>-0.81353190710165713</v>
      </c>
      <c r="D54">
        <v>0.7661671803949095</v>
      </c>
      <c r="E54">
        <v>0.94366283150730923</v>
      </c>
      <c r="F54">
        <v>-0.61296426282540362</v>
      </c>
      <c r="G54">
        <v>0.95245216223639639</v>
      </c>
      <c r="H54">
        <v>-0.89996032593768116</v>
      </c>
      <c r="I54">
        <v>0.53483687856685069</v>
      </c>
      <c r="J54">
        <v>0.36973174230170591</v>
      </c>
      <c r="K54">
        <v>0.13034455397198408</v>
      </c>
      <c r="L54">
        <v>-0.99536118655964845</v>
      </c>
      <c r="M54">
        <v>-0.94360179448835724</v>
      </c>
      <c r="N54">
        <v>0.44645527512436289</v>
      </c>
      <c r="O54">
        <v>-6.7232276375621791E-2</v>
      </c>
      <c r="P54">
        <v>0.62883388775292204</v>
      </c>
      <c r="Q54">
        <v>-0.29654835657826473</v>
      </c>
      <c r="R54">
        <v>0.10733359782708218</v>
      </c>
      <c r="S54">
        <v>-0.33652760399182102</v>
      </c>
      <c r="T54">
        <v>0.73760185552537605</v>
      </c>
      <c r="U54">
        <v>-0.84984893337809386</v>
      </c>
      <c r="V54">
        <v>-0.57951597643971064</v>
      </c>
      <c r="W54">
        <v>-0.15408795434430977</v>
      </c>
      <c r="X54">
        <v>0.57799005096591083</v>
      </c>
      <c r="Y54">
        <v>0.20371105075228124</v>
      </c>
      <c r="Z54">
        <v>-0.67894528031250956</v>
      </c>
      <c r="AA54">
        <v>0.60545670949430819</v>
      </c>
      <c r="AC54" s="7">
        <v>43</v>
      </c>
      <c r="AD54">
        <f t="shared" si="32"/>
        <v>4.059069449284662</v>
      </c>
      <c r="AE54">
        <f t="shared" si="33"/>
        <v>25.888549471291356</v>
      </c>
      <c r="AF54">
        <f t="shared" si="34"/>
        <v>28.341318989625094</v>
      </c>
      <c r="AG54">
        <f t="shared" si="35"/>
        <v>6.8306652667690706</v>
      </c>
      <c r="AH54">
        <f t="shared" si="36"/>
        <v>28.462776627396778</v>
      </c>
      <c r="AI54">
        <f t="shared" si="37"/>
        <v>2.8647360111964328</v>
      </c>
      <c r="AJ54">
        <f t="shared" si="38"/>
        <v>22.691851921606048</v>
      </c>
      <c r="AK54">
        <f t="shared" si="39"/>
        <v>20.410303934297673</v>
      </c>
      <c r="AL54">
        <f t="shared" si="40"/>
        <v>17.102270216654993</v>
      </c>
      <c r="AM54">
        <f t="shared" si="41"/>
        <v>1.5464145678829393</v>
      </c>
      <c r="AN54">
        <f t="shared" si="42"/>
        <v>2.2616651014273028</v>
      </c>
      <c r="AO54">
        <f t="shared" si="43"/>
        <v>21.470527897346333</v>
      </c>
      <c r="AP54">
        <f t="shared" si="44"/>
        <v>14.37200373424567</v>
      </c>
      <c r="AQ54">
        <f t="shared" si="45"/>
        <v>23.990773881108787</v>
      </c>
      <c r="AR54">
        <f t="shared" si="46"/>
        <v>11.203140226549708</v>
      </c>
      <c r="AS54">
        <f t="shared" si="47"/>
        <v>16.784287373322179</v>
      </c>
      <c r="AT54">
        <f t="shared" si="48"/>
        <v>10.650676665852117</v>
      </c>
      <c r="AU54">
        <f t="shared" si="49"/>
        <v>25.49381214853338</v>
      </c>
      <c r="AV54">
        <f t="shared" si="50"/>
        <v>3.557213237658603</v>
      </c>
      <c r="AW54">
        <f t="shared" si="51"/>
        <v>7.2928790549557583</v>
      </c>
      <c r="AX54">
        <f t="shared" si="52"/>
        <v>13.171766105432427</v>
      </c>
      <c r="AY54">
        <f t="shared" si="53"/>
        <v>23.288175184832305</v>
      </c>
      <c r="AZ54">
        <f t="shared" si="54"/>
        <v>18.116104109721412</v>
      </c>
      <c r="BA54">
        <f t="shared" si="55"/>
        <v>5.9188895276635787</v>
      </c>
      <c r="BB54">
        <f t="shared" si="56"/>
        <v>23.667730302868819</v>
      </c>
      <c r="BC54" s="2">
        <f t="shared" si="26"/>
        <v>15.177504040300937</v>
      </c>
      <c r="BD54">
        <f t="shared" si="27"/>
        <v>81.093686978992011</v>
      </c>
      <c r="BE54">
        <f t="shared" si="28"/>
        <v>9.0052033280205297</v>
      </c>
      <c r="BF54" s="12">
        <f t="shared" si="29"/>
        <v>15.250392152039439</v>
      </c>
      <c r="BG54">
        <f t="shared" si="30"/>
        <v>-7.2888111738501848E-2</v>
      </c>
      <c r="BH54">
        <f t="shared" si="31"/>
        <v>5.3126768328043313E-3</v>
      </c>
    </row>
    <row r="55" spans="1:60" x14ac:dyDescent="0.25">
      <c r="A55" s="7">
        <v>44</v>
      </c>
      <c r="B55" s="9">
        <f t="shared" si="25"/>
        <v>15.592654717667028</v>
      </c>
      <c r="C55">
        <v>-1.7609179967650435E-2</v>
      </c>
      <c r="D55">
        <v>-0.25736259041108434</v>
      </c>
      <c r="E55">
        <v>-0.95483260597552411</v>
      </c>
      <c r="F55">
        <v>-0.38273262733848079</v>
      </c>
      <c r="G55">
        <v>0.77343058565019684</v>
      </c>
      <c r="H55">
        <v>0.75359355449079857</v>
      </c>
      <c r="I55">
        <v>-0.72917874691000084</v>
      </c>
      <c r="J55">
        <v>0.93444624164555812</v>
      </c>
      <c r="K55">
        <v>-0.46873378704184088</v>
      </c>
      <c r="L55">
        <v>0.27762688070314656</v>
      </c>
      <c r="M55">
        <v>-0.47178563798944062</v>
      </c>
      <c r="N55">
        <v>-0.99383526108584852</v>
      </c>
      <c r="O55">
        <v>0.78807947019867552</v>
      </c>
      <c r="P55">
        <v>7.9317606128116669E-2</v>
      </c>
      <c r="Q55">
        <v>-0.55772576067384871</v>
      </c>
      <c r="R55">
        <v>-0.79900509659108243</v>
      </c>
      <c r="S55">
        <v>0.70897549363689083</v>
      </c>
      <c r="T55">
        <v>-0.14865565965758232</v>
      </c>
      <c r="U55">
        <v>0.36960966826380193</v>
      </c>
      <c r="V55">
        <v>-0.85454878383739741</v>
      </c>
      <c r="W55">
        <v>0.32523575548570216</v>
      </c>
      <c r="X55">
        <v>-0.23349711600085454</v>
      </c>
      <c r="Y55">
        <v>0.9923703726310007</v>
      </c>
      <c r="Z55">
        <v>0.19248023926511437</v>
      </c>
      <c r="AA55">
        <v>0.38029114658040108</v>
      </c>
      <c r="AC55" s="7">
        <v>44</v>
      </c>
      <c r="AD55">
        <f t="shared" si="32"/>
        <v>15.349317714214729</v>
      </c>
      <c r="AE55">
        <f t="shared" si="33"/>
        <v>12.036223261664894</v>
      </c>
      <c r="AF55">
        <f t="shared" si="34"/>
        <v>2.3980536309910221</v>
      </c>
      <c r="AG55">
        <f t="shared" si="35"/>
        <v>10.303765011782673</v>
      </c>
      <c r="AH55">
        <f t="shared" si="36"/>
        <v>26.280505113666322</v>
      </c>
      <c r="AI55">
        <f t="shared" si="37"/>
        <v>26.006381972862172</v>
      </c>
      <c r="AJ55">
        <f t="shared" si="38"/>
        <v>5.5163097896154483</v>
      </c>
      <c r="AK55">
        <f t="shared" si="39"/>
        <v>28.505541561178156</v>
      </c>
      <c r="AL55">
        <f t="shared" si="40"/>
        <v>9.1153357644194557</v>
      </c>
      <c r="AM55">
        <f t="shared" si="41"/>
        <v>19.429113505198323</v>
      </c>
      <c r="AN55">
        <f t="shared" si="42"/>
        <v>9.0731629735265109</v>
      </c>
      <c r="AO55">
        <f t="shared" si="43"/>
        <v>1.8590853633791724</v>
      </c>
      <c r="AP55">
        <f t="shared" si="44"/>
        <v>26.482934509952464</v>
      </c>
      <c r="AQ55">
        <f t="shared" si="45"/>
        <v>16.688725552974692</v>
      </c>
      <c r="AR55">
        <f t="shared" si="46"/>
        <v>7.8855771819811515</v>
      </c>
      <c r="AS55">
        <f t="shared" si="47"/>
        <v>4.5513963339848438</v>
      </c>
      <c r="AT55">
        <f t="shared" si="48"/>
        <v>25.389815770007306</v>
      </c>
      <c r="AU55">
        <f t="shared" si="49"/>
        <v>13.538418073271629</v>
      </c>
      <c r="AV55">
        <f t="shared" si="50"/>
        <v>20.700201422711714</v>
      </c>
      <c r="AW55">
        <f t="shared" si="51"/>
        <v>3.7838515397332255</v>
      </c>
      <c r="AX55">
        <f t="shared" si="52"/>
        <v>20.08700904312828</v>
      </c>
      <c r="AY55">
        <f t="shared" si="53"/>
        <v>12.366014486447732</v>
      </c>
      <c r="AZ55">
        <f t="shared" si="54"/>
        <v>29.305981132326266</v>
      </c>
      <c r="BA55">
        <f t="shared" si="55"/>
        <v>18.25249263928513</v>
      </c>
      <c r="BB55">
        <f t="shared" si="56"/>
        <v>20.847806190837026</v>
      </c>
      <c r="BC55" s="2">
        <f t="shared" si="26"/>
        <v>15.430120781565615</v>
      </c>
      <c r="BD55">
        <f t="shared" si="27"/>
        <v>75.544211186687832</v>
      </c>
      <c r="BE55">
        <f t="shared" si="28"/>
        <v>8.6916172940763925</v>
      </c>
      <c r="BF55" s="12">
        <f t="shared" si="29"/>
        <v>15.538494370336849</v>
      </c>
      <c r="BG55">
        <f t="shared" si="30"/>
        <v>-0.10837358877123471</v>
      </c>
      <c r="BH55">
        <f t="shared" si="31"/>
        <v>1.174483474315669E-2</v>
      </c>
    </row>
    <row r="56" spans="1:60" x14ac:dyDescent="0.25">
      <c r="A56" s="7">
        <v>45</v>
      </c>
      <c r="B56" s="9">
        <f t="shared" si="25"/>
        <v>15.884239117716788</v>
      </c>
      <c r="C56">
        <v>0.18948942533646651</v>
      </c>
      <c r="D56">
        <v>-0.56816309091463979</v>
      </c>
      <c r="E56">
        <v>-0.66966765343180645</v>
      </c>
      <c r="F56">
        <v>0.85106967375713372</v>
      </c>
      <c r="G56">
        <v>-0.63786736655781739</v>
      </c>
      <c r="H56">
        <v>-0.55577257606738484</v>
      </c>
      <c r="I56">
        <v>0.84661397137363803</v>
      </c>
      <c r="J56">
        <v>-0.79174169133579519</v>
      </c>
      <c r="K56">
        <v>0.87322611163670771</v>
      </c>
      <c r="L56">
        <v>-0.73961607715079203</v>
      </c>
      <c r="M56">
        <v>5.7283242286446656E-2</v>
      </c>
      <c r="N56">
        <v>0.47734000671407206</v>
      </c>
      <c r="O56">
        <v>-0.27414777062288276</v>
      </c>
      <c r="P56">
        <v>0.63322855311746573</v>
      </c>
      <c r="Q56">
        <v>0.41599780266731767</v>
      </c>
      <c r="R56">
        <v>-0.83806878872035884</v>
      </c>
      <c r="S56">
        <v>0.81591235084078484</v>
      </c>
      <c r="T56">
        <v>0.65392010254219191</v>
      </c>
      <c r="U56">
        <v>0.31339457380901514</v>
      </c>
      <c r="V56">
        <v>9.4515823847163283E-2</v>
      </c>
      <c r="W56">
        <v>0.63170262764366591</v>
      </c>
      <c r="X56">
        <v>-9.8727378154850887E-2</v>
      </c>
      <c r="Y56">
        <v>0.88189336832789089</v>
      </c>
      <c r="Z56">
        <v>0.27390362254707479</v>
      </c>
      <c r="AA56">
        <v>-1.0040589617603124E-2</v>
      </c>
      <c r="AC56" s="7">
        <v>45</v>
      </c>
      <c r="AD56">
        <f t="shared" si="32"/>
        <v>18.502747704259804</v>
      </c>
      <c r="AE56">
        <f t="shared" si="33"/>
        <v>8.032930637177035</v>
      </c>
      <c r="AF56">
        <f t="shared" si="34"/>
        <v>6.6302636120776537</v>
      </c>
      <c r="AG56">
        <f t="shared" si="35"/>
        <v>27.644965314032632</v>
      </c>
      <c r="AH56">
        <f t="shared" si="36"/>
        <v>7.0697040931821498</v>
      </c>
      <c r="AI56">
        <f t="shared" si="37"/>
        <v>8.2041521682023983</v>
      </c>
      <c r="AJ56">
        <f t="shared" si="38"/>
        <v>27.583393039328929</v>
      </c>
      <c r="AK56">
        <f t="shared" si="39"/>
        <v>4.9433519763598142</v>
      </c>
      <c r="AL56">
        <f t="shared" si="40"/>
        <v>27.951139775915422</v>
      </c>
      <c r="AM56">
        <f t="shared" si="41"/>
        <v>5.6636632448113318</v>
      </c>
      <c r="AN56">
        <f t="shared" si="42"/>
        <v>16.675822402777385</v>
      </c>
      <c r="AO56">
        <f t="shared" si="43"/>
        <v>22.480485341282467</v>
      </c>
      <c r="AP56">
        <f t="shared" si="44"/>
        <v>12.095857311803453</v>
      </c>
      <c r="AQ56">
        <f t="shared" si="45"/>
        <v>24.63467150009415</v>
      </c>
      <c r="AR56">
        <f t="shared" si="46"/>
        <v>21.632812244334254</v>
      </c>
      <c r="AS56">
        <f t="shared" si="47"/>
        <v>4.303169010604897</v>
      </c>
      <c r="AT56">
        <f t="shared" si="48"/>
        <v>27.159134762945893</v>
      </c>
      <c r="AU56">
        <f t="shared" si="49"/>
        <v>24.920603022348324</v>
      </c>
      <c r="AV56">
        <f t="shared" si="50"/>
        <v>20.214963014513408</v>
      </c>
      <c r="AW56">
        <f t="shared" si="51"/>
        <v>17.190330451671326</v>
      </c>
      <c r="AX56">
        <f t="shared" si="52"/>
        <v>24.613585104647676</v>
      </c>
      <c r="AY56">
        <f t="shared" si="53"/>
        <v>14.519949332329986</v>
      </c>
      <c r="AZ56">
        <f t="shared" si="54"/>
        <v>28.070910502051383</v>
      </c>
      <c r="BA56">
        <f t="shared" si="55"/>
        <v>19.669247100358689</v>
      </c>
      <c r="BB56">
        <f t="shared" si="56"/>
        <v>15.745490635678996</v>
      </c>
      <c r="BC56" s="2">
        <f t="shared" si="26"/>
        <v>17.44613373211158</v>
      </c>
      <c r="BD56">
        <f t="shared" si="27"/>
        <v>68.632310323687605</v>
      </c>
      <c r="BE56">
        <f t="shared" si="28"/>
        <v>8.2844619815463947</v>
      </c>
      <c r="BF56" s="12">
        <f t="shared" si="29"/>
        <v>15.82659658863426</v>
      </c>
      <c r="BG56">
        <f t="shared" si="30"/>
        <v>1.61953714347732</v>
      </c>
      <c r="BH56">
        <f t="shared" si="31"/>
        <v>2.6229005591026775</v>
      </c>
    </row>
    <row r="57" spans="1:60" x14ac:dyDescent="0.25">
      <c r="A57" s="7">
        <v>46</v>
      </c>
      <c r="B57" s="9">
        <f t="shared" si="25"/>
        <v>16.175823517766545</v>
      </c>
      <c r="C57">
        <v>-0.51561021759697256</v>
      </c>
      <c r="D57">
        <v>-0.88476210821863455</v>
      </c>
      <c r="E57">
        <v>0.75457014679403067</v>
      </c>
      <c r="F57">
        <v>0.61937314981536296</v>
      </c>
      <c r="G57">
        <v>0.54313791314432214</v>
      </c>
      <c r="H57">
        <v>-0.38157292397839293</v>
      </c>
      <c r="I57">
        <v>0.64842677083651235</v>
      </c>
      <c r="J57">
        <v>-0.59685048982207711</v>
      </c>
      <c r="K57">
        <v>0.7678151799066133</v>
      </c>
      <c r="L57">
        <v>-0.70207831049531544</v>
      </c>
      <c r="M57">
        <v>0.30332346568193613</v>
      </c>
      <c r="N57">
        <v>-0.9038666951506088</v>
      </c>
      <c r="O57">
        <v>-0.49906918546098211</v>
      </c>
      <c r="P57">
        <v>0.30661946470534374</v>
      </c>
      <c r="Q57">
        <v>-0.28110599078341014</v>
      </c>
      <c r="R57">
        <v>-0.67485580004272594</v>
      </c>
      <c r="S57">
        <v>-1.6022217474898515E-2</v>
      </c>
      <c r="T57">
        <v>-0.445600756859035</v>
      </c>
      <c r="U57">
        <v>-0.73613696707052823</v>
      </c>
      <c r="V57">
        <v>0.68840601825006864</v>
      </c>
      <c r="W57">
        <v>0.31009857478560754</v>
      </c>
      <c r="X57">
        <v>9.8483230079043027E-2</v>
      </c>
      <c r="Y57">
        <v>0.75621814630573447</v>
      </c>
      <c r="Z57">
        <v>-0.23587755973998226</v>
      </c>
      <c r="AA57">
        <v>-0.35258033997619553</v>
      </c>
      <c r="AC57" s="7">
        <v>46</v>
      </c>
      <c r="AD57">
        <f t="shared" si="32"/>
        <v>9.0507304964033235</v>
      </c>
      <c r="AE57">
        <f t="shared" si="33"/>
        <v>3.9495097099925793</v>
      </c>
      <c r="AF57">
        <f t="shared" si="34"/>
        <v>26.60304606604744</v>
      </c>
      <c r="AG57">
        <f t="shared" si="35"/>
        <v>24.734791429489931</v>
      </c>
      <c r="AH57">
        <f t="shared" si="36"/>
        <v>23.681315112984141</v>
      </c>
      <c r="AI57">
        <f t="shared" si="37"/>
        <v>10.902959472421511</v>
      </c>
      <c r="AJ57">
        <f t="shared" si="38"/>
        <v>25.136276398790777</v>
      </c>
      <c r="AK57">
        <f t="shared" si="39"/>
        <v>7.9280908028331023</v>
      </c>
      <c r="AL57">
        <f t="shared" si="40"/>
        <v>26.786075978522824</v>
      </c>
      <c r="AM57">
        <f t="shared" si="41"/>
        <v>6.473972972844324</v>
      </c>
      <c r="AN57">
        <f t="shared" si="42"/>
        <v>20.367377204616446</v>
      </c>
      <c r="AO57">
        <f t="shared" si="43"/>
        <v>3.6855080390027375</v>
      </c>
      <c r="AP57">
        <f t="shared" si="44"/>
        <v>9.2793070230430903</v>
      </c>
      <c r="AQ57">
        <f t="shared" si="45"/>
        <v>20.412923818780826</v>
      </c>
      <c r="AR57">
        <f t="shared" si="46"/>
        <v>12.291287748617293</v>
      </c>
      <c r="AS57">
        <f t="shared" si="47"/>
        <v>6.8501542676094029</v>
      </c>
      <c r="AT57">
        <f t="shared" si="48"/>
        <v>15.954416365578579</v>
      </c>
      <c r="AU57">
        <f t="shared" si="49"/>
        <v>10.018174319487503</v>
      </c>
      <c r="AV57">
        <f t="shared" si="50"/>
        <v>6.0033246264790492</v>
      </c>
      <c r="AW57">
        <f t="shared" si="51"/>
        <v>25.688739959488366</v>
      </c>
      <c r="AX57">
        <f t="shared" si="52"/>
        <v>20.461000800398786</v>
      </c>
      <c r="AY57">
        <f t="shared" si="53"/>
        <v>17.536739479881913</v>
      </c>
      <c r="AZ57">
        <f t="shared" si="54"/>
        <v>26.62581937312963</v>
      </c>
      <c r="BA57">
        <f t="shared" si="55"/>
        <v>12.916288509650752</v>
      </c>
      <c r="BB57">
        <f t="shared" si="56"/>
        <v>11.303600985904499</v>
      </c>
      <c r="BC57" s="2">
        <f t="shared" si="26"/>
        <v>15.385657238479956</v>
      </c>
      <c r="BD57">
        <f t="shared" si="27"/>
        <v>64.277014156839343</v>
      </c>
      <c r="BE57">
        <f t="shared" si="28"/>
        <v>8.0172946906571507</v>
      </c>
      <c r="BF57" s="12">
        <f t="shared" si="29"/>
        <v>16.114698806931667</v>
      </c>
      <c r="BG57">
        <f t="shared" si="30"/>
        <v>-0.72904156845171109</v>
      </c>
      <c r="BH57">
        <f t="shared" si="31"/>
        <v>0.53150160853053097</v>
      </c>
    </row>
    <row r="58" spans="1:60" x14ac:dyDescent="0.25">
      <c r="A58" s="7">
        <v>47</v>
      </c>
      <c r="B58" s="9">
        <f t="shared" si="25"/>
        <v>16.46740791781631</v>
      </c>
      <c r="C58">
        <v>0.72423474837488944</v>
      </c>
      <c r="D58">
        <v>-3.0854213080233173E-2</v>
      </c>
      <c r="E58">
        <v>-0.15720084231086151</v>
      </c>
      <c r="F58">
        <v>-0.70592364268929098</v>
      </c>
      <c r="G58">
        <v>-0.96917630542924282</v>
      </c>
      <c r="H58">
        <v>0.62590411084322639</v>
      </c>
      <c r="I58">
        <v>-0.80657368694112974</v>
      </c>
      <c r="J58">
        <v>-0.87267677846613978</v>
      </c>
      <c r="K58">
        <v>0.33274330881679748</v>
      </c>
      <c r="L58">
        <v>0.94451734977263713</v>
      </c>
      <c r="M58">
        <v>-0.32157353434858238</v>
      </c>
      <c r="N58">
        <v>-0.9897457808160649</v>
      </c>
      <c r="O58">
        <v>-0.31009857478560743</v>
      </c>
      <c r="P58">
        <v>0.79644154179509874</v>
      </c>
      <c r="Q58">
        <v>-0.4719687490462966</v>
      </c>
      <c r="R58">
        <v>-0.28214362010559402</v>
      </c>
      <c r="S58">
        <v>-0.6198614459669789</v>
      </c>
      <c r="T58">
        <v>0.54081850642414619</v>
      </c>
      <c r="U58">
        <v>-0.91222876674703213</v>
      </c>
      <c r="V58">
        <v>0.94488357188634908</v>
      </c>
      <c r="W58">
        <v>-0.87530137028107546</v>
      </c>
      <c r="X58">
        <v>-0.40318002868739888</v>
      </c>
      <c r="Y58">
        <v>-0.64897610400708028</v>
      </c>
      <c r="Z58">
        <v>0.95855586413159588</v>
      </c>
      <c r="AA58">
        <v>-0.61943418683431495</v>
      </c>
      <c r="AC58" s="7">
        <v>47</v>
      </c>
      <c r="AD58">
        <f t="shared" si="32"/>
        <v>26.47543292462132</v>
      </c>
      <c r="AE58">
        <f t="shared" si="33"/>
        <v>16.041041001888626</v>
      </c>
      <c r="AF58">
        <f t="shared" si="34"/>
        <v>14.295087458920664</v>
      </c>
      <c r="AG58">
        <f t="shared" si="35"/>
        <v>6.7124196563689775</v>
      </c>
      <c r="AH58">
        <f t="shared" si="36"/>
        <v>3.0745947139434584</v>
      </c>
      <c r="AI58">
        <f t="shared" si="37"/>
        <v>25.116625602050597</v>
      </c>
      <c r="AJ58">
        <f t="shared" si="38"/>
        <v>5.32156101271962</v>
      </c>
      <c r="AK58">
        <f t="shared" si="39"/>
        <v>4.4080983619784089</v>
      </c>
      <c r="AL58">
        <f t="shared" si="40"/>
        <v>21.06550730887421</v>
      </c>
      <c r="AM58">
        <f t="shared" si="41"/>
        <v>29.519464971274161</v>
      </c>
      <c r="AN58">
        <f t="shared" si="42"/>
        <v>12.023660941426593</v>
      </c>
      <c r="AO58">
        <f t="shared" si="43"/>
        <v>2.790350103325002</v>
      </c>
      <c r="AP58">
        <f t="shared" si="44"/>
        <v>12.182230635184069</v>
      </c>
      <c r="AQ58">
        <f t="shared" si="45"/>
        <v>27.473241157148422</v>
      </c>
      <c r="AR58">
        <f t="shared" si="46"/>
        <v>9.945385806222216</v>
      </c>
      <c r="AS58">
        <f t="shared" si="47"/>
        <v>12.568533399763455</v>
      </c>
      <c r="AT58">
        <f t="shared" si="48"/>
        <v>7.9016923595500543</v>
      </c>
      <c r="AU58">
        <f t="shared" si="49"/>
        <v>23.940848191955265</v>
      </c>
      <c r="AV58">
        <f t="shared" si="50"/>
        <v>3.8615389920058298</v>
      </c>
      <c r="AW58">
        <f t="shared" si="51"/>
        <v>29.524525706181311</v>
      </c>
      <c r="AX58">
        <f t="shared" si="52"/>
        <v>4.371829761810476</v>
      </c>
      <c r="AY58">
        <f t="shared" si="53"/>
        <v>10.895960512949218</v>
      </c>
      <c r="AZ58">
        <f t="shared" si="54"/>
        <v>7.499363934431349</v>
      </c>
      <c r="BA58">
        <f t="shared" si="55"/>
        <v>29.71345980938171</v>
      </c>
      <c r="BB58">
        <f t="shared" si="56"/>
        <v>7.9075965502750662</v>
      </c>
      <c r="BC58" s="2">
        <f t="shared" si="26"/>
        <v>14.185202034970004</v>
      </c>
      <c r="BD58">
        <f t="shared" si="27"/>
        <v>89.770732049806725</v>
      </c>
      <c r="BE58">
        <f t="shared" si="28"/>
        <v>9.4747417933053306</v>
      </c>
      <c r="BF58" s="12">
        <f t="shared" si="29"/>
        <v>16.402801025229078</v>
      </c>
      <c r="BG58">
        <f t="shared" si="30"/>
        <v>-2.2175989902590736</v>
      </c>
      <c r="BH58">
        <f t="shared" si="31"/>
        <v>4.9177452815980631</v>
      </c>
    </row>
    <row r="59" spans="1:60" x14ac:dyDescent="0.25">
      <c r="A59" s="7">
        <v>48</v>
      </c>
      <c r="B59" s="9">
        <f t="shared" si="25"/>
        <v>16.758992317866067</v>
      </c>
      <c r="C59">
        <v>-0.18271431623279522</v>
      </c>
      <c r="D59">
        <v>8.8839381084627744E-2</v>
      </c>
      <c r="E59">
        <v>-0.54179509872737808</v>
      </c>
      <c r="F59">
        <v>-0.98834192938016907</v>
      </c>
      <c r="G59">
        <v>-0.27530747398297062</v>
      </c>
      <c r="H59">
        <v>-0.60960722678304391</v>
      </c>
      <c r="I59">
        <v>0.20456556901760914</v>
      </c>
      <c r="J59">
        <v>-0.34879604480117188</v>
      </c>
      <c r="K59">
        <v>0.67412335581530192</v>
      </c>
      <c r="L59">
        <v>-0.57390057069612721</v>
      </c>
      <c r="M59">
        <v>0.98059022797326589</v>
      </c>
      <c r="N59">
        <v>6.8453016754661755E-2</v>
      </c>
      <c r="O59">
        <v>-0.99645985290078432</v>
      </c>
      <c r="P59">
        <v>0.24546037171544532</v>
      </c>
      <c r="Q59">
        <v>-0.55272072511978521</v>
      </c>
      <c r="R59">
        <v>0.85125278481398969</v>
      </c>
      <c r="S59">
        <v>-0.76458021790215769</v>
      </c>
      <c r="T59">
        <v>0.42283394878994107</v>
      </c>
      <c r="U59">
        <v>0.45677053132724987</v>
      </c>
      <c r="V59">
        <v>0.71794793542283397</v>
      </c>
      <c r="W59">
        <v>0.39121677297280799</v>
      </c>
      <c r="X59">
        <v>0.36338389233069868</v>
      </c>
      <c r="Y59">
        <v>-0.61589403973509937</v>
      </c>
      <c r="Z59">
        <v>0.77074495681630917</v>
      </c>
      <c r="AA59">
        <v>0.48197882015442373</v>
      </c>
      <c r="AC59" s="7">
        <v>48</v>
      </c>
      <c r="AD59">
        <f t="shared" si="32"/>
        <v>14.234107327105392</v>
      </c>
      <c r="AE59">
        <f t="shared" si="33"/>
        <v>17.986642260759723</v>
      </c>
      <c r="AF59">
        <f t="shared" si="34"/>
        <v>9.2720567506413687</v>
      </c>
      <c r="AG59">
        <f t="shared" si="35"/>
        <v>3.1013339871855141</v>
      </c>
      <c r="AH59">
        <f t="shared" si="36"/>
        <v>12.954584851413411</v>
      </c>
      <c r="AI59">
        <f t="shared" si="37"/>
        <v>8.3349773370001099</v>
      </c>
      <c r="AJ59">
        <f t="shared" si="38"/>
        <v>19.585834491420236</v>
      </c>
      <c r="AK59">
        <f t="shared" si="39"/>
        <v>11.939064046711273</v>
      </c>
      <c r="AL59">
        <f t="shared" si="40"/>
        <v>26.0745400982089</v>
      </c>
      <c r="AM59">
        <f t="shared" si="41"/>
        <v>8.8283989904475781</v>
      </c>
      <c r="AN59">
        <f t="shared" si="42"/>
        <v>30.309531759678539</v>
      </c>
      <c r="AO59">
        <f t="shared" si="43"/>
        <v>17.704928017594845</v>
      </c>
      <c r="AP59">
        <f t="shared" si="44"/>
        <v>2.9891543634102788</v>
      </c>
      <c r="AQ59">
        <f t="shared" si="45"/>
        <v>20.150949889385711</v>
      </c>
      <c r="AR59">
        <f t="shared" si="46"/>
        <v>9.1210781592446217</v>
      </c>
      <c r="AS59">
        <f t="shared" si="47"/>
        <v>28.522248881635484</v>
      </c>
      <c r="AT59">
        <f t="shared" si="48"/>
        <v>6.193443015456312</v>
      </c>
      <c r="AU59">
        <f t="shared" si="49"/>
        <v>22.60203249608373</v>
      </c>
      <c r="AV59">
        <f t="shared" si="50"/>
        <v>23.070993930813287</v>
      </c>
      <c r="AW59">
        <f t="shared" si="51"/>
        <v>26.680141375431607</v>
      </c>
      <c r="AX59">
        <f t="shared" si="52"/>
        <v>22.165122382432813</v>
      </c>
      <c r="AY59">
        <f t="shared" si="53"/>
        <v>21.780506529489145</v>
      </c>
      <c r="AZ59">
        <f t="shared" si="54"/>
        <v>8.2481013877606397</v>
      </c>
      <c r="BA59">
        <f t="shared" si="55"/>
        <v>27.409730657879571</v>
      </c>
      <c r="BB59">
        <f t="shared" si="56"/>
        <v>23.419341183589026</v>
      </c>
      <c r="BC59" s="2">
        <f t="shared" si="26"/>
        <v>16.907153766831168</v>
      </c>
      <c r="BD59">
        <f t="shared" si="27"/>
        <v>69.471208472625335</v>
      </c>
      <c r="BE59">
        <f t="shared" si="28"/>
        <v>8.3349390203303422</v>
      </c>
      <c r="BF59" s="12">
        <f t="shared" si="29"/>
        <v>16.690903243526488</v>
      </c>
      <c r="BG59">
        <f t="shared" si="30"/>
        <v>0.21625052330468009</v>
      </c>
      <c r="BH59">
        <f t="shared" si="31"/>
        <v>4.6764288829547987E-2</v>
      </c>
    </row>
    <row r="60" spans="1:60" x14ac:dyDescent="0.25">
      <c r="A60" s="7">
        <v>49</v>
      </c>
      <c r="B60" s="9">
        <f t="shared" si="25"/>
        <v>17.050576717915828</v>
      </c>
      <c r="C60">
        <v>-0.91827143162327951</v>
      </c>
      <c r="D60">
        <v>-0.95806756797997983</v>
      </c>
      <c r="E60">
        <v>2.4719992675557023E-3</v>
      </c>
      <c r="F60">
        <v>-0.76287118137150178</v>
      </c>
      <c r="G60">
        <v>0.26572466200750755</v>
      </c>
      <c r="H60">
        <v>0.73924985503708007</v>
      </c>
      <c r="I60">
        <v>0.37028107547227385</v>
      </c>
      <c r="J60">
        <v>0.13400677510910364</v>
      </c>
      <c r="K60">
        <v>0.43748283333841975</v>
      </c>
      <c r="L60">
        <v>-0.95312356944486831</v>
      </c>
      <c r="M60">
        <v>0.74791711172826325</v>
      </c>
      <c r="N60">
        <v>-0.20944853053376877</v>
      </c>
      <c r="O60">
        <v>-0.97473067415387438</v>
      </c>
      <c r="P60">
        <v>0.83367412335581537</v>
      </c>
      <c r="Q60">
        <v>6.949064607684563E-2</v>
      </c>
      <c r="R60">
        <v>-0.21585741752372811</v>
      </c>
      <c r="S60">
        <v>-0.84252449110385452</v>
      </c>
      <c r="T60">
        <v>0.13303018280587176</v>
      </c>
      <c r="U60">
        <v>0.97747734000671405</v>
      </c>
      <c r="V60">
        <v>0.95831171605578791</v>
      </c>
      <c r="W60">
        <v>0.99224829859309671</v>
      </c>
      <c r="X60">
        <v>-0.5943479720450453</v>
      </c>
      <c r="Y60">
        <v>0.28635517441328173</v>
      </c>
      <c r="Z60">
        <v>-0.71984008301034574</v>
      </c>
      <c r="AA60">
        <v>0.39396343882564766</v>
      </c>
      <c r="AC60" s="7">
        <v>49</v>
      </c>
      <c r="AD60">
        <f t="shared" si="32"/>
        <v>4.3612056661373142</v>
      </c>
      <c r="AE60">
        <f t="shared" si="33"/>
        <v>3.8112724728933003</v>
      </c>
      <c r="AF60">
        <f t="shared" si="34"/>
        <v>17.084736678539112</v>
      </c>
      <c r="AG60">
        <f t="shared" si="35"/>
        <v>6.508644178406124</v>
      </c>
      <c r="AH60">
        <f t="shared" si="36"/>
        <v>20.722561620964633</v>
      </c>
      <c r="AI60">
        <f t="shared" si="37"/>
        <v>27.266091855914134</v>
      </c>
      <c r="AJ60">
        <f t="shared" si="38"/>
        <v>22.167401436956961</v>
      </c>
      <c r="AK60">
        <f t="shared" si="39"/>
        <v>18.902383966025084</v>
      </c>
      <c r="AL60">
        <f t="shared" si="40"/>
        <v>23.096046292419633</v>
      </c>
      <c r="AM60">
        <f t="shared" si="41"/>
        <v>3.8795923941398716</v>
      </c>
      <c r="AN60">
        <f t="shared" si="42"/>
        <v>27.385862582050098</v>
      </c>
      <c r="AO60">
        <f t="shared" si="43"/>
        <v>14.156258078932945</v>
      </c>
      <c r="AP60">
        <f t="shared" si="44"/>
        <v>3.5810090346178143</v>
      </c>
      <c r="AQ60">
        <f t="shared" si="45"/>
        <v>28.570918006141881</v>
      </c>
      <c r="AR60">
        <f t="shared" si="46"/>
        <v>18.010851166548207</v>
      </c>
      <c r="AS60">
        <f t="shared" si="47"/>
        <v>14.067695218057759</v>
      </c>
      <c r="AT60">
        <f t="shared" si="48"/>
        <v>5.407934336100233</v>
      </c>
      <c r="AU60">
        <f t="shared" si="49"/>
        <v>18.888888672939341</v>
      </c>
      <c r="AV60">
        <f t="shared" si="50"/>
        <v>30.558099913017493</v>
      </c>
      <c r="AW60">
        <f t="shared" si="51"/>
        <v>30.293254786209793</v>
      </c>
      <c r="AX60">
        <f t="shared" si="52"/>
        <v>30.762216220939351</v>
      </c>
      <c r="AY60">
        <f t="shared" si="53"/>
        <v>8.8374256915145999</v>
      </c>
      <c r="AZ60">
        <f t="shared" si="54"/>
        <v>21.007649687400949</v>
      </c>
      <c r="BA60">
        <f t="shared" si="55"/>
        <v>7.1032805299966615</v>
      </c>
      <c r="BB60">
        <f t="shared" si="56"/>
        <v>22.494662294286222</v>
      </c>
      <c r="BC60" s="2">
        <f t="shared" si="26"/>
        <v>17.157037711245984</v>
      </c>
      <c r="BD60">
        <f t="shared" si="27"/>
        <v>89.1770030988705</v>
      </c>
      <c r="BE60">
        <f t="shared" si="28"/>
        <v>9.4433576178640237</v>
      </c>
      <c r="BF60" s="12">
        <f t="shared" si="29"/>
        <v>16.979005461823895</v>
      </c>
      <c r="BG60">
        <f t="shared" si="30"/>
        <v>0.17803224942208828</v>
      </c>
      <c r="BH60">
        <f t="shared" si="31"/>
        <v>3.1695481834288657E-2</v>
      </c>
    </row>
    <row r="61" spans="1:60" x14ac:dyDescent="0.25">
      <c r="A61" s="7">
        <v>50</v>
      </c>
      <c r="B61" s="9">
        <f t="shared" si="25"/>
        <v>17.342161117965588</v>
      </c>
      <c r="C61">
        <v>0.75804925687429425</v>
      </c>
      <c r="D61">
        <v>-0.42399365215002904</v>
      </c>
      <c r="E61">
        <v>-0.6879177220984527</v>
      </c>
      <c r="F61">
        <v>0.77098910489211714</v>
      </c>
      <c r="G61">
        <v>-0.3188879055146947</v>
      </c>
      <c r="H61">
        <v>0.22611163670766321</v>
      </c>
      <c r="I61">
        <v>0.35770744956816314</v>
      </c>
      <c r="J61">
        <v>0.8851893673512985</v>
      </c>
      <c r="K61">
        <v>0.87102877895443576</v>
      </c>
      <c r="L61">
        <v>0.20413830988494519</v>
      </c>
      <c r="M61">
        <v>-0.65282143620105593</v>
      </c>
      <c r="N61">
        <v>0.44669942320017086</v>
      </c>
      <c r="O61">
        <v>0.69377727591784422</v>
      </c>
      <c r="P61">
        <v>0.92052980132450335</v>
      </c>
      <c r="Q61">
        <v>-0.47685171056245612</v>
      </c>
      <c r="R61">
        <v>0.30716879787591167</v>
      </c>
      <c r="S61">
        <v>-0.14218573564867087</v>
      </c>
      <c r="T61">
        <v>-0.53807184057130653</v>
      </c>
      <c r="U61">
        <v>0.98956266975920903</v>
      </c>
      <c r="V61">
        <v>-0.93829157383953365</v>
      </c>
      <c r="W61">
        <v>0.85546433912167719</v>
      </c>
      <c r="X61">
        <v>0.51670888393810843</v>
      </c>
      <c r="Y61">
        <v>0.18655964842677086</v>
      </c>
      <c r="Z61">
        <v>0.87530137028107546</v>
      </c>
      <c r="AA61">
        <v>-0.2635883663441877</v>
      </c>
      <c r="AC61" s="7">
        <v>50</v>
      </c>
      <c r="AD61">
        <f t="shared" si="32"/>
        <v>27.817460647864436</v>
      </c>
      <c r="AE61">
        <f t="shared" si="33"/>
        <v>11.483095279208605</v>
      </c>
      <c r="AF61">
        <f t="shared" si="34"/>
        <v>7.8359923227866375</v>
      </c>
      <c r="AG61">
        <f t="shared" si="35"/>
        <v>27.996273281250531</v>
      </c>
      <c r="AH61">
        <f t="shared" si="36"/>
        <v>12.935526197561664</v>
      </c>
      <c r="AI61">
        <f t="shared" si="37"/>
        <v>20.466743195223955</v>
      </c>
      <c r="AJ61">
        <f t="shared" si="38"/>
        <v>22.285233938527785</v>
      </c>
      <c r="AK61">
        <f t="shared" si="39"/>
        <v>29.574379116464566</v>
      </c>
      <c r="AL61">
        <f t="shared" si="40"/>
        <v>29.378697366721298</v>
      </c>
      <c r="AM61">
        <f t="shared" si="41"/>
        <v>20.163099100794746</v>
      </c>
      <c r="AN61">
        <f t="shared" si="42"/>
        <v>8.3209794180555168</v>
      </c>
      <c r="AO61">
        <f t="shared" si="43"/>
        <v>23.514992520966089</v>
      </c>
      <c r="AP61">
        <f t="shared" si="44"/>
        <v>26.929301671658997</v>
      </c>
      <c r="AQ61">
        <f t="shared" si="45"/>
        <v>30.062740035004882</v>
      </c>
      <c r="AR61">
        <f t="shared" si="46"/>
        <v>10.752662540942779</v>
      </c>
      <c r="AS61">
        <f t="shared" si="47"/>
        <v>21.5868525213406</v>
      </c>
      <c r="AT61">
        <f t="shared" si="48"/>
        <v>15.377330790263237</v>
      </c>
      <c r="AU61">
        <f t="shared" si="49"/>
        <v>9.9066763556302835</v>
      </c>
      <c r="AV61">
        <f t="shared" si="50"/>
        <v>31.016688565003321</v>
      </c>
      <c r="AW61">
        <f t="shared" si="51"/>
        <v>4.3761365579293496</v>
      </c>
      <c r="AX61">
        <f t="shared" si="52"/>
        <v>29.163616133167274</v>
      </c>
      <c r="AY61">
        <f t="shared" si="53"/>
        <v>24.482436344050271</v>
      </c>
      <c r="AZ61">
        <f t="shared" si="54"/>
        <v>19.920183825251375</v>
      </c>
      <c r="BA61">
        <f t="shared" si="55"/>
        <v>29.437739273971424</v>
      </c>
      <c r="BB61">
        <f t="shared" si="56"/>
        <v>13.699697168541846</v>
      </c>
      <c r="BC61" s="2">
        <f t="shared" si="26"/>
        <v>20.339381366727256</v>
      </c>
      <c r="BD61">
        <f t="shared" si="27"/>
        <v>70.220356899013794</v>
      </c>
      <c r="BE61">
        <f t="shared" si="28"/>
        <v>8.3797587613853057</v>
      </c>
      <c r="BF61" s="12">
        <f t="shared" si="29"/>
        <v>17.267107680121306</v>
      </c>
      <c r="BG61">
        <f t="shared" si="30"/>
        <v>3.0722736866059499</v>
      </c>
      <c r="BH61">
        <f t="shared" si="31"/>
        <v>9.4388656054113138</v>
      </c>
    </row>
    <row r="62" spans="1:60" x14ac:dyDescent="0.25">
      <c r="A62" s="7">
        <v>51</v>
      </c>
      <c r="B62" s="9">
        <f t="shared" si="25"/>
        <v>17.633745518015346</v>
      </c>
      <c r="C62">
        <v>-0.69664601580858787</v>
      </c>
      <c r="D62">
        <v>0.35374004333628339</v>
      </c>
      <c r="E62">
        <v>0.34238715781121254</v>
      </c>
      <c r="F62">
        <v>0.77648243659779648</v>
      </c>
      <c r="G62">
        <v>-0.18356883449812311</v>
      </c>
      <c r="H62">
        <v>4.4160283211768014E-2</v>
      </c>
      <c r="I62">
        <v>-0.80413220618305004</v>
      </c>
      <c r="J62">
        <v>-0.39786980803857541</v>
      </c>
      <c r="K62">
        <v>-0.29972228156376846</v>
      </c>
      <c r="L62">
        <v>-0.24887844477675714</v>
      </c>
      <c r="M62">
        <v>0.67528305917538978</v>
      </c>
      <c r="N62">
        <v>-0.66405224768822291</v>
      </c>
      <c r="O62">
        <v>6.5095980712301937E-2</v>
      </c>
      <c r="P62">
        <v>-0.28843043305764948</v>
      </c>
      <c r="Q62">
        <v>0.36759544663838617</v>
      </c>
      <c r="R62">
        <v>-0.67699209570604579</v>
      </c>
      <c r="S62">
        <v>-0.44376964629047522</v>
      </c>
      <c r="T62">
        <v>0.9472029786065248</v>
      </c>
      <c r="U62">
        <v>-0.66612750633259066</v>
      </c>
      <c r="V62">
        <v>-0.99768059327982417</v>
      </c>
      <c r="W62">
        <v>0.9906613361003449</v>
      </c>
      <c r="X62">
        <v>0.6063722647785883</v>
      </c>
      <c r="Y62">
        <v>0.33298745689260545</v>
      </c>
      <c r="Z62">
        <v>0.48521378215887934</v>
      </c>
      <c r="AA62">
        <v>-0.12900173955504013</v>
      </c>
      <c r="AC62" s="7">
        <v>51</v>
      </c>
      <c r="AD62">
        <f t="shared" si="32"/>
        <v>8.0069625408825686</v>
      </c>
      <c r="AE62">
        <f t="shared" si="33"/>
        <v>22.521993710416712</v>
      </c>
      <c r="AF62">
        <f t="shared" si="34"/>
        <v>22.365110928294953</v>
      </c>
      <c r="AG62">
        <f t="shared" si="35"/>
        <v>28.363768704907585</v>
      </c>
      <c r="AH62">
        <f t="shared" si="36"/>
        <v>15.097052145804646</v>
      </c>
      <c r="AI62">
        <f t="shared" si="37"/>
        <v>18.243985802236274</v>
      </c>
      <c r="AJ62">
        <f t="shared" si="38"/>
        <v>6.5216368456330116</v>
      </c>
      <c r="AK62">
        <f t="shared" si="39"/>
        <v>12.135678769301979</v>
      </c>
      <c r="AL62">
        <f t="shared" si="40"/>
        <v>13.491955724419121</v>
      </c>
      <c r="AM62">
        <f t="shared" si="41"/>
        <v>14.194554420695601</v>
      </c>
      <c r="AN62">
        <f t="shared" si="42"/>
        <v>26.965318958897498</v>
      </c>
      <c r="AO62">
        <f t="shared" si="43"/>
        <v>8.4573679476192325</v>
      </c>
      <c r="AP62">
        <f t="shared" si="44"/>
        <v>18.533291147761883</v>
      </c>
      <c r="AQ62">
        <f t="shared" si="45"/>
        <v>13.647995050723022</v>
      </c>
      <c r="AR62">
        <f t="shared" si="46"/>
        <v>22.713458181070688</v>
      </c>
      <c r="AS62">
        <f t="shared" si="47"/>
        <v>8.2785553142331398</v>
      </c>
      <c r="AT62">
        <f t="shared" si="48"/>
        <v>11.50139999427207</v>
      </c>
      <c r="AU62">
        <f t="shared" si="49"/>
        <v>30.722914627458984</v>
      </c>
      <c r="AV62">
        <f t="shared" si="50"/>
        <v>8.428690449812029</v>
      </c>
      <c r="AW62">
        <f t="shared" si="51"/>
        <v>3.8470384472023795</v>
      </c>
      <c r="AX62">
        <f t="shared" si="52"/>
        <v>31.32345516977454</v>
      </c>
      <c r="AY62">
        <f t="shared" si="53"/>
        <v>26.013057340534779</v>
      </c>
      <c r="AZ62">
        <f t="shared" si="54"/>
        <v>22.235218732344681</v>
      </c>
      <c r="BA62">
        <f t="shared" si="55"/>
        <v>24.338797542084826</v>
      </c>
      <c r="BB62">
        <f t="shared" si="56"/>
        <v>15.85110164697052</v>
      </c>
      <c r="BC62" s="2">
        <f t="shared" si="26"/>
        <v>17.352014405734106</v>
      </c>
      <c r="BD62">
        <f t="shared" si="27"/>
        <v>64.732219371501671</v>
      </c>
      <c r="BE62">
        <f t="shared" si="28"/>
        <v>8.0456335593601125</v>
      </c>
      <c r="BF62" s="12">
        <f t="shared" si="29"/>
        <v>17.555209898418713</v>
      </c>
      <c r="BG62">
        <f t="shared" si="30"/>
        <v>-0.2031954926846069</v>
      </c>
      <c r="BH62">
        <f t="shared" si="31"/>
        <v>4.128840824734014E-2</v>
      </c>
    </row>
    <row r="63" spans="1:60" x14ac:dyDescent="0.25">
      <c r="A63" s="7">
        <v>52</v>
      </c>
      <c r="B63" s="9">
        <f t="shared" si="25"/>
        <v>17.92532991806511</v>
      </c>
      <c r="C63">
        <v>-0.33036286507766965</v>
      </c>
      <c r="D63">
        <v>0.95550401318399603</v>
      </c>
      <c r="E63">
        <v>0.40324106570635099</v>
      </c>
      <c r="F63">
        <v>-0.90722373119296851</v>
      </c>
      <c r="G63">
        <v>8.0843531601916485E-2</v>
      </c>
      <c r="H63">
        <v>0.4803918576616717</v>
      </c>
      <c r="I63">
        <v>0.58806115909298984</v>
      </c>
      <c r="J63">
        <v>-0.84594256416516611</v>
      </c>
      <c r="K63">
        <v>-0.63371684926908167</v>
      </c>
      <c r="L63">
        <v>0.26718955046235537</v>
      </c>
      <c r="M63">
        <v>0.14603106784264663</v>
      </c>
      <c r="N63">
        <v>0.18210394604327518</v>
      </c>
      <c r="O63">
        <v>-0.19492172002319408</v>
      </c>
      <c r="P63">
        <v>0.49510177922910237</v>
      </c>
      <c r="Q63">
        <v>0.48954741050447104</v>
      </c>
      <c r="R63">
        <v>-0.91088595233008818</v>
      </c>
      <c r="S63">
        <v>0.2125614185003204</v>
      </c>
      <c r="T63">
        <v>-0.93713187047944579</v>
      </c>
      <c r="U63">
        <v>-0.11178930021057776</v>
      </c>
      <c r="V63">
        <v>0.16898098696859654</v>
      </c>
      <c r="W63">
        <v>-0.60057374797814878</v>
      </c>
      <c r="X63">
        <v>-0.53886532181768243</v>
      </c>
      <c r="Y63">
        <v>-0.89831232642597736</v>
      </c>
      <c r="Z63">
        <v>0.4481032746360667</v>
      </c>
      <c r="AA63">
        <v>-0.63054292428357805</v>
      </c>
      <c r="AC63" s="7">
        <v>52</v>
      </c>
      <c r="AD63">
        <f t="shared" si="32"/>
        <v>13.360125303903708</v>
      </c>
      <c r="AE63">
        <f t="shared" si="33"/>
        <v>31.129209018737562</v>
      </c>
      <c r="AF63">
        <f t="shared" si="34"/>
        <v>23.497620778750061</v>
      </c>
      <c r="AG63">
        <f t="shared" si="35"/>
        <v>5.3886243693190607</v>
      </c>
      <c r="AH63">
        <f t="shared" si="36"/>
        <v>19.042487148819248</v>
      </c>
      <c r="AI63">
        <f t="shared" si="37"/>
        <v>24.563748932523733</v>
      </c>
      <c r="AJ63">
        <f t="shared" si="38"/>
        <v>26.051604995226867</v>
      </c>
      <c r="AK63">
        <f t="shared" si="39"/>
        <v>6.2354540104494163</v>
      </c>
      <c r="AL63">
        <f t="shared" si="40"/>
        <v>9.16814988914488</v>
      </c>
      <c r="AM63">
        <f t="shared" si="41"/>
        <v>21.617557760742528</v>
      </c>
      <c r="AN63">
        <f t="shared" si="42"/>
        <v>19.943297962292576</v>
      </c>
      <c r="AO63">
        <f t="shared" si="43"/>
        <v>20.441780350647196</v>
      </c>
      <c r="AP63">
        <f t="shared" si="44"/>
        <v>15.23175376373265</v>
      </c>
      <c r="AQ63">
        <f t="shared" si="45"/>
        <v>24.767021784627733</v>
      </c>
      <c r="AR63">
        <f t="shared" si="46"/>
        <v>24.690267305202575</v>
      </c>
      <c r="AS63">
        <f t="shared" si="47"/>
        <v>5.338017020247527</v>
      </c>
      <c r="AT63">
        <f t="shared" si="48"/>
        <v>20.862664803758797</v>
      </c>
      <c r="AU63">
        <f t="shared" si="49"/>
        <v>4.9753310185681912</v>
      </c>
      <c r="AV63">
        <f t="shared" si="50"/>
        <v>16.380540587656498</v>
      </c>
      <c r="AW63">
        <f t="shared" si="51"/>
        <v>20.260437349807528</v>
      </c>
      <c r="AX63">
        <f t="shared" si="52"/>
        <v>9.6261463982422715</v>
      </c>
      <c r="AY63">
        <f t="shared" si="53"/>
        <v>10.478880230097641</v>
      </c>
      <c r="AZ63">
        <f t="shared" si="54"/>
        <v>5.5117689187264638</v>
      </c>
      <c r="BA63">
        <f t="shared" si="55"/>
        <v>24.117560804876366</v>
      </c>
      <c r="BB63">
        <f t="shared" si="56"/>
        <v>9.2120095916735423</v>
      </c>
      <c r="BC63" s="2">
        <f t="shared" si="26"/>
        <v>16.475682403910984</v>
      </c>
      <c r="BD63">
        <f t="shared" si="27"/>
        <v>63.113512611043085</v>
      </c>
      <c r="BE63">
        <f t="shared" si="28"/>
        <v>7.9444013374856057</v>
      </c>
      <c r="BF63" s="12">
        <f t="shared" si="29"/>
        <v>17.843312116716124</v>
      </c>
      <c r="BG63">
        <f t="shared" si="30"/>
        <v>-1.3676297128051402</v>
      </c>
      <c r="BH63">
        <f t="shared" si="31"/>
        <v>1.8704110313474704</v>
      </c>
    </row>
    <row r="64" spans="1:60" x14ac:dyDescent="0.25">
      <c r="A64" s="7">
        <v>53</v>
      </c>
      <c r="B64" s="9">
        <f t="shared" si="25"/>
        <v>18.216914318114867</v>
      </c>
      <c r="C64">
        <v>-0.57029938657795953</v>
      </c>
      <c r="D64">
        <v>0.65764336069826346</v>
      </c>
      <c r="E64">
        <v>0.10269478438673052</v>
      </c>
      <c r="F64">
        <v>-0.68236335337382115</v>
      </c>
      <c r="G64">
        <v>-0.78716391491439563</v>
      </c>
      <c r="H64">
        <v>-0.66417432172612689</v>
      </c>
      <c r="I64">
        <v>-0.74510940885647137</v>
      </c>
      <c r="J64">
        <v>0.49168370616779078</v>
      </c>
      <c r="K64">
        <v>-0.77556688131351659</v>
      </c>
      <c r="L64">
        <v>0.42283394878994107</v>
      </c>
      <c r="M64">
        <v>-0.53953672902615435</v>
      </c>
      <c r="N64">
        <v>0.97943052461317781</v>
      </c>
      <c r="O64">
        <v>-6.3814203314310092E-2</v>
      </c>
      <c r="P64">
        <v>-0.70226142155217142</v>
      </c>
      <c r="Q64">
        <v>-0.80010376293221841</v>
      </c>
      <c r="R64">
        <v>0.4846644489883114</v>
      </c>
      <c r="S64">
        <v>-0.19968260750144962</v>
      </c>
      <c r="T64">
        <v>0.91332743308816799</v>
      </c>
      <c r="U64">
        <v>-0.31333353679006315</v>
      </c>
      <c r="V64">
        <v>0.15335551011688597</v>
      </c>
      <c r="W64">
        <v>2.0599993896298185E-2</v>
      </c>
      <c r="X64">
        <v>0.73320719016083258</v>
      </c>
      <c r="Y64">
        <v>0.30375072481460008</v>
      </c>
      <c r="Z64">
        <v>-0.48667867061372727</v>
      </c>
      <c r="AA64">
        <v>-1.6632587664418441E-2</v>
      </c>
      <c r="AC64" s="7">
        <v>53</v>
      </c>
      <c r="AD64">
        <f t="shared" si="32"/>
        <v>10.336084883950054</v>
      </c>
      <c r="AE64">
        <f t="shared" si="33"/>
        <v>27.304729027635794</v>
      </c>
      <c r="AF64">
        <f t="shared" si="34"/>
        <v>19.636028731662499</v>
      </c>
      <c r="AG64">
        <f t="shared" si="35"/>
        <v>8.7875000023610781</v>
      </c>
      <c r="AH64">
        <f t="shared" si="36"/>
        <v>7.3392863630973117</v>
      </c>
      <c r="AI64">
        <f t="shared" si="37"/>
        <v>9.0388498360830347</v>
      </c>
      <c r="AJ64">
        <f t="shared" si="38"/>
        <v>7.9204274216021098</v>
      </c>
      <c r="AK64">
        <f t="shared" si="39"/>
        <v>25.011372658877391</v>
      </c>
      <c r="AL64">
        <f t="shared" si="40"/>
        <v>7.4995429684905091</v>
      </c>
      <c r="AM64">
        <f t="shared" si="41"/>
        <v>24.05995449633253</v>
      </c>
      <c r="AN64">
        <f t="shared" si="42"/>
        <v>10.761186616150949</v>
      </c>
      <c r="AO64">
        <f t="shared" si="43"/>
        <v>31.751428099388015</v>
      </c>
      <c r="AP64">
        <f t="shared" si="44"/>
        <v>17.335081260543369</v>
      </c>
      <c r="AQ64">
        <f t="shared" si="45"/>
        <v>8.5125334057390685</v>
      </c>
      <c r="AR64">
        <f t="shared" si="46"/>
        <v>7.1604737297112209</v>
      </c>
      <c r="AS64">
        <f t="shared" si="47"/>
        <v>24.914375239823617</v>
      </c>
      <c r="AT64">
        <f t="shared" si="48"/>
        <v>15.457548609989413</v>
      </c>
      <c r="AU64">
        <f t="shared" si="49"/>
        <v>30.837965448646806</v>
      </c>
      <c r="AV64">
        <f t="shared" si="50"/>
        <v>13.887033877136105</v>
      </c>
      <c r="AW64">
        <f t="shared" si="51"/>
        <v>20.336097060485404</v>
      </c>
      <c r="AX64">
        <f t="shared" si="52"/>
        <v>18.501580656642254</v>
      </c>
      <c r="AY64">
        <f t="shared" si="53"/>
        <v>28.348927330145138</v>
      </c>
      <c r="AZ64">
        <f t="shared" si="54"/>
        <v>22.414372195689779</v>
      </c>
      <c r="BA64">
        <f t="shared" si="55"/>
        <v>11.491619354416773</v>
      </c>
      <c r="BB64">
        <f t="shared" si="56"/>
        <v>17.987072607748313</v>
      </c>
      <c r="BC64" s="2">
        <f t="shared" si="26"/>
        <v>17.065242875293947</v>
      </c>
      <c r="BD64">
        <f t="shared" si="27"/>
        <v>65.117421106555824</v>
      </c>
      <c r="BE64">
        <f t="shared" si="28"/>
        <v>8.069536610398135</v>
      </c>
      <c r="BF64" s="12">
        <f t="shared" si="29"/>
        <v>18.131414335013535</v>
      </c>
      <c r="BG64">
        <f t="shared" si="30"/>
        <v>-1.0661714597195875</v>
      </c>
      <c r="BH64">
        <f t="shared" si="31"/>
        <v>1.136721581520596</v>
      </c>
    </row>
    <row r="65" spans="1:60" x14ac:dyDescent="0.25">
      <c r="A65" s="7">
        <v>54</v>
      </c>
      <c r="B65" s="9">
        <f t="shared" si="25"/>
        <v>18.508498718164628</v>
      </c>
      <c r="C65">
        <v>-0.31022064882351141</v>
      </c>
      <c r="D65">
        <v>-1.8280587176122354E-2</v>
      </c>
      <c r="E65">
        <v>-0.41019928586687826</v>
      </c>
      <c r="F65">
        <v>0.16055787835322133</v>
      </c>
      <c r="G65">
        <v>0.72313608203375357</v>
      </c>
      <c r="H65">
        <v>-0.16873683889278845</v>
      </c>
      <c r="I65">
        <v>0.25925473799859611</v>
      </c>
      <c r="J65">
        <v>0.29917294839320041</v>
      </c>
      <c r="K65">
        <v>-0.53520310068056276</v>
      </c>
      <c r="L65">
        <v>-0.65886410107730331</v>
      </c>
      <c r="M65">
        <v>0.90362254707480094</v>
      </c>
      <c r="N65">
        <v>-0.29313028351695303</v>
      </c>
      <c r="O65">
        <v>0.62895596179082625</v>
      </c>
      <c r="P65">
        <v>-0.54399243140965003</v>
      </c>
      <c r="Q65">
        <v>0.4285714285714286</v>
      </c>
      <c r="R65">
        <v>-0.55076754051332133</v>
      </c>
      <c r="S65">
        <v>0.6725974303415021</v>
      </c>
      <c r="T65">
        <v>0.84484389782403024</v>
      </c>
      <c r="U65">
        <v>-0.29313028351695303</v>
      </c>
      <c r="V65">
        <v>-0.73149815363017678</v>
      </c>
      <c r="W65">
        <v>0.28800317392498553</v>
      </c>
      <c r="X65">
        <v>0.67394024475844594</v>
      </c>
      <c r="Y65">
        <v>0.510177922910245</v>
      </c>
      <c r="Z65">
        <v>-0.96209601123081145</v>
      </c>
      <c r="AA65">
        <v>-0.71031830805383467</v>
      </c>
      <c r="AC65" s="7">
        <v>54</v>
      </c>
      <c r="AD65">
        <f t="shared" si="32"/>
        <v>14.221634523896672</v>
      </c>
      <c r="AE65">
        <f t="shared" si="33"/>
        <v>18.255883700715881</v>
      </c>
      <c r="AF65">
        <f t="shared" si="34"/>
        <v>12.840053894243759</v>
      </c>
      <c r="AG65">
        <f t="shared" si="35"/>
        <v>20.727209247042516</v>
      </c>
      <c r="AH65">
        <f t="shared" si="36"/>
        <v>28.501341520248175</v>
      </c>
      <c r="AI65">
        <f t="shared" si="37"/>
        <v>16.176765109693644</v>
      </c>
      <c r="AJ65">
        <f t="shared" si="38"/>
        <v>22.091077304520386</v>
      </c>
      <c r="AK65">
        <f t="shared" si="39"/>
        <v>22.642697409400121</v>
      </c>
      <c r="AL65">
        <f t="shared" si="40"/>
        <v>11.112656379268692</v>
      </c>
      <c r="AM65">
        <f t="shared" si="41"/>
        <v>9.4038148922865226</v>
      </c>
      <c r="AN65">
        <f t="shared" si="42"/>
        <v>30.995440373657001</v>
      </c>
      <c r="AO65">
        <f t="shared" si="43"/>
        <v>14.457802152897166</v>
      </c>
      <c r="AP65">
        <f t="shared" si="44"/>
        <v>27.199889193291867</v>
      </c>
      <c r="AQ65">
        <f t="shared" si="45"/>
        <v>10.991198741497008</v>
      </c>
      <c r="AR65">
        <f t="shared" si="46"/>
        <v>24.43082374326103</v>
      </c>
      <c r="AS65">
        <f t="shared" si="47"/>
        <v>10.897575145714669</v>
      </c>
      <c r="AT65">
        <f t="shared" si="48"/>
        <v>27.80296010306099</v>
      </c>
      <c r="AU65">
        <f t="shared" si="49"/>
        <v>30.183192421058862</v>
      </c>
      <c r="AV65">
        <f t="shared" si="50"/>
        <v>14.457802152897166</v>
      </c>
      <c r="AW65">
        <f t="shared" si="51"/>
        <v>8.4001024690344064</v>
      </c>
      <c r="AX65">
        <f t="shared" si="52"/>
        <v>22.488344994731939</v>
      </c>
      <c r="AY65">
        <f t="shared" si="53"/>
        <v>27.821516131053883</v>
      </c>
      <c r="AZ65">
        <f t="shared" si="54"/>
        <v>25.558524171738405</v>
      </c>
      <c r="BA65">
        <f t="shared" si="55"/>
        <v>5.2135263891634107</v>
      </c>
      <c r="BB65">
        <f t="shared" si="56"/>
        <v>8.6927816378314535</v>
      </c>
      <c r="BC65" s="2">
        <f t="shared" si="26"/>
        <v>18.62258455208822</v>
      </c>
      <c r="BD65">
        <f t="shared" si="27"/>
        <v>62.16741320528687</v>
      </c>
      <c r="BE65">
        <f t="shared" si="28"/>
        <v>7.8846314565290161</v>
      </c>
      <c r="BF65" s="12">
        <f t="shared" si="29"/>
        <v>18.419516553310942</v>
      </c>
      <c r="BG65">
        <f t="shared" si="30"/>
        <v>0.20306799877727855</v>
      </c>
      <c r="BH65">
        <f t="shared" si="31"/>
        <v>4.1236612127408805E-2</v>
      </c>
    </row>
    <row r="66" spans="1:60" x14ac:dyDescent="0.25">
      <c r="A66" s="7">
        <v>55</v>
      </c>
      <c r="B66" s="9">
        <f t="shared" si="25"/>
        <v>18.800083118214388</v>
      </c>
      <c r="C66">
        <v>0.19583727530747397</v>
      </c>
      <c r="D66">
        <v>-8.2094790490432334E-3</v>
      </c>
      <c r="E66">
        <v>-0.43607898190252392</v>
      </c>
      <c r="F66">
        <v>-0.54136783959471413</v>
      </c>
      <c r="G66">
        <v>0.46751304666280102</v>
      </c>
      <c r="H66">
        <v>0.78289132358775593</v>
      </c>
      <c r="I66">
        <v>0.54838709677419351</v>
      </c>
      <c r="J66">
        <v>-9.4637897885067268E-2</v>
      </c>
      <c r="K66">
        <v>0.50962858973967706</v>
      </c>
      <c r="L66">
        <v>-0.23636585589159831</v>
      </c>
      <c r="M66">
        <v>0.5229346598712119</v>
      </c>
      <c r="N66">
        <v>0.51585436567278053</v>
      </c>
      <c r="O66">
        <v>-0.78008362071596427</v>
      </c>
      <c r="P66">
        <v>-0.42612994781334879</v>
      </c>
      <c r="Q66">
        <v>0.56962797936948761</v>
      </c>
      <c r="R66">
        <v>4.1474654377880116E-2</v>
      </c>
      <c r="S66">
        <v>-0.64696188238166452</v>
      </c>
      <c r="T66">
        <v>-7.6631977294228992E-2</v>
      </c>
      <c r="U66">
        <v>0.63798944059572138</v>
      </c>
      <c r="V66">
        <v>0.39622180852687161</v>
      </c>
      <c r="W66">
        <v>0.87902462843714724</v>
      </c>
      <c r="X66">
        <v>0.7661671803949095</v>
      </c>
      <c r="Y66">
        <v>0.27304910428174689</v>
      </c>
      <c r="Z66">
        <v>-0.27677236243781855</v>
      </c>
      <c r="AA66">
        <v>3.3478804895168857E-2</v>
      </c>
      <c r="AC66" s="7">
        <v>55</v>
      </c>
      <c r="AD66">
        <f t="shared" si="32"/>
        <v>21.506311109814732</v>
      </c>
      <c r="AE66">
        <f t="shared" si="33"/>
        <v>18.686638310712365</v>
      </c>
      <c r="AF66">
        <f t="shared" si="34"/>
        <v>12.774013027521338</v>
      </c>
      <c r="AG66">
        <f t="shared" si="35"/>
        <v>11.319051741714704</v>
      </c>
      <c r="AH66">
        <f t="shared" si="36"/>
        <v>25.260532955104782</v>
      </c>
      <c r="AI66">
        <f t="shared" si="37"/>
        <v>29.618669165981817</v>
      </c>
      <c r="AJ66">
        <f t="shared" si="38"/>
        <v>26.378111913767849</v>
      </c>
      <c r="AK66">
        <f t="shared" si="39"/>
        <v>17.492304872624135</v>
      </c>
      <c r="AL66">
        <f t="shared" si="40"/>
        <v>25.842517469427435</v>
      </c>
      <c r="AM66">
        <f t="shared" si="41"/>
        <v>15.533800463555721</v>
      </c>
      <c r="AN66">
        <f t="shared" si="42"/>
        <v>26.02639083772068</v>
      </c>
      <c r="AO66">
        <f t="shared" si="43"/>
        <v>25.928549962849047</v>
      </c>
      <c r="AP66">
        <f t="shared" si="44"/>
        <v>8.0202960380684676</v>
      </c>
      <c r="AQ66">
        <f t="shared" si="45"/>
        <v>12.911496325832342</v>
      </c>
      <c r="AR66">
        <f t="shared" si="46"/>
        <v>26.671634538382754</v>
      </c>
      <c r="AS66">
        <f t="shared" si="47"/>
        <v>19.373211346449523</v>
      </c>
      <c r="AT66">
        <f t="shared" si="48"/>
        <v>9.8598731768187715</v>
      </c>
      <c r="AU66">
        <f t="shared" si="49"/>
        <v>17.741124338892515</v>
      </c>
      <c r="AV66">
        <f t="shared" si="50"/>
        <v>27.616305054384746</v>
      </c>
      <c r="AW66">
        <f t="shared" si="51"/>
        <v>24.275376559845565</v>
      </c>
      <c r="AX66">
        <f t="shared" si="52"/>
        <v>30.947112079109615</v>
      </c>
      <c r="AY66">
        <f t="shared" si="53"/>
        <v>29.387562271888473</v>
      </c>
      <c r="AZ66">
        <f t="shared" si="54"/>
        <v>22.573282719406265</v>
      </c>
      <c r="BA66">
        <f t="shared" si="55"/>
        <v>14.975432712133118</v>
      </c>
      <c r="BB66">
        <f t="shared" si="56"/>
        <v>19.262718634310005</v>
      </c>
      <c r="BC66" s="2">
        <f t="shared" si="26"/>
        <v>20.799292705052672</v>
      </c>
      <c r="BD66">
        <f t="shared" si="27"/>
        <v>44.648185228544207</v>
      </c>
      <c r="BE66">
        <f t="shared" si="28"/>
        <v>6.6819297533380437</v>
      </c>
      <c r="BF66" s="12">
        <f t="shared" si="29"/>
        <v>18.707618771608352</v>
      </c>
      <c r="BG66">
        <f t="shared" si="30"/>
        <v>2.0916739334443193</v>
      </c>
      <c r="BH66">
        <f t="shared" si="31"/>
        <v>4.3750998438504309</v>
      </c>
    </row>
    <row r="67" spans="1:60" x14ac:dyDescent="0.25">
      <c r="A67" s="7">
        <v>56</v>
      </c>
      <c r="B67" s="9">
        <f t="shared" si="25"/>
        <v>19.091667518264149</v>
      </c>
      <c r="C67">
        <v>0.4004333628345591</v>
      </c>
      <c r="D67">
        <v>0.56578264717551185</v>
      </c>
      <c r="E67">
        <v>-0.20645771660512102</v>
      </c>
      <c r="F67">
        <v>-0.62858973967711418</v>
      </c>
      <c r="G67">
        <v>0.55644398327585676</v>
      </c>
      <c r="H67">
        <v>-0.8613238929410687</v>
      </c>
      <c r="I67">
        <v>0.2992339854121524</v>
      </c>
      <c r="J67">
        <v>-0.8622394482253487</v>
      </c>
      <c r="K67">
        <v>-0.4642780846583453</v>
      </c>
      <c r="L67">
        <v>0.97906430249946585</v>
      </c>
      <c r="M67">
        <v>-0.39616077150791951</v>
      </c>
      <c r="N67">
        <v>-0.73345133823664055</v>
      </c>
      <c r="O67">
        <v>-0.53697317423017066</v>
      </c>
      <c r="P67">
        <v>0.93224890896328616</v>
      </c>
      <c r="Q67">
        <v>0.51194799645985301</v>
      </c>
      <c r="R67">
        <v>0.32151249732963039</v>
      </c>
      <c r="S67">
        <v>0.71440778832361818</v>
      </c>
      <c r="T67">
        <v>0.66789757988219844</v>
      </c>
      <c r="U67">
        <v>0.62108218634601875</v>
      </c>
      <c r="V67">
        <v>0.69078646198919635</v>
      </c>
      <c r="W67">
        <v>-0.41654713583788572</v>
      </c>
      <c r="X67">
        <v>-6.8941312906277696E-2</v>
      </c>
      <c r="Y67">
        <v>-0.18210394604327529</v>
      </c>
      <c r="Z67">
        <v>0.34775841547898811</v>
      </c>
      <c r="AA67">
        <v>0.24845118564409319</v>
      </c>
      <c r="AC67" s="7">
        <v>56</v>
      </c>
      <c r="AD67">
        <f t="shared" si="32"/>
        <v>24.625159411327587</v>
      </c>
      <c r="AE67">
        <f t="shared" si="33"/>
        <v>26.910081221907401</v>
      </c>
      <c r="AF67">
        <f t="shared" si="34"/>
        <v>16.238678214356355</v>
      </c>
      <c r="AG67">
        <f t="shared" si="35"/>
        <v>10.405337778044068</v>
      </c>
      <c r="AH67">
        <f t="shared" si="36"/>
        <v>26.781032481774986</v>
      </c>
      <c r="AI67">
        <f t="shared" si="37"/>
        <v>7.1892407445480089</v>
      </c>
      <c r="AJ67">
        <f t="shared" si="38"/>
        <v>23.2267096653175</v>
      </c>
      <c r="AK67">
        <f t="shared" si="39"/>
        <v>7.1765889072801237</v>
      </c>
      <c r="AL67">
        <f t="shared" si="40"/>
        <v>12.675920839720279</v>
      </c>
      <c r="AM67">
        <f t="shared" si="41"/>
        <v>32.621120564630147</v>
      </c>
      <c r="AN67">
        <f t="shared" si="42"/>
        <v>13.617217532450834</v>
      </c>
      <c r="AO67">
        <f t="shared" si="43"/>
        <v>8.9562806829624435</v>
      </c>
      <c r="AP67">
        <f t="shared" si="44"/>
        <v>11.671364960650305</v>
      </c>
      <c r="AQ67">
        <f t="shared" si="45"/>
        <v>31.974189952332353</v>
      </c>
      <c r="AR67">
        <f t="shared" si="46"/>
        <v>26.166153190555839</v>
      </c>
      <c r="AS67">
        <f t="shared" si="47"/>
        <v>23.534571038836006</v>
      </c>
      <c r="AT67">
        <f t="shared" si="48"/>
        <v>28.963896138393871</v>
      </c>
      <c r="AU67">
        <f t="shared" si="49"/>
        <v>28.321182805185373</v>
      </c>
      <c r="AV67">
        <f t="shared" si="50"/>
        <v>27.674252192887582</v>
      </c>
      <c r="AW67">
        <f t="shared" si="51"/>
        <v>28.637478736882468</v>
      </c>
      <c r="AX67">
        <f t="shared" si="52"/>
        <v>13.335503289285953</v>
      </c>
      <c r="AY67">
        <f t="shared" si="53"/>
        <v>18.138984171992497</v>
      </c>
      <c r="AZ67">
        <f t="shared" si="54"/>
        <v>16.575217085682063</v>
      </c>
      <c r="BA67">
        <f t="shared" si="55"/>
        <v>23.897257040515342</v>
      </c>
      <c r="BB67">
        <f t="shared" si="56"/>
        <v>22.52495442485888</v>
      </c>
      <c r="BC67" s="2">
        <f t="shared" si="26"/>
        <v>20.473534922895134</v>
      </c>
      <c r="BD67">
        <f t="shared" si="27"/>
        <v>64.91067676038567</v>
      </c>
      <c r="BE67">
        <f t="shared" si="28"/>
        <v>8.056716251698683</v>
      </c>
      <c r="BF67" s="12">
        <f t="shared" si="29"/>
        <v>18.995720989905763</v>
      </c>
      <c r="BG67">
        <f t="shared" si="30"/>
        <v>1.4778139329893705</v>
      </c>
      <c r="BH67">
        <f t="shared" si="31"/>
        <v>2.1839340205375115</v>
      </c>
    </row>
    <row r="68" spans="1:60" x14ac:dyDescent="0.25">
      <c r="A68" s="7">
        <v>57</v>
      </c>
      <c r="B68" s="9">
        <f t="shared" si="25"/>
        <v>19.383251918313906</v>
      </c>
      <c r="C68">
        <v>0.89129306924649798</v>
      </c>
      <c r="D68">
        <v>0.48197882015442373</v>
      </c>
      <c r="E68">
        <v>0.49125644703512683</v>
      </c>
      <c r="F68">
        <v>-0.89751884517960145</v>
      </c>
      <c r="G68">
        <v>-0.59880367442854099</v>
      </c>
      <c r="H68">
        <v>0.95812860499893193</v>
      </c>
      <c r="I68">
        <v>-0.62358470412305067</v>
      </c>
      <c r="J68">
        <v>0.50981170079653304</v>
      </c>
      <c r="K68">
        <v>-2.1149327066866008E-2</v>
      </c>
      <c r="L68">
        <v>-0.13821832941679124</v>
      </c>
      <c r="M68">
        <v>-0.34965056306649989</v>
      </c>
      <c r="N68">
        <v>4.9897762993255323E-2</v>
      </c>
      <c r="O68">
        <v>0.3238929410687581</v>
      </c>
      <c r="P68">
        <v>-0.22177800836207162</v>
      </c>
      <c r="Q68">
        <v>-0.49674977874080628</v>
      </c>
      <c r="R68">
        <v>0.31302835169530319</v>
      </c>
      <c r="S68">
        <v>0.18247016815698713</v>
      </c>
      <c r="T68">
        <v>-8.0721457564012611E-2</v>
      </c>
      <c r="U68">
        <v>0.94940031128879676</v>
      </c>
      <c r="V68">
        <v>-0.69182409131138034</v>
      </c>
      <c r="W68">
        <v>0.37180700094607388</v>
      </c>
      <c r="X68">
        <v>0.29911191137424842</v>
      </c>
      <c r="Y68">
        <v>-0.45127719962157054</v>
      </c>
      <c r="Z68">
        <v>0.54795983764152956</v>
      </c>
      <c r="AA68">
        <v>0.77745902890102858</v>
      </c>
      <c r="AC68" s="7">
        <v>57</v>
      </c>
      <c r="AD68">
        <f t="shared" si="32"/>
        <v>31.699815498598777</v>
      </c>
      <c r="AE68">
        <f t="shared" si="33"/>
        <v>26.043600784036865</v>
      </c>
      <c r="AF68">
        <f t="shared" si="34"/>
        <v>26.171806068351419</v>
      </c>
      <c r="AG68">
        <f t="shared" si="35"/>
        <v>6.9806558446074263</v>
      </c>
      <c r="AH68">
        <f t="shared" si="36"/>
        <v>11.108528617208977</v>
      </c>
      <c r="AI68">
        <f t="shared" si="37"/>
        <v>32.623399619154299</v>
      </c>
      <c r="AJ68">
        <f t="shared" si="38"/>
        <v>10.766085555158256</v>
      </c>
      <c r="AK68">
        <f t="shared" si="39"/>
        <v>26.42821663698053</v>
      </c>
      <c r="AL68">
        <f t="shared" si="40"/>
        <v>19.090994477425792</v>
      </c>
      <c r="AM68">
        <f t="shared" si="41"/>
        <v>17.473246218772385</v>
      </c>
      <c r="AN68">
        <f t="shared" si="42"/>
        <v>14.551515265709085</v>
      </c>
      <c r="AO68">
        <f t="shared" si="43"/>
        <v>20.07277704941357</v>
      </c>
      <c r="AP68">
        <f t="shared" si="44"/>
        <v>23.859050215782261</v>
      </c>
      <c r="AQ68">
        <f t="shared" si="45"/>
        <v>16.318555204123523</v>
      </c>
      <c r="AR68">
        <f t="shared" si="46"/>
        <v>12.518786744669091</v>
      </c>
      <c r="AS68">
        <f t="shared" si="47"/>
        <v>23.708915080203376</v>
      </c>
      <c r="AT68">
        <f t="shared" si="48"/>
        <v>21.904763085803143</v>
      </c>
      <c r="AU68">
        <f t="shared" si="49"/>
        <v>18.267781599195484</v>
      </c>
      <c r="AV68">
        <f t="shared" si="50"/>
        <v>32.502785437200473</v>
      </c>
      <c r="AW68">
        <f t="shared" si="51"/>
        <v>9.823101950791985</v>
      </c>
      <c r="AX68">
        <f t="shared" si="52"/>
        <v>24.521163032801514</v>
      </c>
      <c r="AY68">
        <f t="shared" si="53"/>
        <v>23.516607153731542</v>
      </c>
      <c r="AZ68">
        <f t="shared" si="54"/>
        <v>13.147161328973985</v>
      </c>
      <c r="BA68">
        <f t="shared" si="55"/>
        <v>26.955376523142355</v>
      </c>
      <c r="BB68">
        <f t="shared" si="56"/>
        <v>30.126770398291896</v>
      </c>
      <c r="BC68" s="2">
        <f t="shared" si="26"/>
        <v>20.807258375605119</v>
      </c>
      <c r="BD68">
        <f t="shared" si="27"/>
        <v>56.749851077941308</v>
      </c>
      <c r="BE68">
        <f t="shared" si="28"/>
        <v>7.5332497023490008</v>
      </c>
      <c r="BF68" s="12">
        <f t="shared" si="29"/>
        <v>19.283823208203174</v>
      </c>
      <c r="BG68">
        <f t="shared" si="30"/>
        <v>1.5234351674019457</v>
      </c>
      <c r="BH68">
        <f t="shared" si="31"/>
        <v>2.3208547092769942</v>
      </c>
    </row>
    <row r="69" spans="1:60" x14ac:dyDescent="0.25">
      <c r="A69" s="7">
        <v>58</v>
      </c>
      <c r="B69" s="9">
        <f t="shared" si="25"/>
        <v>19.674836318363667</v>
      </c>
      <c r="C69">
        <v>0.9923703726310007</v>
      </c>
      <c r="D69">
        <v>0.88293099765007477</v>
      </c>
      <c r="E69">
        <v>0.87047944578386782</v>
      </c>
      <c r="F69">
        <v>-0.86413159581286048</v>
      </c>
      <c r="G69">
        <v>-0.96325571459089943</v>
      </c>
      <c r="H69">
        <v>9.7323526718954945E-2</v>
      </c>
      <c r="I69">
        <v>-0.9370708334604938</v>
      </c>
      <c r="J69">
        <v>-0.58549760429700615</v>
      </c>
      <c r="K69">
        <v>0.54289376506851394</v>
      </c>
      <c r="L69">
        <v>-0.17752616962187562</v>
      </c>
      <c r="M69">
        <v>-0.65178380687887205</v>
      </c>
      <c r="N69">
        <v>-0.3979918820764794</v>
      </c>
      <c r="O69">
        <v>0.5730460524307992</v>
      </c>
      <c r="P69">
        <v>0.78643147068697172</v>
      </c>
      <c r="Q69">
        <v>0.79723502304147464</v>
      </c>
      <c r="R69">
        <v>-0.2788476210821863</v>
      </c>
      <c r="S69">
        <v>0.35258033997619553</v>
      </c>
      <c r="T69">
        <v>0.43113498336741229</v>
      </c>
      <c r="U69">
        <v>0.72930082094790483</v>
      </c>
      <c r="V69">
        <v>-0.12283700064088865</v>
      </c>
      <c r="W69">
        <v>0.37571337015900141</v>
      </c>
      <c r="X69">
        <v>-0.15451521347697383</v>
      </c>
      <c r="Y69">
        <v>-0.83611560411389507</v>
      </c>
      <c r="Z69">
        <v>-0.84685811944944611</v>
      </c>
      <c r="AA69">
        <v>0.96801660206915496</v>
      </c>
      <c r="AC69" s="7">
        <v>58</v>
      </c>
      <c r="AD69">
        <f t="shared" si="32"/>
        <v>33.388162733022909</v>
      </c>
      <c r="AE69">
        <f t="shared" si="33"/>
        <v>31.875846451601866</v>
      </c>
      <c r="AF69">
        <f t="shared" si="34"/>
        <v>31.703781464758645</v>
      </c>
      <c r="AG69">
        <f t="shared" si="35"/>
        <v>7.7336105770260151</v>
      </c>
      <c r="AH69">
        <f t="shared" si="36"/>
        <v>6.3638383288231299</v>
      </c>
      <c r="AI69">
        <f t="shared" si="37"/>
        <v>21.019726619939714</v>
      </c>
      <c r="AJ69">
        <f t="shared" si="38"/>
        <v>6.7256808746846062</v>
      </c>
      <c r="AK69">
        <f t="shared" si="39"/>
        <v>11.583986385551983</v>
      </c>
      <c r="AL69">
        <f t="shared" si="40"/>
        <v>27.176954090309824</v>
      </c>
      <c r="AM69">
        <f t="shared" si="41"/>
        <v>17.221645072120999</v>
      </c>
      <c r="AN69">
        <f t="shared" si="42"/>
        <v>10.667993367357196</v>
      </c>
      <c r="AO69">
        <f t="shared" si="43"/>
        <v>14.175082658014583</v>
      </c>
      <c r="AP69">
        <f t="shared" si="44"/>
        <v>27.593621264332132</v>
      </c>
      <c r="AQ69">
        <f t="shared" si="45"/>
        <v>30.542342803566918</v>
      </c>
      <c r="AR69">
        <f t="shared" si="46"/>
        <v>30.691634483327945</v>
      </c>
      <c r="AS69">
        <f t="shared" si="47"/>
        <v>15.821508414475193</v>
      </c>
      <c r="AT69">
        <f t="shared" si="48"/>
        <v>24.547058850225714</v>
      </c>
      <c r="AU69">
        <f t="shared" si="49"/>
        <v>25.632586487810144</v>
      </c>
      <c r="AV69">
        <f t="shared" si="50"/>
        <v>29.752868158050966</v>
      </c>
      <c r="AW69">
        <f t="shared" si="51"/>
        <v>17.977381484922592</v>
      </c>
      <c r="AX69">
        <f t="shared" si="52"/>
        <v>24.866728605194247</v>
      </c>
      <c r="AY69">
        <f t="shared" si="53"/>
        <v>17.539627915453814</v>
      </c>
      <c r="AZ69">
        <f t="shared" si="54"/>
        <v>8.12075679742326</v>
      </c>
      <c r="BA69">
        <f t="shared" si="55"/>
        <v>7.97230857348009</v>
      </c>
      <c r="BB69">
        <f t="shared" si="56"/>
        <v>33.051623861697202</v>
      </c>
      <c r="BC69" s="2">
        <f t="shared" si="26"/>
        <v>20.549854252926867</v>
      </c>
      <c r="BD69">
        <f t="shared" si="27"/>
        <v>89.686655067788863</v>
      </c>
      <c r="BE69">
        <f t="shared" si="28"/>
        <v>9.470303852981111</v>
      </c>
      <c r="BF69" s="12">
        <f t="shared" si="29"/>
        <v>19.571925426500581</v>
      </c>
      <c r="BG69">
        <f t="shared" si="30"/>
        <v>0.97792882642628598</v>
      </c>
      <c r="BH69">
        <f t="shared" si="31"/>
        <v>0.95634478955549296</v>
      </c>
    </row>
    <row r="70" spans="1:60" x14ac:dyDescent="0.25">
      <c r="A70" s="7">
        <v>59</v>
      </c>
      <c r="B70" s="9">
        <f t="shared" si="25"/>
        <v>19.966420718413428</v>
      </c>
      <c r="C70">
        <v>0.32706686605426194</v>
      </c>
      <c r="D70">
        <v>0.38529618213446448</v>
      </c>
      <c r="E70">
        <v>-0.83367412335581537</v>
      </c>
      <c r="F70">
        <v>0.86889248329111601</v>
      </c>
      <c r="G70">
        <v>-0.11484115115817739</v>
      </c>
      <c r="H70">
        <v>0.68291268654438908</v>
      </c>
      <c r="I70">
        <v>-0.90362254707480083</v>
      </c>
      <c r="J70">
        <v>-0.60423596911526833</v>
      </c>
      <c r="K70">
        <v>0.99804681539353624</v>
      </c>
      <c r="L70">
        <v>0.32999664296395759</v>
      </c>
      <c r="M70">
        <v>-8.8503677480389342E-4</v>
      </c>
      <c r="N70">
        <v>0.75316629535813462</v>
      </c>
      <c r="O70">
        <v>-6.3875240333262084E-2</v>
      </c>
      <c r="P70">
        <v>0.86352122562334066</v>
      </c>
      <c r="Q70">
        <v>-0.78197576830347604</v>
      </c>
      <c r="R70">
        <v>4.8188726462599529E-2</v>
      </c>
      <c r="S70">
        <v>0.96502578814050732</v>
      </c>
      <c r="T70">
        <v>-0.27347636341441084</v>
      </c>
      <c r="U70">
        <v>0.70586260567033898</v>
      </c>
      <c r="V70">
        <v>-0.42374950407422096</v>
      </c>
      <c r="W70">
        <v>-0.26163518173772393</v>
      </c>
      <c r="X70">
        <v>-0.66264839625232708</v>
      </c>
      <c r="Y70">
        <v>6.8514053773613748E-2</v>
      </c>
      <c r="Z70">
        <v>0.93835261085848565</v>
      </c>
      <c r="AA70">
        <v>-0.80339976195562612</v>
      </c>
      <c r="AC70" s="7">
        <v>59</v>
      </c>
      <c r="AD70">
        <f t="shared" si="32"/>
        <v>24.486078718410447</v>
      </c>
      <c r="AE70">
        <f t="shared" si="33"/>
        <v>25.290735568647854</v>
      </c>
      <c r="AF70">
        <f t="shared" si="34"/>
        <v>8.4460794301873765</v>
      </c>
      <c r="AG70">
        <f t="shared" si="35"/>
        <v>31.973436013544074</v>
      </c>
      <c r="AH70">
        <f t="shared" si="36"/>
        <v>18.379458597111871</v>
      </c>
      <c r="AI70">
        <f t="shared" si="37"/>
        <v>29.403426136527948</v>
      </c>
      <c r="AJ70">
        <f t="shared" si="38"/>
        <v>7.4794790629210564</v>
      </c>
      <c r="AK70">
        <f t="shared" si="39"/>
        <v>11.616629849519056</v>
      </c>
      <c r="AL70">
        <f t="shared" si="40"/>
        <v>33.758188524133551</v>
      </c>
      <c r="AM70">
        <f t="shared" si="41"/>
        <v>24.526564597667676</v>
      </c>
      <c r="AN70">
        <f t="shared" si="42"/>
        <v>19.954190609054475</v>
      </c>
      <c r="AO70">
        <f t="shared" si="43"/>
        <v>30.374243782883561</v>
      </c>
      <c r="AP70">
        <f t="shared" si="44"/>
        <v>19.083744205024068</v>
      </c>
      <c r="AQ70">
        <f t="shared" si="45"/>
        <v>31.899211901572492</v>
      </c>
      <c r="AR70">
        <f t="shared" si="46"/>
        <v>9.1604865079138822</v>
      </c>
      <c r="AS70">
        <f t="shared" si="47"/>
        <v>20.632329086613044</v>
      </c>
      <c r="AT70">
        <f t="shared" si="48"/>
        <v>33.301878926671876</v>
      </c>
      <c r="AU70">
        <f t="shared" si="49"/>
        <v>16.187316926496539</v>
      </c>
      <c r="AV70">
        <f t="shared" si="50"/>
        <v>29.7205655240429</v>
      </c>
      <c r="AW70">
        <f t="shared" si="51"/>
        <v>14.110728702927879</v>
      </c>
      <c r="AX70">
        <f t="shared" si="52"/>
        <v>16.350947355161168</v>
      </c>
      <c r="AY70">
        <f t="shared" si="53"/>
        <v>10.809442631828068</v>
      </c>
      <c r="AZ70">
        <f t="shared" si="54"/>
        <v>20.913199873960064</v>
      </c>
      <c r="BA70">
        <f t="shared" si="55"/>
        <v>32.933288734267521</v>
      </c>
      <c r="BB70">
        <f t="shared" si="56"/>
        <v>8.8644335158454002</v>
      </c>
      <c r="BC70" s="2">
        <f t="shared" si="26"/>
        <v>21.186243391317348</v>
      </c>
      <c r="BD70">
        <f t="shared" si="27"/>
        <v>79.006456614454009</v>
      </c>
      <c r="BE70">
        <f t="shared" si="28"/>
        <v>8.8885576228347656</v>
      </c>
      <c r="BF70" s="12">
        <f t="shared" si="29"/>
        <v>19.860027644797992</v>
      </c>
      <c r="BG70">
        <f t="shared" si="30"/>
        <v>1.326215746519356</v>
      </c>
      <c r="BH70">
        <f t="shared" si="31"/>
        <v>1.7588482063158928</v>
      </c>
    </row>
    <row r="71" spans="1:60" x14ac:dyDescent="0.25">
      <c r="A71" s="7">
        <v>60</v>
      </c>
      <c r="B71" s="9">
        <f t="shared" si="25"/>
        <v>20.258005118463188</v>
      </c>
      <c r="C71">
        <v>0.64580217902157666</v>
      </c>
      <c r="D71">
        <v>0.1446882534257028</v>
      </c>
      <c r="E71">
        <v>-0.44700460829493083</v>
      </c>
      <c r="F71">
        <v>0.28019043549913025</v>
      </c>
      <c r="G71">
        <v>0.24130985442670982</v>
      </c>
      <c r="H71">
        <v>-6.7293313394573784E-2</v>
      </c>
      <c r="I71">
        <v>-0.87462996307260354</v>
      </c>
      <c r="J71">
        <v>0.77312540055543688</v>
      </c>
      <c r="K71">
        <v>-0.92626728110599077</v>
      </c>
      <c r="L71">
        <v>0.67784661397137369</v>
      </c>
      <c r="M71">
        <v>0.63579210791344942</v>
      </c>
      <c r="N71">
        <v>0.58714560380870995</v>
      </c>
      <c r="O71">
        <v>-0.14993743705557416</v>
      </c>
      <c r="P71">
        <v>-6.8208868678853674E-2</v>
      </c>
      <c r="Q71">
        <v>-0.59001434369945371</v>
      </c>
      <c r="R71">
        <v>0.80028687398907428</v>
      </c>
      <c r="S71">
        <v>-0.83056123538926352</v>
      </c>
      <c r="T71">
        <v>-0.60185552537614062</v>
      </c>
      <c r="U71">
        <v>0.83483382671590323</v>
      </c>
      <c r="V71">
        <v>0.76128421887874986</v>
      </c>
      <c r="W71">
        <v>-0.54094058046205018</v>
      </c>
      <c r="X71">
        <v>-0.62541581469161045</v>
      </c>
      <c r="Y71">
        <v>0.27970213934751431</v>
      </c>
      <c r="Z71">
        <v>0.57353434858241514</v>
      </c>
      <c r="AA71">
        <v>0.77312540055543688</v>
      </c>
      <c r="AC71" s="7">
        <v>60</v>
      </c>
      <c r="AD71">
        <f t="shared" si="32"/>
        <v>29.182189399319487</v>
      </c>
      <c r="AE71">
        <f t="shared" si="33"/>
        <v>22.257417134697757</v>
      </c>
      <c r="AF71">
        <f t="shared" si="34"/>
        <v>14.080956436373393</v>
      </c>
      <c r="AG71">
        <f t="shared" si="35"/>
        <v>24.129889050344559</v>
      </c>
      <c r="AH71">
        <f t="shared" si="36"/>
        <v>23.592607694368425</v>
      </c>
      <c r="AI71">
        <f t="shared" si="37"/>
        <v>19.32809507927373</v>
      </c>
      <c r="AJ71">
        <f t="shared" si="38"/>
        <v>8.1717049764538032</v>
      </c>
      <c r="AK71">
        <f t="shared" si="39"/>
        <v>30.94163823537319</v>
      </c>
      <c r="AL71">
        <f t="shared" si="40"/>
        <v>7.4581413545451571</v>
      </c>
      <c r="AM71">
        <f t="shared" si="41"/>
        <v>29.62500370369542</v>
      </c>
      <c r="AN71">
        <f t="shared" si="42"/>
        <v>29.043862645190622</v>
      </c>
      <c r="AO71">
        <f t="shared" si="43"/>
        <v>28.371628358357064</v>
      </c>
      <c r="AP71">
        <f t="shared" si="44"/>
        <v>18.186055901892754</v>
      </c>
      <c r="AQ71">
        <f t="shared" si="45"/>
        <v>19.315443242005848</v>
      </c>
      <c r="AR71">
        <f t="shared" si="46"/>
        <v>12.104739455129945</v>
      </c>
      <c r="AS71">
        <f t="shared" si="47"/>
        <v>31.316976074320408</v>
      </c>
      <c r="AT71">
        <f t="shared" si="48"/>
        <v>8.7806800769479434</v>
      </c>
      <c r="AU71">
        <f t="shared" si="49"/>
        <v>11.941109026465314</v>
      </c>
      <c r="AV71">
        <f t="shared" si="50"/>
        <v>31.794372067228558</v>
      </c>
      <c r="AW71">
        <f t="shared" si="51"/>
        <v>30.778007806708558</v>
      </c>
      <c r="AX71">
        <f t="shared" si="52"/>
        <v>12.782877932688516</v>
      </c>
      <c r="AY71">
        <f t="shared" si="53"/>
        <v>11.615535080771771</v>
      </c>
      <c r="AZ71">
        <f t="shared" si="54"/>
        <v>24.123141403801686</v>
      </c>
      <c r="BA71">
        <f t="shared" si="55"/>
        <v>28.183537710974523</v>
      </c>
      <c r="BB71">
        <f t="shared" si="56"/>
        <v>30.94163823537319</v>
      </c>
      <c r="BC71" s="2">
        <f t="shared" si="26"/>
        <v>21.521889923292065</v>
      </c>
      <c r="BD71">
        <f t="shared" si="27"/>
        <v>71.863852319734704</v>
      </c>
      <c r="BE71">
        <f t="shared" si="28"/>
        <v>8.4772549990981574</v>
      </c>
      <c r="BF71" s="12">
        <f t="shared" si="29"/>
        <v>20.148129863095399</v>
      </c>
      <c r="BG71">
        <f t="shared" si="30"/>
        <v>1.3737600601966662</v>
      </c>
      <c r="BH71">
        <f t="shared" si="31"/>
        <v>1.8872167029915479</v>
      </c>
    </row>
    <row r="72" spans="1:60" x14ac:dyDescent="0.25">
      <c r="A72" s="7">
        <v>61</v>
      </c>
      <c r="B72" s="9">
        <f t="shared" si="25"/>
        <v>20.549589518512949</v>
      </c>
      <c r="C72">
        <v>-0.39408551286355176</v>
      </c>
      <c r="D72">
        <v>-0.21140171514023254</v>
      </c>
      <c r="E72">
        <v>-0.72997222815637686</v>
      </c>
      <c r="F72">
        <v>-0.48258919034394365</v>
      </c>
      <c r="G72">
        <v>-0.64067506942960906</v>
      </c>
      <c r="H72">
        <v>-0.89617603076265751</v>
      </c>
      <c r="I72">
        <v>-7.7211828974272922E-3</v>
      </c>
      <c r="J72">
        <v>0.163304544206061</v>
      </c>
      <c r="K72">
        <v>0.53520310068056287</v>
      </c>
      <c r="L72">
        <v>-0.41593676564836568</v>
      </c>
      <c r="M72">
        <v>0.48558000427259129</v>
      </c>
      <c r="N72">
        <v>-0.98950163274025693</v>
      </c>
      <c r="O72">
        <v>0.62511062959685049</v>
      </c>
      <c r="P72">
        <v>0.57951597643971064</v>
      </c>
      <c r="Q72">
        <v>0.22354808191167952</v>
      </c>
      <c r="R72">
        <v>6.5340128788109908E-2</v>
      </c>
      <c r="S72">
        <v>-0.66966765343180645</v>
      </c>
      <c r="T72">
        <v>0.82689901425214396</v>
      </c>
      <c r="U72">
        <v>0.47349467452009653</v>
      </c>
      <c r="V72">
        <v>9.2989898373363467E-2</v>
      </c>
      <c r="W72">
        <v>-0.34678182317575612</v>
      </c>
      <c r="X72">
        <v>0.42619098483230089</v>
      </c>
      <c r="Y72">
        <v>0.61632129886776332</v>
      </c>
      <c r="Z72">
        <v>0.90899380474257629</v>
      </c>
      <c r="AA72">
        <v>-0.72710348826563309</v>
      </c>
      <c r="AC72" s="7">
        <v>61</v>
      </c>
      <c r="AD72">
        <f t="shared" si="32"/>
        <v>15.103817030506836</v>
      </c>
      <c r="AE72">
        <f t="shared" si="33"/>
        <v>17.628280293358582</v>
      </c>
      <c r="AF72">
        <f t="shared" si="34"/>
        <v>10.462279664829202</v>
      </c>
      <c r="AG72">
        <f t="shared" si="35"/>
        <v>13.880806094611401</v>
      </c>
      <c r="AH72">
        <f t="shared" si="36"/>
        <v>11.696255526356802</v>
      </c>
      <c r="AI72">
        <f t="shared" si="37"/>
        <v>8.1655494727993663</v>
      </c>
      <c r="AJ72">
        <f t="shared" si="38"/>
        <v>20.442892357553795</v>
      </c>
      <c r="AK72">
        <f t="shared" si="39"/>
        <v>22.80625555919449</v>
      </c>
      <c r="AL72">
        <f t="shared" si="40"/>
        <v>27.945431857408884</v>
      </c>
      <c r="AM72">
        <f t="shared" si="41"/>
        <v>14.801859847713343</v>
      </c>
      <c r="AN72">
        <f t="shared" si="42"/>
        <v>27.259702277489581</v>
      </c>
      <c r="AO72">
        <f t="shared" si="43"/>
        <v>6.875905527293078</v>
      </c>
      <c r="AP72">
        <f t="shared" si="44"/>
        <v>29.187842277115074</v>
      </c>
      <c r="AQ72">
        <f t="shared" si="45"/>
        <v>28.557780781174458</v>
      </c>
      <c r="AR72">
        <f t="shared" si="46"/>
        <v>23.638746451421241</v>
      </c>
      <c r="AS72">
        <f t="shared" si="47"/>
        <v>21.452508971530921</v>
      </c>
      <c r="AT72">
        <f t="shared" si="48"/>
        <v>11.295614012873815</v>
      </c>
      <c r="AU72">
        <f t="shared" si="49"/>
        <v>31.976307210956662</v>
      </c>
      <c r="AV72">
        <f t="shared" si="50"/>
        <v>27.092698025553517</v>
      </c>
      <c r="AW72">
        <f t="shared" si="51"/>
        <v>21.834594457021012</v>
      </c>
      <c r="AX72">
        <f t="shared" si="52"/>
        <v>15.757495289347499</v>
      </c>
      <c r="AY72">
        <f t="shared" si="53"/>
        <v>26.439019766712853</v>
      </c>
      <c r="AZ72">
        <f t="shared" si="54"/>
        <v>29.06638463934339</v>
      </c>
      <c r="BA72">
        <f t="shared" si="55"/>
        <v>33.110755285976907</v>
      </c>
      <c r="BB72">
        <f t="shared" si="56"/>
        <v>10.501922088268572</v>
      </c>
      <c r="BC72" s="2">
        <f t="shared" si="26"/>
        <v>20.279228190656454</v>
      </c>
      <c r="BD72">
        <f t="shared" si="27"/>
        <v>64.077984187249442</v>
      </c>
      <c r="BE72">
        <f t="shared" si="28"/>
        <v>8.0048725278576072</v>
      </c>
      <c r="BF72" s="12">
        <f t="shared" si="29"/>
        <v>20.436232081392809</v>
      </c>
      <c r="BG72">
        <f t="shared" si="30"/>
        <v>-0.15700389073635534</v>
      </c>
      <c r="BH72">
        <f t="shared" si="31"/>
        <v>2.4650221706353406E-2</v>
      </c>
    </row>
    <row r="73" spans="1:60" x14ac:dyDescent="0.25">
      <c r="A73" s="7">
        <v>62</v>
      </c>
      <c r="B73" s="9">
        <f t="shared" si="25"/>
        <v>20.841173918562706</v>
      </c>
      <c r="C73">
        <v>-3.811761833552052E-2</v>
      </c>
      <c r="D73">
        <v>-0.96789452803125098</v>
      </c>
      <c r="E73">
        <v>-2.8595843379009334E-2</v>
      </c>
      <c r="F73">
        <v>-0.98065126499221777</v>
      </c>
      <c r="G73">
        <v>0.3315836054567094</v>
      </c>
      <c r="H73">
        <v>-0.13455610827967157</v>
      </c>
      <c r="I73">
        <v>-0.6641132847071749</v>
      </c>
      <c r="J73">
        <v>0.25772881252479629</v>
      </c>
      <c r="K73">
        <v>-0.15659047212134158</v>
      </c>
      <c r="L73">
        <v>-1.8524735251930324E-2</v>
      </c>
      <c r="M73">
        <v>3.720206305124063E-2</v>
      </c>
      <c r="N73">
        <v>-5.5238502151554458E-3</v>
      </c>
      <c r="O73">
        <v>0.14658040101321457</v>
      </c>
      <c r="P73">
        <v>-0.5740226447340312</v>
      </c>
      <c r="Q73">
        <v>-4.2023987548448161E-2</v>
      </c>
      <c r="R73">
        <v>-0.48020874660481583</v>
      </c>
      <c r="S73">
        <v>-0.44468520157475511</v>
      </c>
      <c r="T73">
        <v>-0.2975859859004486</v>
      </c>
      <c r="U73">
        <v>0.24942777794732507</v>
      </c>
      <c r="V73">
        <v>-0.60325937681203645</v>
      </c>
      <c r="W73">
        <v>-0.66917935728019051</v>
      </c>
      <c r="X73">
        <v>-0.8231147190771203</v>
      </c>
      <c r="Y73">
        <v>0.36460463270973853</v>
      </c>
      <c r="Z73">
        <v>0.61095004119998775</v>
      </c>
      <c r="AA73">
        <v>-0.51823480941190825</v>
      </c>
      <c r="AC73" s="7">
        <v>62</v>
      </c>
      <c r="AD73">
        <f t="shared" si="32"/>
        <v>20.314435760309809</v>
      </c>
      <c r="AE73">
        <f t="shared" si="33"/>
        <v>7.4660732868648907</v>
      </c>
      <c r="AF73">
        <f t="shared" si="34"/>
        <v>20.446014867895801</v>
      </c>
      <c r="AG73">
        <f t="shared" si="35"/>
        <v>7.2897910209323769</v>
      </c>
      <c r="AH73">
        <f t="shared" si="36"/>
        <v>25.423247649081283</v>
      </c>
      <c r="AI73">
        <f t="shared" si="37"/>
        <v>18.981775568092718</v>
      </c>
      <c r="AJ73">
        <f t="shared" si="38"/>
        <v>11.663952892348734</v>
      </c>
      <c r="AK73">
        <f t="shared" si="39"/>
        <v>24.402666109471994</v>
      </c>
      <c r="AL73">
        <f t="shared" si="40"/>
        <v>18.677288017845648</v>
      </c>
      <c r="AM73">
        <f t="shared" si="41"/>
        <v>20.585185077842524</v>
      </c>
      <c r="AN73">
        <f t="shared" si="42"/>
        <v>21.355260239547718</v>
      </c>
      <c r="AO73">
        <f t="shared" si="43"/>
        <v>20.764841167046473</v>
      </c>
      <c r="AP73">
        <f t="shared" si="44"/>
        <v>22.866733065150903</v>
      </c>
      <c r="AQ73">
        <f t="shared" si="45"/>
        <v>12.908893679508498</v>
      </c>
      <c r="AR73">
        <f t="shared" si="46"/>
        <v>20.260454587966841</v>
      </c>
      <c r="AS73">
        <f t="shared" si="47"/>
        <v>14.205285271557658</v>
      </c>
      <c r="AT73">
        <f t="shared" si="48"/>
        <v>14.696176557551549</v>
      </c>
      <c r="AU73">
        <f t="shared" si="49"/>
        <v>16.728905078591545</v>
      </c>
      <c r="AV73">
        <f t="shared" si="50"/>
        <v>24.28795611824318</v>
      </c>
      <c r="AW73">
        <f t="shared" si="51"/>
        <v>12.504878342754077</v>
      </c>
      <c r="AX73">
        <f t="shared" si="52"/>
        <v>11.593946059466441</v>
      </c>
      <c r="AY73">
        <f t="shared" si="53"/>
        <v>9.466750486826248</v>
      </c>
      <c r="AZ73">
        <f t="shared" si="54"/>
        <v>25.879557246542962</v>
      </c>
      <c r="BA73">
        <f t="shared" si="55"/>
        <v>29.283744927421559</v>
      </c>
      <c r="BB73">
        <f t="shared" si="56"/>
        <v>13.679812297031553</v>
      </c>
      <c r="BC73" s="2">
        <f t="shared" si="26"/>
        <v>17.829345015035717</v>
      </c>
      <c r="BD73">
        <f t="shared" si="27"/>
        <v>36.368488292655343</v>
      </c>
      <c r="BE73">
        <f t="shared" si="28"/>
        <v>6.0306291788382529</v>
      </c>
      <c r="BF73" s="12">
        <f t="shared" si="29"/>
        <v>20.72433429969022</v>
      </c>
      <c r="BG73">
        <f t="shared" si="30"/>
        <v>-2.8949892846545033</v>
      </c>
      <c r="BH73">
        <f t="shared" si="31"/>
        <v>8.3809629582643925</v>
      </c>
    </row>
    <row r="74" spans="1:60" x14ac:dyDescent="0.25">
      <c r="A74" s="7">
        <v>63</v>
      </c>
      <c r="B74" s="9">
        <f t="shared" si="25"/>
        <v>21.132758318612467</v>
      </c>
      <c r="C74">
        <v>-7.4434644611957146E-2</v>
      </c>
      <c r="D74">
        <v>0.76763206884975732</v>
      </c>
      <c r="E74">
        <v>0.69298379467146831</v>
      </c>
      <c r="F74">
        <v>-0.35215308084353159</v>
      </c>
      <c r="G74">
        <v>-0.66472365489669483</v>
      </c>
      <c r="H74">
        <v>-0.619006927701651</v>
      </c>
      <c r="I74">
        <v>0.6258430738242744</v>
      </c>
      <c r="J74">
        <v>-0.37290566728720964</v>
      </c>
      <c r="K74">
        <v>0.77068391979735718</v>
      </c>
      <c r="L74">
        <v>0.83446760460219127</v>
      </c>
      <c r="M74">
        <v>-0.64983062227240818</v>
      </c>
      <c r="N74">
        <v>-0.8894619586779382</v>
      </c>
      <c r="O74">
        <v>0.62053285317545082</v>
      </c>
      <c r="P74">
        <v>0.57579271828363909</v>
      </c>
      <c r="Q74">
        <v>-0.32071901608325448</v>
      </c>
      <c r="R74">
        <v>-0.81359294412060912</v>
      </c>
      <c r="S74">
        <v>3.5187841425824873E-2</v>
      </c>
      <c r="T74">
        <v>0.90881069368572032</v>
      </c>
      <c r="U74">
        <v>0.43736075930051577</v>
      </c>
      <c r="V74">
        <v>-0.82378612628559222</v>
      </c>
      <c r="W74">
        <v>0.66820276497695863</v>
      </c>
      <c r="X74">
        <v>-0.98144474623859368</v>
      </c>
      <c r="Y74">
        <v>0.63231299783318584</v>
      </c>
      <c r="Z74">
        <v>-0.63426618243964961</v>
      </c>
      <c r="AA74">
        <v>0.7338785973693045</v>
      </c>
      <c r="AC74" s="7">
        <v>63</v>
      </c>
      <c r="AD74" s="10">
        <f t="shared" si="32"/>
        <v>20.104163948733515</v>
      </c>
      <c r="AE74" s="10">
        <f t="shared" si="33"/>
        <v>31.740480411915165</v>
      </c>
      <c r="AF74" s="10">
        <f t="shared" si="34"/>
        <v>30.70893394667371</v>
      </c>
      <c r="AG74" s="10">
        <f t="shared" si="35"/>
        <v>16.266439977475432</v>
      </c>
      <c r="AH74" s="10">
        <f t="shared" si="36"/>
        <v>11.947102734219905</v>
      </c>
      <c r="AI74" s="10">
        <f t="shared" si="37"/>
        <v>12.578851141796237</v>
      </c>
      <c r="AJ74" s="10">
        <f t="shared" si="38"/>
        <v>29.781132547028896</v>
      </c>
      <c r="AK74" s="10">
        <f t="shared" si="39"/>
        <v>15.979664999403401</v>
      </c>
      <c r="AL74" s="10">
        <f t="shared" si="40"/>
        <v>31.782653202808113</v>
      </c>
      <c r="AM74" s="10">
        <f t="shared" si="41"/>
        <v>32.664064532470682</v>
      </c>
      <c r="AN74" s="10">
        <f t="shared" si="42"/>
        <v>12.152905953777482</v>
      </c>
      <c r="AO74" s="10">
        <f t="shared" si="43"/>
        <v>8.8414984128633627</v>
      </c>
      <c r="AP74" s="10">
        <f t="shared" si="44"/>
        <v>29.707751890875169</v>
      </c>
      <c r="AQ74" s="10">
        <f t="shared" si="45"/>
        <v>29.089498776384584</v>
      </c>
      <c r="AR74" s="10">
        <f t="shared" si="46"/>
        <v>16.700819723672776</v>
      </c>
      <c r="AS74" s="10">
        <f t="shared" si="47"/>
        <v>9.8899139944620007</v>
      </c>
      <c r="AT74" s="10">
        <f t="shared" si="48"/>
        <v>21.619010597608135</v>
      </c>
      <c r="AU74" s="10">
        <f t="shared" si="49"/>
        <v>33.691393718622848</v>
      </c>
      <c r="AV74" s="10">
        <f t="shared" si="50"/>
        <v>27.176540981480553</v>
      </c>
      <c r="AW74" s="10">
        <f t="shared" si="51"/>
        <v>9.7490568728795619</v>
      </c>
      <c r="AX74" s="10">
        <f t="shared" si="52"/>
        <v>30.366490884622991</v>
      </c>
      <c r="AY74" s="10">
        <f t="shared" si="53"/>
        <v>7.5704104953499733</v>
      </c>
      <c r="AZ74" s="10">
        <f t="shared" si="54"/>
        <v>29.870538863721944</v>
      </c>
      <c r="BA74" s="10">
        <f t="shared" si="55"/>
        <v>12.367987187331506</v>
      </c>
      <c r="BB74" s="10">
        <f t="shared" si="56"/>
        <v>31.274049344639185</v>
      </c>
      <c r="BC74" s="2">
        <f t="shared" si="26"/>
        <v>21.744854205632688</v>
      </c>
      <c r="BD74" s="10">
        <f t="shared" si="27"/>
        <v>87.032015632499522</v>
      </c>
      <c r="BE74" s="10">
        <f t="shared" si="28"/>
        <v>9.3290951132732864</v>
      </c>
      <c r="BF74" s="12">
        <f t="shared" si="29"/>
        <v>21.012436517987627</v>
      </c>
      <c r="BG74" s="10">
        <f t="shared" si="30"/>
        <v>0.73241768764506077</v>
      </c>
      <c r="BH74" s="10">
        <f t="shared" si="31"/>
        <v>0.5364356691753378</v>
      </c>
    </row>
    <row r="75" spans="1:60" x14ac:dyDescent="0.25">
      <c r="A75" s="7">
        <v>64</v>
      </c>
      <c r="B75" s="9">
        <f t="shared" si="25"/>
        <v>21.424342718662228</v>
      </c>
      <c r="C75">
        <v>4.8310800500503515E-2</v>
      </c>
      <c r="D75">
        <v>0.47672963652455214</v>
      </c>
      <c r="E75">
        <v>-0.80773339030121771</v>
      </c>
      <c r="F75">
        <v>0.69426557206946016</v>
      </c>
      <c r="G75">
        <v>-0.71166112247077851</v>
      </c>
      <c r="H75">
        <v>-0.93133335367900627</v>
      </c>
      <c r="I75">
        <v>-0.54753257850886561</v>
      </c>
      <c r="J75">
        <v>0.88732566301461846</v>
      </c>
      <c r="K75">
        <v>0.54234443189794601</v>
      </c>
      <c r="L75">
        <v>-0.45457319864497814</v>
      </c>
      <c r="M75">
        <v>9.121982482375568E-2</v>
      </c>
      <c r="N75">
        <v>0.4089175084688863</v>
      </c>
      <c r="O75">
        <v>0.73064363536484889</v>
      </c>
      <c r="P75">
        <v>-0.47807245094149597</v>
      </c>
      <c r="Q75">
        <v>0.13559373760185545</v>
      </c>
      <c r="R75">
        <v>-0.43858149967955562</v>
      </c>
      <c r="S75">
        <v>-0.20517593920712918</v>
      </c>
      <c r="T75">
        <v>-0.37278359324930566</v>
      </c>
      <c r="U75">
        <v>-0.6641132847071749</v>
      </c>
      <c r="V75">
        <v>-0.81902523880733669</v>
      </c>
      <c r="W75">
        <v>-3.4272286141544872E-2</v>
      </c>
      <c r="X75">
        <v>-4.8738059633167463E-2</v>
      </c>
      <c r="Y75">
        <v>7.5960570085757073E-2</v>
      </c>
      <c r="Z75">
        <v>-0.84362315744499039</v>
      </c>
      <c r="AA75">
        <v>-0.54307687612537003</v>
      </c>
      <c r="AC75" s="7">
        <v>64</v>
      </c>
      <c r="AD75">
        <f t="shared" si="32"/>
        <v>22.091937998497563</v>
      </c>
      <c r="AE75">
        <f t="shared" si="33"/>
        <v>28.012154384049317</v>
      </c>
      <c r="AF75">
        <f t="shared" si="34"/>
        <v>10.262470153026218</v>
      </c>
      <c r="AG75">
        <f t="shared" si="35"/>
        <v>31.018230918898507</v>
      </c>
      <c r="AH75">
        <f t="shared" si="36"/>
        <v>11.590069610336156</v>
      </c>
      <c r="AI75">
        <f t="shared" si="37"/>
        <v>8.554472121861906</v>
      </c>
      <c r="AJ75">
        <f t="shared" si="38"/>
        <v>13.85812230455879</v>
      </c>
      <c r="AK75">
        <f t="shared" si="39"/>
        <v>33.686081670786272</v>
      </c>
      <c r="AL75">
        <f t="shared" si="40"/>
        <v>28.918869388247657</v>
      </c>
      <c r="AM75">
        <f t="shared" si="41"/>
        <v>15.142705515157926</v>
      </c>
      <c r="AN75">
        <f t="shared" si="42"/>
        <v>22.684887438452385</v>
      </c>
      <c r="AO75">
        <f t="shared" si="43"/>
        <v>27.075074970408057</v>
      </c>
      <c r="AP75">
        <f t="shared" si="44"/>
        <v>31.520930586342423</v>
      </c>
      <c r="AQ75">
        <f t="shared" si="45"/>
        <v>14.817975025282241</v>
      </c>
      <c r="AR75">
        <f t="shared" si="46"/>
        <v>23.298079818035816</v>
      </c>
      <c r="AS75">
        <f t="shared" si="47"/>
        <v>15.363690939436964</v>
      </c>
      <c r="AT75">
        <f t="shared" si="48"/>
        <v>18.589065986929469</v>
      </c>
      <c r="AU75">
        <f t="shared" si="49"/>
        <v>16.272936311088877</v>
      </c>
      <c r="AV75">
        <f t="shared" si="50"/>
        <v>12.247121692448255</v>
      </c>
      <c r="AW75">
        <f t="shared" si="51"/>
        <v>10.106430826722317</v>
      </c>
      <c r="AX75">
        <f t="shared" si="52"/>
        <v>20.950742276934445</v>
      </c>
      <c r="AY75">
        <f t="shared" si="53"/>
        <v>20.75084324810188</v>
      </c>
      <c r="AZ75">
        <f t="shared" si="54"/>
        <v>22.474023483987654</v>
      </c>
      <c r="BA75">
        <f t="shared" si="55"/>
        <v>9.7665181321251726</v>
      </c>
      <c r="BB75">
        <f t="shared" si="56"/>
        <v>13.919694579262492</v>
      </c>
      <c r="BC75" s="2">
        <f t="shared" si="26"/>
        <v>19.318925175239151</v>
      </c>
      <c r="BD75">
        <f t="shared" si="27"/>
        <v>57.311281232946989</v>
      </c>
      <c r="BE75">
        <f t="shared" si="28"/>
        <v>7.5704214699676387</v>
      </c>
      <c r="BF75" s="12">
        <f t="shared" si="29"/>
        <v>21.300538736285038</v>
      </c>
      <c r="BG75">
        <f t="shared" si="30"/>
        <v>-1.9816135610458865</v>
      </c>
      <c r="BH75">
        <f t="shared" si="31"/>
        <v>3.9267923053209595</v>
      </c>
    </row>
    <row r="76" spans="1:60" x14ac:dyDescent="0.25">
      <c r="A76" s="7">
        <v>65</v>
      </c>
      <c r="B76" s="9">
        <f t="shared" si="25"/>
        <v>21.715927118711988</v>
      </c>
      <c r="C76">
        <v>-0.78618732261116364</v>
      </c>
      <c r="D76">
        <v>-0.88464003418073056</v>
      </c>
      <c r="E76">
        <v>-0.54820398571733753</v>
      </c>
      <c r="F76">
        <v>0.64653462324900057</v>
      </c>
      <c r="G76">
        <v>0.46885586107974486</v>
      </c>
      <c r="H76">
        <v>-0.27329325235755486</v>
      </c>
      <c r="I76">
        <v>-5.4353465376751009E-2</v>
      </c>
      <c r="J76">
        <v>-0.19003875850703456</v>
      </c>
      <c r="K76">
        <v>0.15652943510238959</v>
      </c>
      <c r="L76">
        <v>-0.21048615985595265</v>
      </c>
      <c r="M76">
        <v>0.39909054841761527</v>
      </c>
      <c r="N76">
        <v>0.46598712118900121</v>
      </c>
      <c r="O76">
        <v>0.31565294351023887</v>
      </c>
      <c r="P76">
        <v>0.40354625080111095</v>
      </c>
      <c r="Q76">
        <v>0.86492507705923649</v>
      </c>
      <c r="R76">
        <v>-0.60179448835718863</v>
      </c>
      <c r="S76">
        <v>0.76799829096346928</v>
      </c>
      <c r="T76">
        <v>0.58476516006958223</v>
      </c>
      <c r="U76">
        <v>-0.14871669667653431</v>
      </c>
      <c r="V76">
        <v>-0.58470412305063024</v>
      </c>
      <c r="W76">
        <v>-0.9114963225196081</v>
      </c>
      <c r="X76">
        <v>0.60502945036164424</v>
      </c>
      <c r="Y76">
        <v>0.55137791070284137</v>
      </c>
      <c r="Z76">
        <v>-8.8351084933011914E-2</v>
      </c>
      <c r="AA76">
        <v>-0.82671590319528798</v>
      </c>
      <c r="AC76" s="7">
        <v>65</v>
      </c>
      <c r="AD76">
        <f t="shared" ref="AD76:AD107" si="57">$B76+$G$7*C76</f>
        <v>10.851794456780178</v>
      </c>
      <c r="AE76">
        <f t="shared" ref="AE76:AE107" si="58">$B76+$G$7*D76</f>
        <v>9.4913002225737415</v>
      </c>
      <c r="AF76">
        <f t="shared" ref="AF76:AF107" si="59">$B76+$G$7*E76</f>
        <v>14.140428690612104</v>
      </c>
      <c r="AG76">
        <f t="shared" ref="AG76:AG107" si="60">$B76+$G$7*F76</f>
        <v>30.650232869382592</v>
      </c>
      <c r="AH76">
        <f t="shared" ref="AH76:AH107" si="61">$B76+$G$7*G76</f>
        <v>28.19493298359528</v>
      </c>
      <c r="AI76">
        <f t="shared" ref="AI76:AI107" si="62">$B76+$G$7*H76</f>
        <v>17.939353694248677</v>
      </c>
      <c r="AJ76">
        <f t="shared" ref="AJ76:AJ107" si="63">$B76+$G$7*I76</f>
        <v>20.964829712908621</v>
      </c>
      <c r="AK76">
        <f t="shared" ref="AK76:AK107" si="64">$B76+$G$7*J76</f>
        <v>19.089827429808242</v>
      </c>
      <c r="AL76">
        <f t="shared" ref="AL76:AL107" si="65">$B76+$G$7*K76</f>
        <v>23.878969563611186</v>
      </c>
      <c r="AM76">
        <f t="shared" ref="AM76:AM107" si="66">$B76+$G$7*L76</f>
        <v>18.807269730825503</v>
      </c>
      <c r="AN76">
        <f t="shared" ref="AN76:AN107" si="67">$B76+$G$7*M76</f>
        <v>27.230862983782533</v>
      </c>
      <c r="AO76">
        <f t="shared" ref="AO76:AO107" si="68">$B76+$G$7*N76</f>
        <v>28.155290560155912</v>
      </c>
      <c r="AP76">
        <f t="shared" ref="AP76:AP107" si="69">$B76+$G$7*O76</f>
        <v>26.077858880769391</v>
      </c>
      <c r="AQ76">
        <f t="shared" ref="AQ76:AQ107" si="70">$B76+$G$7*P76</f>
        <v>27.292435258486236</v>
      </c>
      <c r="AR76">
        <f t="shared" ref="AR76:AR107" si="71">$B76+$G$7*Q76</f>
        <v>33.668117785681808</v>
      </c>
      <c r="AS76">
        <f t="shared" ref="AS76:AS107" si="72">$B76+$G$7*R76</f>
        <v>13.399874482531972</v>
      </c>
      <c r="AT76">
        <f t="shared" ref="AT76:AT107" si="73">$B76+$G$7*S76</f>
        <v>32.32870994692184</v>
      </c>
      <c r="AU76">
        <f t="shared" ref="AU76:AU107" si="74">$B76+$G$7*T76</f>
        <v>29.796655581709366</v>
      </c>
      <c r="AV76">
        <f t="shared" ref="AV76:AV107" si="75">$B76+$G$7*U76</f>
        <v>19.660847018498732</v>
      </c>
      <c r="AW76">
        <f t="shared" ref="AW76:AW107" si="76">$B76+$G$7*V76</f>
        <v>13.63604211153247</v>
      </c>
      <c r="AX76">
        <f t="shared" ref="AX76:AX107" si="77">$B76+$G$7*W76</f>
        <v>9.1201796627158167</v>
      </c>
      <c r="AY76">
        <f t="shared" ref="AY76:AY107" si="78">$B76+$G$7*X76</f>
        <v>30.076682913238528</v>
      </c>
      <c r="AZ76">
        <f t="shared" ref="AZ76:AZ107" si="79">$B76+$G$7*Y76</f>
        <v>29.335285249340536</v>
      </c>
      <c r="BA76">
        <f t="shared" ref="BA76:BA107" si="80">$B76+$G$7*Z76</f>
        <v>20.495024822361202</v>
      </c>
      <c r="BB76">
        <f t="shared" ref="BB76:BB107" si="81">$B76+$G$7*AA76</f>
        <v>10.291739793721854</v>
      </c>
      <c r="BC76" s="2">
        <f t="shared" si="26"/>
        <v>21.782981856231771</v>
      </c>
      <c r="BD76">
        <f t="shared" si="27"/>
        <v>61.728044986099576</v>
      </c>
      <c r="BE76">
        <f t="shared" si="28"/>
        <v>7.8567197344756785</v>
      </c>
      <c r="BF76" s="12">
        <f t="shared" si="29"/>
        <v>21.588640954582448</v>
      </c>
      <c r="BG76">
        <f t="shared" si="30"/>
        <v>0.19434090164932272</v>
      </c>
      <c r="BH76">
        <f t="shared" si="31"/>
        <v>3.7768386053871728E-2</v>
      </c>
    </row>
    <row r="77" spans="1:60" x14ac:dyDescent="0.25">
      <c r="A77" s="7">
        <v>66</v>
      </c>
      <c r="B77" s="9">
        <f t="shared" ref="B77:B137" si="82">$G$5+$G$6*A77</f>
        <v>22.007511518761749</v>
      </c>
      <c r="C77">
        <v>-0.46061586352122563</v>
      </c>
      <c r="D77">
        <v>0.45170445875423448</v>
      </c>
      <c r="E77">
        <v>-0.70848719748527489</v>
      </c>
      <c r="F77">
        <v>0.21671193578905612</v>
      </c>
      <c r="G77">
        <v>-0.41721854304635764</v>
      </c>
      <c r="H77">
        <v>0.6326792199468978</v>
      </c>
      <c r="I77">
        <v>0.3188879055146947</v>
      </c>
      <c r="J77">
        <v>0.91228980376598412</v>
      </c>
      <c r="K77">
        <v>0.69872127445295562</v>
      </c>
      <c r="L77">
        <v>7.2176274910733307E-2</v>
      </c>
      <c r="M77">
        <v>0.45548875392925803</v>
      </c>
      <c r="N77">
        <v>0.68810083315530868</v>
      </c>
      <c r="O77">
        <v>0.16214484084597314</v>
      </c>
      <c r="P77">
        <v>-0.73393963438825649</v>
      </c>
      <c r="Q77">
        <v>0.24979400006103702</v>
      </c>
      <c r="R77">
        <v>0.79021576586199527</v>
      </c>
      <c r="S77">
        <v>0.56035035248878451</v>
      </c>
      <c r="T77">
        <v>0.47746208075197605</v>
      </c>
      <c r="U77">
        <v>-0.16061891537217321</v>
      </c>
      <c r="V77">
        <v>-0.97405926694540235</v>
      </c>
      <c r="W77">
        <v>0.8120670186468093</v>
      </c>
      <c r="X77">
        <v>0.92736594744712675</v>
      </c>
      <c r="Y77">
        <v>0.62865077669606606</v>
      </c>
      <c r="Z77">
        <v>0.98004089480269774</v>
      </c>
      <c r="AA77">
        <v>-0.23032319101535081</v>
      </c>
      <c r="AC77" s="7">
        <v>66</v>
      </c>
      <c r="AD77">
        <f t="shared" si="57"/>
        <v>15.642372189289414</v>
      </c>
      <c r="AE77">
        <f t="shared" si="58"/>
        <v>28.249506298826681</v>
      </c>
      <c r="AF77">
        <f t="shared" si="59"/>
        <v>12.217098112964342</v>
      </c>
      <c r="AG77">
        <f t="shared" si="60"/>
        <v>25.002201400069843</v>
      </c>
      <c r="AH77">
        <f t="shared" si="61"/>
        <v>16.242069275787106</v>
      </c>
      <c r="AI77">
        <f t="shared" si="62"/>
        <v>30.75035279877838</v>
      </c>
      <c r="AJ77">
        <f t="shared" si="63"/>
        <v>26.414146439165673</v>
      </c>
      <c r="AK77">
        <f t="shared" si="64"/>
        <v>34.614223900390087</v>
      </c>
      <c r="AL77">
        <f t="shared" si="65"/>
        <v>31.662971993701728</v>
      </c>
      <c r="AM77">
        <f t="shared" si="66"/>
        <v>23.004898023379919</v>
      </c>
      <c r="AN77">
        <f t="shared" si="67"/>
        <v>28.301800559533934</v>
      </c>
      <c r="AO77">
        <f t="shared" si="68"/>
        <v>31.516210681394277</v>
      </c>
      <c r="AP77">
        <f t="shared" si="69"/>
        <v>24.24815189890397</v>
      </c>
      <c r="AQ77">
        <f t="shared" si="70"/>
        <v>11.865377036917172</v>
      </c>
      <c r="AR77">
        <f t="shared" si="71"/>
        <v>25.459354453349377</v>
      </c>
      <c r="AS77">
        <f t="shared" si="72"/>
        <v>32.927312264672253</v>
      </c>
      <c r="AT77">
        <f t="shared" si="73"/>
        <v>29.750857654615558</v>
      </c>
      <c r="AU77">
        <f t="shared" si="74"/>
        <v>28.605444653963147</v>
      </c>
      <c r="AV77">
        <f t="shared" si="75"/>
        <v>19.787957534066003</v>
      </c>
      <c r="AW77">
        <f t="shared" si="76"/>
        <v>8.5472218494601844</v>
      </c>
      <c r="AX77">
        <f t="shared" si="77"/>
        <v>33.22926944746574</v>
      </c>
      <c r="AY77">
        <f t="shared" si="78"/>
        <v>34.822557487401241</v>
      </c>
      <c r="AZ77">
        <f t="shared" si="79"/>
        <v>30.694684714799688</v>
      </c>
      <c r="BA77">
        <f t="shared" si="80"/>
        <v>35.550459858213486</v>
      </c>
      <c r="BB77">
        <f t="shared" si="81"/>
        <v>18.824730990071117</v>
      </c>
      <c r="BC77" s="2">
        <f t="shared" ref="BC77:BC137" si="83">AVERAGE(AD77:BB77)</f>
        <v>25.517249260687208</v>
      </c>
      <c r="BD77">
        <f t="shared" ref="BD77:BD137" si="84">_xlfn.VAR.S(AD77:BB77)</f>
        <v>61.517628901638318</v>
      </c>
      <c r="BE77">
        <f t="shared" ref="BE77:BE137" si="85">_xlfn.STDEV.S(AD77:BB77)</f>
        <v>7.8433174678600333</v>
      </c>
      <c r="BF77" s="12">
        <f t="shared" ref="BF77:BF137" si="86">$M$5+$M$6*AC77</f>
        <v>21.876743172879856</v>
      </c>
      <c r="BG77">
        <f t="shared" ref="BG77:BG137" si="87">BC77-BF77</f>
        <v>3.6405060878073527</v>
      </c>
      <c r="BH77">
        <f t="shared" ref="BH77:BH137" si="88">BG77*BG77</f>
        <v>13.253284575362397</v>
      </c>
    </row>
    <row r="78" spans="1:60" x14ac:dyDescent="0.25">
      <c r="A78" s="7">
        <v>67</v>
      </c>
      <c r="B78" s="9">
        <f t="shared" si="82"/>
        <v>22.299095918811506</v>
      </c>
      <c r="C78">
        <v>0.23917355876339008</v>
      </c>
      <c r="D78">
        <v>0.20505386516922508</v>
      </c>
      <c r="E78">
        <v>-0.48429822687459945</v>
      </c>
      <c r="F78">
        <v>0.96563615833002725</v>
      </c>
      <c r="G78">
        <v>0.4499343852046267</v>
      </c>
      <c r="H78">
        <v>-0.44352549821466725</v>
      </c>
      <c r="I78">
        <v>-0.62633136997589034</v>
      </c>
      <c r="J78">
        <v>6.5218054750205923E-2</v>
      </c>
      <c r="K78">
        <v>-0.10013122959074683</v>
      </c>
      <c r="L78">
        <v>0.65123447370830401</v>
      </c>
      <c r="M78">
        <v>0.68114261299478129</v>
      </c>
      <c r="N78">
        <v>-0.40971098971526232</v>
      </c>
      <c r="O78">
        <v>-0.68596453749198893</v>
      </c>
      <c r="P78">
        <v>-0.55577257606738484</v>
      </c>
      <c r="Q78">
        <v>0.18350779747917101</v>
      </c>
      <c r="R78">
        <v>0.4736777855769525</v>
      </c>
      <c r="S78">
        <v>-0.61278115176854764</v>
      </c>
      <c r="T78">
        <v>0.3716849269081699</v>
      </c>
      <c r="U78">
        <v>1.1200292977690873E-2</v>
      </c>
      <c r="V78">
        <v>-0.9915158543656728</v>
      </c>
      <c r="W78">
        <v>0.18576616718039496</v>
      </c>
      <c r="X78">
        <v>-0.60441908017212431</v>
      </c>
      <c r="Y78">
        <v>0.79418317209387501</v>
      </c>
      <c r="Z78">
        <v>0.75536362804040658</v>
      </c>
      <c r="AA78">
        <v>-0.32212286751915031</v>
      </c>
      <c r="AC78" s="7">
        <v>67</v>
      </c>
      <c r="AD78">
        <f t="shared" si="57"/>
        <v>25.604177541091683</v>
      </c>
      <c r="AE78">
        <f t="shared" si="58"/>
        <v>25.132685738908545</v>
      </c>
      <c r="AF78">
        <f t="shared" si="59"/>
        <v>15.606695732009911</v>
      </c>
      <c r="AG78">
        <f t="shared" si="60"/>
        <v>35.64298868524854</v>
      </c>
      <c r="AH78">
        <f t="shared" si="61"/>
        <v>28.516630480158533</v>
      </c>
      <c r="AI78">
        <f t="shared" si="62"/>
        <v>16.170124218339666</v>
      </c>
      <c r="AJ78">
        <f t="shared" si="63"/>
        <v>13.643974043852205</v>
      </c>
      <c r="AK78">
        <f t="shared" si="64"/>
        <v>23.200328460193759</v>
      </c>
      <c r="AL78">
        <f t="shared" si="65"/>
        <v>20.915406649613949</v>
      </c>
      <c r="AM78">
        <f t="shared" si="66"/>
        <v>31.298347767457244</v>
      </c>
      <c r="AN78">
        <f t="shared" si="67"/>
        <v>31.711641118208117</v>
      </c>
      <c r="AO78">
        <f t="shared" si="68"/>
        <v>16.637398741433508</v>
      </c>
      <c r="AP78">
        <f t="shared" si="69"/>
        <v>12.81991770980404</v>
      </c>
      <c r="AQ78">
        <f t="shared" si="70"/>
        <v>14.619008969297116</v>
      </c>
      <c r="AR78">
        <f t="shared" si="71"/>
        <v>24.834945835204344</v>
      </c>
      <c r="AS78">
        <f t="shared" si="72"/>
        <v>28.844734793305651</v>
      </c>
      <c r="AT78">
        <f t="shared" si="73"/>
        <v>13.831221235416885</v>
      </c>
      <c r="AU78">
        <f t="shared" si="74"/>
        <v>27.435320121663398</v>
      </c>
      <c r="AV78">
        <f t="shared" si="75"/>
        <v>22.453870061388617</v>
      </c>
      <c r="AW78">
        <f t="shared" si="76"/>
        <v>8.5975778856022895</v>
      </c>
      <c r="AX78">
        <f t="shared" si="77"/>
        <v>24.866153700465127</v>
      </c>
      <c r="AY78">
        <f t="shared" si="78"/>
        <v>13.946774682463557</v>
      </c>
      <c r="AZ78">
        <f t="shared" si="79"/>
        <v>33.27372129288284</v>
      </c>
      <c r="BA78">
        <f t="shared" si="80"/>
        <v>32.737283392724564</v>
      </c>
      <c r="BB78">
        <f t="shared" si="81"/>
        <v>17.84775784006106</v>
      </c>
      <c r="BC78" s="2">
        <f t="shared" si="83"/>
        <v>22.407547467871801</v>
      </c>
      <c r="BD78">
        <f t="shared" si="84"/>
        <v>58.605130836218677</v>
      </c>
      <c r="BE78">
        <f t="shared" si="85"/>
        <v>7.6553988032119316</v>
      </c>
      <c r="BF78" s="12">
        <f t="shared" si="86"/>
        <v>22.164845391177266</v>
      </c>
      <c r="BG78">
        <f t="shared" si="87"/>
        <v>0.2427020766945347</v>
      </c>
      <c r="BH78">
        <f t="shared" si="88"/>
        <v>5.8904298031839802E-2</v>
      </c>
    </row>
    <row r="79" spans="1:60" x14ac:dyDescent="0.25">
      <c r="A79" s="7">
        <v>68</v>
      </c>
      <c r="B79" s="9">
        <f t="shared" si="82"/>
        <v>22.590680318861267</v>
      </c>
      <c r="C79">
        <v>-0.33701590014343696</v>
      </c>
      <c r="D79">
        <v>0.93652150028992587</v>
      </c>
      <c r="E79">
        <v>-3.2502212591936974E-2</v>
      </c>
      <c r="F79">
        <v>-0.2941679128391369</v>
      </c>
      <c r="G79">
        <v>0.83959471419415865</v>
      </c>
      <c r="H79">
        <v>0.86388744773705262</v>
      </c>
      <c r="I79">
        <v>9.9642933439130887E-2</v>
      </c>
      <c r="J79">
        <v>0.71160008545182651</v>
      </c>
      <c r="K79">
        <v>0.18240913113803514</v>
      </c>
      <c r="L79">
        <v>5.5818353831598833E-2</v>
      </c>
      <c r="M79">
        <v>-4.0009765923032292E-2</v>
      </c>
      <c r="N79">
        <v>-0.47093111972411272</v>
      </c>
      <c r="O79">
        <v>0.41337321085238199</v>
      </c>
      <c r="P79">
        <v>-0.3239539780877102</v>
      </c>
      <c r="Q79">
        <v>-0.92986846522415845</v>
      </c>
      <c r="R79">
        <v>-0.44462416455580311</v>
      </c>
      <c r="S79">
        <v>0.45548875392925803</v>
      </c>
      <c r="T79">
        <v>0.61265907773064354</v>
      </c>
      <c r="U79">
        <v>0.794244209112827</v>
      </c>
      <c r="V79">
        <v>-0.38682210760826441</v>
      </c>
      <c r="W79">
        <v>9.537034211249118E-2</v>
      </c>
      <c r="X79">
        <v>-0.25894955290383614</v>
      </c>
      <c r="Y79">
        <v>0.8001037629322183</v>
      </c>
      <c r="Z79">
        <v>0.81749931333353687</v>
      </c>
      <c r="AA79">
        <v>0.63396099734488964</v>
      </c>
      <c r="AC79" s="7">
        <v>68</v>
      </c>
      <c r="AD79">
        <f t="shared" si="57"/>
        <v>17.933539020553244</v>
      </c>
      <c r="AE79">
        <f t="shared" si="58"/>
        <v>35.5322446601796</v>
      </c>
      <c r="AF79">
        <f t="shared" si="59"/>
        <v>22.141540095851393</v>
      </c>
      <c r="AG79">
        <f t="shared" si="60"/>
        <v>18.525645004690205</v>
      </c>
      <c r="AH79">
        <f t="shared" si="61"/>
        <v>34.192836821419633</v>
      </c>
      <c r="AI79">
        <f t="shared" si="62"/>
        <v>34.528532236927482</v>
      </c>
      <c r="AJ79">
        <f t="shared" si="63"/>
        <v>23.967621941515954</v>
      </c>
      <c r="AK79">
        <f t="shared" si="64"/>
        <v>32.424109971369475</v>
      </c>
      <c r="AL79">
        <f t="shared" si="65"/>
        <v>25.111348030532646</v>
      </c>
      <c r="AM79">
        <f t="shared" si="66"/>
        <v>23.362020664293247</v>
      </c>
      <c r="AN79">
        <f t="shared" si="67"/>
        <v>22.037795030254745</v>
      </c>
      <c r="AO79">
        <f t="shared" si="68"/>
        <v>16.082996956170774</v>
      </c>
      <c r="AP79">
        <f t="shared" si="69"/>
        <v>28.302984845310799</v>
      </c>
      <c r="AQ79">
        <f t="shared" si="70"/>
        <v>18.114038565575051</v>
      </c>
      <c r="AR79">
        <f t="shared" si="71"/>
        <v>9.7410526616895599</v>
      </c>
      <c r="AS79">
        <f t="shared" si="72"/>
        <v>16.446526413667968</v>
      </c>
      <c r="AT79">
        <f t="shared" si="73"/>
        <v>28.884969359633452</v>
      </c>
      <c r="AU79">
        <f t="shared" si="74"/>
        <v>31.056868090620171</v>
      </c>
      <c r="AV79">
        <f t="shared" si="75"/>
        <v>33.566149148750455</v>
      </c>
      <c r="AW79">
        <f t="shared" si="76"/>
        <v>17.245279073180363</v>
      </c>
      <c r="AX79">
        <f t="shared" si="77"/>
        <v>23.908580034265828</v>
      </c>
      <c r="AY79">
        <f t="shared" si="78"/>
        <v>19.012319011594801</v>
      </c>
      <c r="AZ79">
        <f t="shared" si="79"/>
        <v>33.647120907264913</v>
      </c>
      <c r="BA79">
        <f t="shared" si="80"/>
        <v>33.887505815354707</v>
      </c>
      <c r="BB79">
        <f t="shared" si="81"/>
        <v>31.351234171052933</v>
      </c>
      <c r="BC79" s="2">
        <f t="shared" si="83"/>
        <v>25.240194341268783</v>
      </c>
      <c r="BD79">
        <f t="shared" si="84"/>
        <v>54.697296087957362</v>
      </c>
      <c r="BE79">
        <f t="shared" si="85"/>
        <v>7.3957620356496978</v>
      </c>
      <c r="BF79" s="12">
        <f t="shared" si="86"/>
        <v>22.452947609474677</v>
      </c>
      <c r="BG79">
        <f t="shared" si="87"/>
        <v>2.7872467317941059</v>
      </c>
      <c r="BH79">
        <f t="shared" si="88"/>
        <v>7.7687443438969241</v>
      </c>
    </row>
    <row r="80" spans="1:60" x14ac:dyDescent="0.25">
      <c r="A80" s="7">
        <v>69</v>
      </c>
      <c r="B80" s="9">
        <f t="shared" si="82"/>
        <v>22.882264718911028</v>
      </c>
      <c r="C80">
        <v>0.22196111941892749</v>
      </c>
      <c r="D80">
        <v>-0.58531449324015017</v>
      </c>
      <c r="E80">
        <v>-0.24198126163518174</v>
      </c>
      <c r="F80">
        <v>0.58775597399822987</v>
      </c>
      <c r="G80">
        <v>0.64751121555223246</v>
      </c>
      <c r="H80">
        <v>-0.56254768517105624</v>
      </c>
      <c r="I80">
        <v>-0.68858912930692462</v>
      </c>
      <c r="J80">
        <v>0.50370799890133355</v>
      </c>
      <c r="K80">
        <v>0.84661397137363803</v>
      </c>
      <c r="L80">
        <v>-2.80465102084414E-2</v>
      </c>
      <c r="M80">
        <v>-0.60563982055116428</v>
      </c>
      <c r="N80">
        <v>-5.0508133182775361E-2</v>
      </c>
      <c r="O80">
        <v>-0.83599353007599109</v>
      </c>
      <c r="P80">
        <v>-0.15939817499313336</v>
      </c>
      <c r="Q80">
        <v>0.97033600878933068</v>
      </c>
      <c r="R80">
        <v>0.74242378002258369</v>
      </c>
      <c r="S80">
        <v>-0.97625659962767419</v>
      </c>
      <c r="T80">
        <v>-0.85668507950071715</v>
      </c>
      <c r="U80">
        <v>-0.3766899624622333</v>
      </c>
      <c r="V80">
        <v>-0.52110354930265212</v>
      </c>
      <c r="W80">
        <v>-0.40934476760155036</v>
      </c>
      <c r="X80">
        <v>0.52336191900387585</v>
      </c>
      <c r="Y80">
        <v>1.0406811731314969E-2</v>
      </c>
      <c r="Z80">
        <v>-0.57261879329813525</v>
      </c>
      <c r="AA80">
        <v>0.34177678762169261</v>
      </c>
      <c r="AC80" s="7">
        <v>69</v>
      </c>
      <c r="AD80">
        <f t="shared" si="57"/>
        <v>25.949491800554988</v>
      </c>
      <c r="AE80">
        <f t="shared" si="58"/>
        <v>14.793945153552921</v>
      </c>
      <c r="AF80">
        <f t="shared" si="59"/>
        <v>19.538384129009341</v>
      </c>
      <c r="AG80">
        <f t="shared" si="60"/>
        <v>31.004322516983493</v>
      </c>
      <c r="AH80">
        <f t="shared" si="61"/>
        <v>31.830065762667374</v>
      </c>
      <c r="AI80">
        <f t="shared" si="62"/>
        <v>15.108554173614298</v>
      </c>
      <c r="AJ80">
        <f t="shared" si="63"/>
        <v>13.366817909735628</v>
      </c>
      <c r="AK80">
        <f t="shared" si="64"/>
        <v>29.842883855791758</v>
      </c>
      <c r="AL80">
        <f t="shared" si="65"/>
        <v>34.581418640523168</v>
      </c>
      <c r="AM80">
        <f t="shared" si="66"/>
        <v>22.494696770604854</v>
      </c>
      <c r="AN80">
        <f t="shared" si="67"/>
        <v>14.513074366205901</v>
      </c>
      <c r="AO80">
        <f t="shared" si="68"/>
        <v>22.184305029632771</v>
      </c>
      <c r="AP80">
        <f t="shared" si="69"/>
        <v>11.329872109606338</v>
      </c>
      <c r="AQ80">
        <f t="shared" si="70"/>
        <v>20.679579850572459</v>
      </c>
      <c r="AR80">
        <f t="shared" si="71"/>
        <v>36.291103583323199</v>
      </c>
      <c r="AS80">
        <f t="shared" si="72"/>
        <v>33.141639559437991</v>
      </c>
      <c r="AT80">
        <f t="shared" si="73"/>
        <v>9.391610640166542</v>
      </c>
      <c r="AU80">
        <f t="shared" si="74"/>
        <v>11.043940587352164</v>
      </c>
      <c r="AV80">
        <f t="shared" si="75"/>
        <v>17.676877138994708</v>
      </c>
      <c r="AW80">
        <f t="shared" si="76"/>
        <v>15.681260673940503</v>
      </c>
      <c r="AX80">
        <f t="shared" si="77"/>
        <v>17.225628276440183</v>
      </c>
      <c r="AY80">
        <f t="shared" si="78"/>
        <v>30.114476629142331</v>
      </c>
      <c r="AZ80">
        <f t="shared" si="79"/>
        <v>23.026073935855973</v>
      </c>
      <c r="BA80">
        <f t="shared" si="80"/>
        <v>14.969383963667577</v>
      </c>
      <c r="BB80">
        <f t="shared" si="81"/>
        <v>27.605195571012047</v>
      </c>
      <c r="BC80" s="2">
        <f t="shared" si="83"/>
        <v>21.735384105135545</v>
      </c>
      <c r="BD80">
        <f t="shared" si="84"/>
        <v>66.659655219484264</v>
      </c>
      <c r="BE80">
        <f t="shared" si="85"/>
        <v>8.164536436288607</v>
      </c>
      <c r="BF80" s="12">
        <f t="shared" si="86"/>
        <v>22.741049827772084</v>
      </c>
      <c r="BG80">
        <f t="shared" si="87"/>
        <v>-1.0056657226365395</v>
      </c>
      <c r="BH80">
        <f t="shared" si="88"/>
        <v>1.0113635456860732</v>
      </c>
    </row>
    <row r="81" spans="1:60" x14ac:dyDescent="0.25">
      <c r="A81" s="7">
        <v>70</v>
      </c>
      <c r="B81" s="9">
        <f t="shared" si="82"/>
        <v>23.173849118960788</v>
      </c>
      <c r="C81">
        <v>0.70293282876064334</v>
      </c>
      <c r="D81">
        <v>-0.49485763115329451</v>
      </c>
      <c r="E81">
        <v>0.846858119449446</v>
      </c>
      <c r="F81">
        <v>0.36063722647785879</v>
      </c>
      <c r="G81">
        <v>-0.14969328897976619</v>
      </c>
      <c r="H81">
        <v>0.34568315683462014</v>
      </c>
      <c r="I81">
        <v>-0.20645771660512102</v>
      </c>
      <c r="J81">
        <v>0.16653950621051661</v>
      </c>
      <c r="K81">
        <v>-0.65788750877407143</v>
      </c>
      <c r="L81">
        <v>0.59849848933378103</v>
      </c>
      <c r="M81">
        <v>0.47904904324472786</v>
      </c>
      <c r="N81">
        <v>0.89165929136020994</v>
      </c>
      <c r="O81">
        <v>-0.5178075502792443</v>
      </c>
      <c r="P81">
        <v>-0.7483443708609272</v>
      </c>
      <c r="Q81">
        <v>-0.75914792321543012</v>
      </c>
      <c r="R81">
        <v>0.61809137241737111</v>
      </c>
      <c r="S81">
        <v>-0.25998718222602013</v>
      </c>
      <c r="T81">
        <v>-0.2508316293832209</v>
      </c>
      <c r="U81">
        <v>-0.81066316721091347</v>
      </c>
      <c r="V81">
        <v>0.68767357402264473</v>
      </c>
      <c r="W81">
        <v>-0.92870876186407059</v>
      </c>
      <c r="X81">
        <v>-0.72063356425672165</v>
      </c>
      <c r="Y81">
        <v>-0.40745262001403848</v>
      </c>
      <c r="Z81">
        <v>-0.20291756950590534</v>
      </c>
      <c r="AA81">
        <v>0.88335825678273872</v>
      </c>
      <c r="AC81" s="7">
        <v>70</v>
      </c>
      <c r="AD81">
        <f t="shared" si="57"/>
        <v>32.887508045333036</v>
      </c>
      <c r="AE81">
        <f t="shared" si="58"/>
        <v>16.3355310756696</v>
      </c>
      <c r="AF81">
        <f t="shared" si="59"/>
        <v>34.876376863844364</v>
      </c>
      <c r="AG81">
        <f t="shared" si="60"/>
        <v>28.157407818780214</v>
      </c>
      <c r="AH81">
        <f t="shared" si="61"/>
        <v>21.105273725661789</v>
      </c>
      <c r="AI81">
        <f t="shared" si="62"/>
        <v>27.950761143404776</v>
      </c>
      <c r="AJ81">
        <f t="shared" si="63"/>
        <v>20.320859815052994</v>
      </c>
      <c r="AK81">
        <f t="shared" si="64"/>
        <v>25.475218317988848</v>
      </c>
      <c r="AL81">
        <f t="shared" si="65"/>
        <v>14.082660586168426</v>
      </c>
      <c r="AM81">
        <f t="shared" si="66"/>
        <v>31.444355140976423</v>
      </c>
      <c r="AN81">
        <f t="shared" si="67"/>
        <v>29.793712105426515</v>
      </c>
      <c r="AO81">
        <f t="shared" si="68"/>
        <v>35.495473434152814</v>
      </c>
      <c r="AP81">
        <f t="shared" si="69"/>
        <v>16.018391688154647</v>
      </c>
      <c r="AQ81">
        <f t="shared" si="70"/>
        <v>12.832659064101506</v>
      </c>
      <c r="AR81">
        <f t="shared" si="71"/>
        <v>12.683367384340478</v>
      </c>
      <c r="AS81">
        <f t="shared" si="72"/>
        <v>31.715104458509135</v>
      </c>
      <c r="AT81">
        <f t="shared" si="73"/>
        <v>19.581149062790722</v>
      </c>
      <c r="AU81">
        <f t="shared" si="74"/>
        <v>19.70766743546956</v>
      </c>
      <c r="AV81">
        <f t="shared" si="75"/>
        <v>11.97149067406755</v>
      </c>
      <c r="AW81">
        <f t="shared" si="76"/>
        <v>32.676644090868308</v>
      </c>
      <c r="AX81">
        <f t="shared" si="77"/>
        <v>10.3402471223284</v>
      </c>
      <c r="AY81">
        <f t="shared" si="78"/>
        <v>13.215588005409456</v>
      </c>
      <c r="AZ81">
        <f t="shared" si="79"/>
        <v>17.543359806843572</v>
      </c>
      <c r="BA81">
        <f t="shared" si="80"/>
        <v>20.369780252488809</v>
      </c>
      <c r="BB81">
        <f t="shared" si="81"/>
        <v>35.380763442924</v>
      </c>
      <c r="BC81" s="2">
        <f t="shared" si="83"/>
        <v>22.878454022430237</v>
      </c>
      <c r="BD81">
        <f t="shared" si="84"/>
        <v>71.760633911289233</v>
      </c>
      <c r="BE81">
        <f t="shared" si="85"/>
        <v>8.4711648497293002</v>
      </c>
      <c r="BF81" s="12">
        <f t="shared" si="86"/>
        <v>23.029152046069495</v>
      </c>
      <c r="BG81">
        <f t="shared" si="87"/>
        <v>-0.15069802363925788</v>
      </c>
      <c r="BH81">
        <f t="shared" si="88"/>
        <v>2.2709894328778329E-2</v>
      </c>
    </row>
    <row r="82" spans="1:60" x14ac:dyDescent="0.25">
      <c r="A82" s="7">
        <v>71</v>
      </c>
      <c r="B82" s="9">
        <f t="shared" si="82"/>
        <v>23.465433519010549</v>
      </c>
      <c r="C82">
        <v>0.12961210974456017</v>
      </c>
      <c r="D82">
        <v>-0.93774224066896572</v>
      </c>
      <c r="E82">
        <v>0.69035920285653241</v>
      </c>
      <c r="F82">
        <v>0.20664082766197689</v>
      </c>
      <c r="G82">
        <v>0.41978209784234144</v>
      </c>
      <c r="H82">
        <v>0.60277108066042051</v>
      </c>
      <c r="I82">
        <v>-0.73839533677175206</v>
      </c>
      <c r="J82">
        <v>-0.36289559617908262</v>
      </c>
      <c r="K82">
        <v>0.52757347331156357</v>
      </c>
      <c r="L82">
        <v>-0.4141056550798059</v>
      </c>
      <c r="M82">
        <v>0.88079470198675502</v>
      </c>
      <c r="N82">
        <v>-0.39072847682119205</v>
      </c>
      <c r="O82">
        <v>0.51738029114658035</v>
      </c>
      <c r="P82">
        <v>0.71428571428571419</v>
      </c>
      <c r="Q82">
        <v>-0.24637592699972533</v>
      </c>
      <c r="R82">
        <v>-0.43522446363719591</v>
      </c>
      <c r="S82">
        <v>0.88549455244605846</v>
      </c>
      <c r="T82">
        <v>-0.96520889919736319</v>
      </c>
      <c r="U82">
        <v>0.13064973906674404</v>
      </c>
      <c r="V82">
        <v>-0.42240668965727712</v>
      </c>
      <c r="W82">
        <v>-6.5462202826014004E-2</v>
      </c>
      <c r="X82">
        <v>-0.9336527603991821</v>
      </c>
      <c r="Y82">
        <v>-0.8248237556077761</v>
      </c>
      <c r="Z82">
        <v>0.99871822260200815</v>
      </c>
      <c r="AA82">
        <v>8.92056031983397E-2</v>
      </c>
      <c r="AC82" s="7">
        <v>71</v>
      </c>
      <c r="AD82">
        <f t="shared" si="57"/>
        <v>25.256511948233964</v>
      </c>
      <c r="AE82">
        <f t="shared" si="58"/>
        <v>10.507000061335042</v>
      </c>
      <c r="AF82">
        <f t="shared" si="59"/>
        <v>33.005340546903852</v>
      </c>
      <c r="AG82">
        <f t="shared" si="60"/>
        <v>26.32095319037192</v>
      </c>
      <c r="AH82">
        <f t="shared" si="61"/>
        <v>29.266300906335267</v>
      </c>
      <c r="AI82">
        <f t="shared" si="62"/>
        <v>31.794981448276307</v>
      </c>
      <c r="AJ82">
        <f t="shared" si="63"/>
        <v>13.261726762462272</v>
      </c>
      <c r="AK82">
        <f t="shared" si="64"/>
        <v>18.450666953930345</v>
      </c>
      <c r="AL82">
        <f t="shared" si="65"/>
        <v>30.755843880674121</v>
      </c>
      <c r="AM82">
        <f t="shared" si="66"/>
        <v>17.743007522746709</v>
      </c>
      <c r="AN82">
        <f t="shared" si="67"/>
        <v>35.636922698623685</v>
      </c>
      <c r="AO82">
        <f t="shared" si="68"/>
        <v>18.066051100986677</v>
      </c>
      <c r="AP82">
        <f t="shared" si="69"/>
        <v>30.614986759091678</v>
      </c>
      <c r="AQ82">
        <f t="shared" si="70"/>
        <v>33.335975227504548</v>
      </c>
      <c r="AR82">
        <f t="shared" si="71"/>
        <v>20.06082411022302</v>
      </c>
      <c r="AS82">
        <f t="shared" si="72"/>
        <v>17.451171809767523</v>
      </c>
      <c r="AT82">
        <f t="shared" si="73"/>
        <v>35.701868796598824</v>
      </c>
      <c r="AU82">
        <f t="shared" si="74"/>
        <v>10.127444943298528</v>
      </c>
      <c r="AV82">
        <f t="shared" si="75"/>
        <v>25.270850697137568</v>
      </c>
      <c r="AW82">
        <f t="shared" si="76"/>
        <v>17.628297531517898</v>
      </c>
      <c r="AX82">
        <f t="shared" si="77"/>
        <v>22.560827154356858</v>
      </c>
      <c r="AY82">
        <f t="shared" si="78"/>
        <v>10.563511601131589</v>
      </c>
      <c r="AZ82">
        <f t="shared" si="79"/>
        <v>12.067393324374041</v>
      </c>
      <c r="BA82">
        <f t="shared" si="80"/>
        <v>37.266479338727116</v>
      </c>
      <c r="BB82">
        <f t="shared" si="81"/>
        <v>24.698144196811359</v>
      </c>
      <c r="BC82" s="2">
        <f t="shared" si="83"/>
        <v>23.496523300456825</v>
      </c>
      <c r="BD82">
        <f t="shared" si="84"/>
        <v>75.675430636010404</v>
      </c>
      <c r="BE82">
        <f t="shared" si="85"/>
        <v>8.6991626399332489</v>
      </c>
      <c r="BF82" s="12">
        <f t="shared" si="86"/>
        <v>23.317254264366902</v>
      </c>
      <c r="BG82">
        <f t="shared" si="87"/>
        <v>0.17926903608992362</v>
      </c>
      <c r="BH82">
        <f t="shared" si="88"/>
        <v>3.2137387300610339E-2</v>
      </c>
    </row>
    <row r="83" spans="1:60" x14ac:dyDescent="0.25">
      <c r="A83" s="7">
        <v>72</v>
      </c>
      <c r="B83" s="9">
        <f t="shared" si="82"/>
        <v>23.757017919060306</v>
      </c>
      <c r="C83">
        <v>-0.89745780816064946</v>
      </c>
      <c r="D83">
        <v>0.304422132023072</v>
      </c>
      <c r="E83">
        <v>-0.3171178319650868</v>
      </c>
      <c r="F83">
        <v>0.46562089907528925</v>
      </c>
      <c r="G83">
        <v>0.75292214728232665</v>
      </c>
      <c r="H83">
        <v>0.81572923978392886</v>
      </c>
      <c r="I83">
        <v>0.36020996734519484</v>
      </c>
      <c r="J83">
        <v>7.415997802667329E-3</v>
      </c>
      <c r="K83">
        <v>0.78490554521317168</v>
      </c>
      <c r="L83">
        <v>0.61033967101046782</v>
      </c>
      <c r="M83">
        <v>-0.28574480422376169</v>
      </c>
      <c r="N83">
        <v>0.5008392590105899</v>
      </c>
      <c r="O83">
        <v>-0.67046113467818236</v>
      </c>
      <c r="P83">
        <v>-0.17221594897305215</v>
      </c>
      <c r="Q83">
        <v>0.73015533921323272</v>
      </c>
      <c r="R83">
        <v>-0.21945860164189579</v>
      </c>
      <c r="S83">
        <v>-0.48771629993591115</v>
      </c>
      <c r="T83">
        <v>0.20218512527848143</v>
      </c>
      <c r="U83">
        <v>-0.12570574053163242</v>
      </c>
      <c r="V83">
        <v>0.44035157322916341</v>
      </c>
      <c r="W83">
        <v>0.57231360820337529</v>
      </c>
      <c r="X83">
        <v>-4.5686208685567831E-2</v>
      </c>
      <c r="Y83">
        <v>-0.33097323526718958</v>
      </c>
      <c r="Z83">
        <v>0.3596606341746269</v>
      </c>
      <c r="AA83">
        <v>-0.46714682454908907</v>
      </c>
      <c r="AC83" s="7">
        <v>72</v>
      </c>
      <c r="AD83">
        <f t="shared" si="57"/>
        <v>11.355265301171684</v>
      </c>
      <c r="AE83">
        <f t="shared" si="58"/>
        <v>27.963753810631665</v>
      </c>
      <c r="AF83">
        <f t="shared" si="59"/>
        <v>19.374843217374291</v>
      </c>
      <c r="AG83">
        <f t="shared" si="60"/>
        <v>30.191320625597076</v>
      </c>
      <c r="AH83">
        <f t="shared" si="61"/>
        <v>34.161467160259008</v>
      </c>
      <c r="AI83">
        <f t="shared" si="62"/>
        <v>35.029383196835838</v>
      </c>
      <c r="AJ83">
        <f t="shared" si="63"/>
        <v>28.734672428154717</v>
      </c>
      <c r="AK83">
        <f t="shared" si="64"/>
        <v>23.859497800930164</v>
      </c>
      <c r="AL83">
        <f t="shared" si="65"/>
        <v>34.603438008817079</v>
      </c>
      <c r="AM83">
        <f t="shared" si="66"/>
        <v>32.191154369740573</v>
      </c>
      <c r="AN83">
        <f t="shared" si="67"/>
        <v>19.808379507753777</v>
      </c>
      <c r="AO83">
        <f t="shared" si="68"/>
        <v>30.677994632501669</v>
      </c>
      <c r="AP83">
        <f t="shared" si="69"/>
        <v>14.492077487789006</v>
      </c>
      <c r="AQ83">
        <f t="shared" si="70"/>
        <v>21.377207328971366</v>
      </c>
      <c r="AR83">
        <f t="shared" si="71"/>
        <v>33.846858140197625</v>
      </c>
      <c r="AS83">
        <f t="shared" si="72"/>
        <v>20.72437252594856</v>
      </c>
      <c r="AT83">
        <f t="shared" si="73"/>
        <v>17.017384206458612</v>
      </c>
      <c r="AU83">
        <f t="shared" si="74"/>
        <v>26.550965315717978</v>
      </c>
      <c r="AV83">
        <f t="shared" si="75"/>
        <v>22.019920662179864</v>
      </c>
      <c r="AW83">
        <f t="shared" si="76"/>
        <v>29.842129917003479</v>
      </c>
      <c r="AX83">
        <f t="shared" si="77"/>
        <v>31.665681395214463</v>
      </c>
      <c r="AY83">
        <f t="shared" si="78"/>
        <v>23.125691239392903</v>
      </c>
      <c r="AZ83">
        <f t="shared" si="79"/>
        <v>19.183378746720315</v>
      </c>
      <c r="BA83">
        <f t="shared" si="80"/>
        <v>28.727081325793989</v>
      </c>
      <c r="BB83">
        <f t="shared" si="81"/>
        <v>17.301628817077066</v>
      </c>
      <c r="BC83" s="2">
        <f t="shared" si="83"/>
        <v>25.353021886729312</v>
      </c>
      <c r="BD83">
        <f t="shared" si="84"/>
        <v>46.95071595381993</v>
      </c>
      <c r="BE83">
        <f t="shared" si="85"/>
        <v>6.8520592491469259</v>
      </c>
      <c r="BF83" s="12">
        <f t="shared" si="86"/>
        <v>23.605356482664313</v>
      </c>
      <c r="BG83">
        <f t="shared" si="87"/>
        <v>1.7476654040649997</v>
      </c>
      <c r="BH83">
        <f t="shared" si="88"/>
        <v>3.0543343645656789</v>
      </c>
    </row>
    <row r="84" spans="1:60" x14ac:dyDescent="0.25">
      <c r="A84" s="7">
        <v>73</v>
      </c>
      <c r="B84" s="9">
        <f t="shared" si="82"/>
        <v>24.048602319110067</v>
      </c>
      <c r="C84">
        <v>-0.96899319437238685</v>
      </c>
      <c r="D84">
        <v>0.22409741508224745</v>
      </c>
      <c r="E84">
        <v>0.35862300485244303</v>
      </c>
      <c r="F84">
        <v>-0.51536606952116459</v>
      </c>
      <c r="G84">
        <v>0.50486770226142164</v>
      </c>
      <c r="H84">
        <v>0.28751487777336959</v>
      </c>
      <c r="I84">
        <v>-0.70427564317758717</v>
      </c>
      <c r="J84">
        <v>-0.4548783837397381</v>
      </c>
      <c r="K84">
        <v>0.94647053437910089</v>
      </c>
      <c r="L84">
        <v>-0.62120426038392285</v>
      </c>
      <c r="M84">
        <v>-8.1942197943052464E-2</v>
      </c>
      <c r="N84">
        <v>0.55589465010528882</v>
      </c>
      <c r="O84">
        <v>-0.41801202429273354</v>
      </c>
      <c r="P84">
        <v>-0.43345439008758813</v>
      </c>
      <c r="Q84">
        <v>-0.22122867519150369</v>
      </c>
      <c r="R84">
        <v>-0.41904965361491742</v>
      </c>
      <c r="S84">
        <v>-0.95171971800897248</v>
      </c>
      <c r="T84">
        <v>0.45292519913327434</v>
      </c>
      <c r="U84">
        <v>0.53324991607409888</v>
      </c>
      <c r="V84">
        <v>-0.73143711661122468</v>
      </c>
      <c r="W84">
        <v>-0.44175542466505935</v>
      </c>
      <c r="X84">
        <v>-7.2237311929685299E-2</v>
      </c>
      <c r="Y84">
        <v>-7.3397015289773271E-2</v>
      </c>
      <c r="Z84">
        <v>-0.86181218909268464</v>
      </c>
      <c r="AA84">
        <v>-0.71160008545182651</v>
      </c>
      <c r="AC84" s="7">
        <v>73</v>
      </c>
      <c r="AD84">
        <f t="shared" si="57"/>
        <v>10.658319482690793</v>
      </c>
      <c r="AE84">
        <f t="shared" si="58"/>
        <v>27.14535035437909</v>
      </c>
      <c r="AF84">
        <f t="shared" si="59"/>
        <v>29.004326976940149</v>
      </c>
      <c r="AG84">
        <f t="shared" si="60"/>
        <v>16.926883121018282</v>
      </c>
      <c r="AH84">
        <f t="shared" si="61"/>
        <v>31.025247116530121</v>
      </c>
      <c r="AI84">
        <f t="shared" si="62"/>
        <v>28.021700949134509</v>
      </c>
      <c r="AJ84">
        <f t="shared" si="63"/>
        <v>14.316387364744926</v>
      </c>
      <c r="AK84">
        <f t="shared" si="64"/>
        <v>17.762747836516471</v>
      </c>
      <c r="AL84">
        <f t="shared" si="65"/>
        <v>37.127649958739397</v>
      </c>
      <c r="AM84">
        <f t="shared" si="66"/>
        <v>15.464330732850915</v>
      </c>
      <c r="AN84">
        <f t="shared" si="67"/>
        <v>22.916262883634467</v>
      </c>
      <c r="AO84">
        <f t="shared" si="68"/>
        <v>31.730376180260176</v>
      </c>
      <c r="AP84">
        <f t="shared" si="69"/>
        <v>18.272195150503258</v>
      </c>
      <c r="AQ84">
        <f t="shared" si="70"/>
        <v>18.05880082858495</v>
      </c>
      <c r="AR84">
        <f t="shared" si="71"/>
        <v>20.991496707280412</v>
      </c>
      <c r="AS84">
        <f t="shared" si="72"/>
        <v>18.257856401599657</v>
      </c>
      <c r="AT84">
        <f t="shared" si="73"/>
        <v>10.897017479144866</v>
      </c>
      <c r="AU84">
        <f t="shared" si="74"/>
        <v>30.30746621553218</v>
      </c>
      <c r="AV84">
        <f t="shared" si="75"/>
        <v>31.417454071834516</v>
      </c>
      <c r="AW84">
        <f t="shared" si="76"/>
        <v>13.941049525797707</v>
      </c>
      <c r="AX84">
        <f t="shared" si="77"/>
        <v>17.944090837356139</v>
      </c>
      <c r="AY84">
        <f t="shared" si="78"/>
        <v>23.050372358674036</v>
      </c>
      <c r="AZ84">
        <f t="shared" si="79"/>
        <v>23.034346698134716</v>
      </c>
      <c r="BA84">
        <f t="shared" si="80"/>
        <v>12.139427898851055</v>
      </c>
      <c r="BB84">
        <f t="shared" si="81"/>
        <v>14.215172666601855</v>
      </c>
      <c r="BC84" s="2">
        <f t="shared" si="83"/>
        <v>21.385053191893384</v>
      </c>
      <c r="BD84">
        <f t="shared" si="84"/>
        <v>56.211407524179627</v>
      </c>
      <c r="BE84">
        <f t="shared" si="85"/>
        <v>7.4974267268296542</v>
      </c>
      <c r="BF84" s="12">
        <f t="shared" si="86"/>
        <v>23.893458700961723</v>
      </c>
      <c r="BG84">
        <f t="shared" si="87"/>
        <v>-2.5084055090683393</v>
      </c>
      <c r="BH84">
        <f t="shared" si="88"/>
        <v>6.2920981979243944</v>
      </c>
    </row>
    <row r="85" spans="1:60" x14ac:dyDescent="0.25">
      <c r="A85" s="7">
        <v>74</v>
      </c>
      <c r="B85" s="9">
        <f t="shared" si="82"/>
        <v>24.340186719159828</v>
      </c>
      <c r="C85">
        <v>0.25522629474776459</v>
      </c>
      <c r="D85">
        <v>-0.21488082522049623</v>
      </c>
      <c r="E85">
        <v>0.85656300546281328</v>
      </c>
      <c r="F85">
        <v>0.80248420667134623</v>
      </c>
      <c r="G85">
        <v>5.3804132206183075E-2</v>
      </c>
      <c r="H85">
        <v>0.32419812616351806</v>
      </c>
      <c r="I85">
        <v>0.56358531449324012</v>
      </c>
      <c r="J85">
        <v>0.32175664540543836</v>
      </c>
      <c r="K85">
        <v>-0.26535843989379559</v>
      </c>
      <c r="L85">
        <v>8.4994048890652207E-2</v>
      </c>
      <c r="M85">
        <v>0.31266212958159123</v>
      </c>
      <c r="N85">
        <v>-0.34372997222815638</v>
      </c>
      <c r="O85">
        <v>0.95861690115054787</v>
      </c>
      <c r="P85">
        <v>-0.18741416669209876</v>
      </c>
      <c r="Q85">
        <v>-0.31449324015015112</v>
      </c>
      <c r="R85">
        <v>-0.39170506912442393</v>
      </c>
      <c r="S85">
        <v>-0.32468642231513412</v>
      </c>
      <c r="T85">
        <v>-0.41166417432172608</v>
      </c>
      <c r="U85">
        <v>-0.35343485824152343</v>
      </c>
      <c r="V85">
        <v>0.66093935972167128</v>
      </c>
      <c r="W85">
        <v>-0.69243446150090038</v>
      </c>
      <c r="X85">
        <v>-0.4719687490462966</v>
      </c>
      <c r="Y85">
        <v>-0.30295724356822418</v>
      </c>
      <c r="Z85">
        <v>-0.23538926358836632</v>
      </c>
      <c r="AA85">
        <v>-0.35819574571977908</v>
      </c>
      <c r="AC85" s="7">
        <v>74</v>
      </c>
      <c r="AD85">
        <f t="shared" si="57"/>
        <v>27.867097221536902</v>
      </c>
      <c r="AE85">
        <f t="shared" si="58"/>
        <v>21.370800512387504</v>
      </c>
      <c r="AF85">
        <f t="shared" si="59"/>
        <v>36.176823939082972</v>
      </c>
      <c r="AG85">
        <f t="shared" si="60"/>
        <v>35.429522084459975</v>
      </c>
      <c r="AH85">
        <f t="shared" si="61"/>
        <v>25.083693022602464</v>
      </c>
      <c r="AI85">
        <f t="shared" si="62"/>
        <v>28.820202295717475</v>
      </c>
      <c r="AJ85">
        <f t="shared" si="63"/>
        <v>32.128236013360159</v>
      </c>
      <c r="AK85">
        <f t="shared" si="64"/>
        <v>28.78646406300312</v>
      </c>
      <c r="AL85">
        <f t="shared" si="65"/>
        <v>20.673262551018176</v>
      </c>
      <c r="AM85">
        <f t="shared" si="66"/>
        <v>25.514698945528373</v>
      </c>
      <c r="AN85">
        <f t="shared" si="67"/>
        <v>28.660789146142143</v>
      </c>
      <c r="AO85">
        <f t="shared" si="68"/>
        <v>19.590265280887323</v>
      </c>
      <c r="AP85">
        <f t="shared" si="69"/>
        <v>37.58708206654309</v>
      </c>
      <c r="AQ85">
        <f t="shared" si="70"/>
        <v>21.750355630424014</v>
      </c>
      <c r="AR85">
        <f t="shared" si="71"/>
        <v>19.994280617641746</v>
      </c>
      <c r="AS85">
        <f t="shared" si="72"/>
        <v>18.927309008050212</v>
      </c>
      <c r="AT85">
        <f t="shared" si="73"/>
        <v>19.853423496059307</v>
      </c>
      <c r="AU85">
        <f t="shared" si="74"/>
        <v>18.651498955610347</v>
      </c>
      <c r="AV85">
        <f t="shared" si="75"/>
        <v>19.456155805847757</v>
      </c>
      <c r="AW85">
        <f t="shared" si="76"/>
        <v>33.473548042845138</v>
      </c>
      <c r="AX85">
        <f t="shared" si="77"/>
        <v>14.771602193459316</v>
      </c>
      <c r="AY85">
        <f t="shared" si="78"/>
        <v>17.818164607565734</v>
      </c>
      <c r="AZ85">
        <f t="shared" si="79"/>
        <v>20.153693767217082</v>
      </c>
      <c r="BA85">
        <f t="shared" si="80"/>
        <v>21.087399357586904</v>
      </c>
      <c r="BB85">
        <f t="shared" si="81"/>
        <v>19.390366252054758</v>
      </c>
      <c r="BC85" s="2">
        <f t="shared" si="83"/>
        <v>24.520669395065273</v>
      </c>
      <c r="BD85">
        <f t="shared" si="84"/>
        <v>42.394311152041006</v>
      </c>
      <c r="BE85">
        <f t="shared" si="85"/>
        <v>6.5110913948462592</v>
      </c>
      <c r="BF85" s="12">
        <f t="shared" si="86"/>
        <v>24.18156091925913</v>
      </c>
      <c r="BG85">
        <f t="shared" si="87"/>
        <v>0.33910847580614245</v>
      </c>
      <c r="BH85">
        <f t="shared" si="88"/>
        <v>0.11499455836356511</v>
      </c>
    </row>
    <row r="86" spans="1:60" x14ac:dyDescent="0.25">
      <c r="A86" s="7">
        <v>75</v>
      </c>
      <c r="B86" s="9">
        <f t="shared" si="82"/>
        <v>24.631771119209589</v>
      </c>
      <c r="C86">
        <v>-0.64061403241065706</v>
      </c>
      <c r="D86">
        <v>0.3928037354655598</v>
      </c>
      <c r="E86">
        <v>-0.96642963957640304</v>
      </c>
      <c r="F86">
        <v>-1.1627552110354933E-2</v>
      </c>
      <c r="G86">
        <v>-0.80913724173711354</v>
      </c>
      <c r="H86">
        <v>0.2883083590197455</v>
      </c>
      <c r="I86">
        <v>-0.83477278969695123</v>
      </c>
      <c r="J86">
        <v>0.17441328165532388</v>
      </c>
      <c r="K86">
        <v>0.78460036011841172</v>
      </c>
      <c r="L86">
        <v>-0.63188573870052189</v>
      </c>
      <c r="M86">
        <v>-0.60588396862697225</v>
      </c>
      <c r="N86">
        <v>-6.9429609057893638E-2</v>
      </c>
      <c r="O86">
        <v>-0.35508285775322734</v>
      </c>
      <c r="P86">
        <v>2.9755546739097305E-2</v>
      </c>
      <c r="Q86">
        <v>0.794305246131779</v>
      </c>
      <c r="R86">
        <v>0.23483993041779838</v>
      </c>
      <c r="S86">
        <v>-0.76293221839045378</v>
      </c>
      <c r="T86">
        <v>-0.32041383098849452</v>
      </c>
      <c r="U86">
        <v>0.74138615070039982</v>
      </c>
      <c r="V86">
        <v>-0.82360301522873625</v>
      </c>
      <c r="W86">
        <v>-0.3538010803552355</v>
      </c>
      <c r="X86">
        <v>4.6693319498276598E-3</v>
      </c>
      <c r="Y86">
        <v>-0.65282143620105593</v>
      </c>
      <c r="Z86">
        <v>-9.903256324961085E-2</v>
      </c>
      <c r="AA86">
        <v>-9.2471083712271085E-3</v>
      </c>
      <c r="AC86" s="7">
        <v>75</v>
      </c>
      <c r="AD86">
        <f t="shared" si="57"/>
        <v>15.7792805828713</v>
      </c>
      <c r="AE86">
        <f t="shared" si="58"/>
        <v>30.059831035040663</v>
      </c>
      <c r="AF86">
        <f t="shared" si="59"/>
        <v>11.276913427140389</v>
      </c>
      <c r="AG86">
        <f t="shared" si="60"/>
        <v>24.471092785907466</v>
      </c>
      <c r="AH86">
        <f t="shared" si="61"/>
        <v>13.450499069762824</v>
      </c>
      <c r="AI86">
        <f t="shared" si="62"/>
        <v>28.615834674866193</v>
      </c>
      <c r="AJ86">
        <f t="shared" si="63"/>
        <v>13.096247626262077</v>
      </c>
      <c r="AK86">
        <f t="shared" si="64"/>
        <v>27.04194611874145</v>
      </c>
      <c r="AL86">
        <f t="shared" si="65"/>
        <v>35.473973929877069</v>
      </c>
      <c r="AM86">
        <f t="shared" si="66"/>
        <v>15.899894764825126</v>
      </c>
      <c r="AN86">
        <f t="shared" si="67"/>
        <v>16.259206943233025</v>
      </c>
      <c r="AO86">
        <f t="shared" si="68"/>
        <v>23.672340126395067</v>
      </c>
      <c r="AP86">
        <f t="shared" si="69"/>
        <v>19.724966898815325</v>
      </c>
      <c r="AQ86">
        <f t="shared" si="70"/>
        <v>25.042955830415814</v>
      </c>
      <c r="AR86">
        <f t="shared" si="71"/>
        <v>35.608083404916641</v>
      </c>
      <c r="AS86">
        <f t="shared" si="72"/>
        <v>27.876967378421782</v>
      </c>
      <c r="AT86">
        <f t="shared" si="73"/>
        <v>14.088995123882025</v>
      </c>
      <c r="AU86">
        <f t="shared" si="74"/>
        <v>20.20404980335919</v>
      </c>
      <c r="AV86">
        <f t="shared" si="75"/>
        <v>34.876807210832951</v>
      </c>
      <c r="AW86">
        <f t="shared" si="76"/>
        <v>13.250600040930259</v>
      </c>
      <c r="AX86">
        <f t="shared" si="77"/>
        <v>19.74267947099036</v>
      </c>
      <c r="AY86">
        <f t="shared" si="78"/>
        <v>24.696295489275798</v>
      </c>
      <c r="AZ86">
        <f t="shared" si="79"/>
        <v>15.610589419299517</v>
      </c>
      <c r="BA86">
        <f t="shared" si="80"/>
        <v>23.263264054733494</v>
      </c>
      <c r="BB86">
        <f t="shared" si="81"/>
        <v>24.503987562803964</v>
      </c>
      <c r="BC86" s="2">
        <f t="shared" si="83"/>
        <v>22.143492110943988</v>
      </c>
      <c r="BD86">
        <f t="shared" si="84"/>
        <v>54.320491839889577</v>
      </c>
      <c r="BE86">
        <f t="shared" si="85"/>
        <v>7.3702436757470631</v>
      </c>
      <c r="BF86" s="12">
        <f t="shared" si="86"/>
        <v>24.469663137556541</v>
      </c>
      <c r="BG86">
        <f t="shared" si="87"/>
        <v>-2.3261710266125526</v>
      </c>
      <c r="BH86">
        <f t="shared" si="88"/>
        <v>5.4110716450516971</v>
      </c>
    </row>
    <row r="87" spans="1:60" x14ac:dyDescent="0.25">
      <c r="A87" s="7">
        <v>76</v>
      </c>
      <c r="B87" s="9">
        <f t="shared" si="82"/>
        <v>24.923355519259349</v>
      </c>
      <c r="C87">
        <v>0.98260444959868165</v>
      </c>
      <c r="D87">
        <v>-0.31998657185583057</v>
      </c>
      <c r="E87">
        <v>-0.79900509659108243</v>
      </c>
      <c r="F87">
        <v>0.90227973265785688</v>
      </c>
      <c r="G87">
        <v>0.69219031342509241</v>
      </c>
      <c r="H87">
        <v>0.58201849421674234</v>
      </c>
      <c r="I87">
        <v>0.31272316660054322</v>
      </c>
      <c r="J87">
        <v>0.38401440473647264</v>
      </c>
      <c r="K87">
        <v>0.988036744285409</v>
      </c>
      <c r="L87">
        <v>-0.10299996948149048</v>
      </c>
      <c r="M87">
        <v>0.48271126438184764</v>
      </c>
      <c r="N87">
        <v>-0.63896603289895326</v>
      </c>
      <c r="O87">
        <v>9.9887081514938858E-2</v>
      </c>
      <c r="P87">
        <v>0.92107913449507128</v>
      </c>
      <c r="Q87">
        <v>0.86681722464674826</v>
      </c>
      <c r="R87">
        <v>0.23410748619037447</v>
      </c>
      <c r="S87">
        <v>0.22092349009674361</v>
      </c>
      <c r="T87">
        <v>-0.11197241126743374</v>
      </c>
      <c r="U87">
        <v>-0.67680898464918982</v>
      </c>
      <c r="V87">
        <v>0.75005340739158299</v>
      </c>
      <c r="W87">
        <v>-0.85326700643940545</v>
      </c>
      <c r="X87">
        <v>-0.6972563859981078</v>
      </c>
      <c r="Y87">
        <v>-0.33744315927610091</v>
      </c>
      <c r="Z87">
        <v>0.50108340708639787</v>
      </c>
      <c r="AA87">
        <v>2.755821405682557E-2</v>
      </c>
      <c r="AC87" s="7">
        <v>76</v>
      </c>
      <c r="AD87">
        <f t="shared" si="57"/>
        <v>38.501729003061165</v>
      </c>
      <c r="AE87">
        <f t="shared" si="58"/>
        <v>20.501538394133963</v>
      </c>
      <c r="AF87">
        <f t="shared" si="59"/>
        <v>13.882097135577165</v>
      </c>
      <c r="AG87">
        <f t="shared" si="60"/>
        <v>37.391741146758825</v>
      </c>
      <c r="AH87">
        <f t="shared" si="61"/>
        <v>34.48856622168843</v>
      </c>
      <c r="AI87">
        <f t="shared" si="62"/>
        <v>32.966128470453071</v>
      </c>
      <c r="AJ87">
        <f t="shared" si="63"/>
        <v>29.244801402059522</v>
      </c>
      <c r="AK87">
        <f t="shared" si="64"/>
        <v>30.22995779731874</v>
      </c>
      <c r="AL87">
        <f t="shared" si="65"/>
        <v>38.576796570850604</v>
      </c>
      <c r="AM87">
        <f t="shared" si="66"/>
        <v>23.500023826622424</v>
      </c>
      <c r="AN87">
        <f t="shared" si="67"/>
        <v>31.593825854796613</v>
      </c>
      <c r="AO87">
        <f t="shared" si="68"/>
        <v>16.093638290003248</v>
      </c>
      <c r="AP87">
        <f t="shared" si="69"/>
        <v>26.303670965185471</v>
      </c>
      <c r="AQ87">
        <f t="shared" si="70"/>
        <v>37.651525538659371</v>
      </c>
      <c r="AR87">
        <f t="shared" si="71"/>
        <v>36.901693316582794</v>
      </c>
      <c r="AS87">
        <f t="shared" si="72"/>
        <v>28.158430308657234</v>
      </c>
      <c r="AT87">
        <f t="shared" si="73"/>
        <v>27.976243851999708</v>
      </c>
      <c r="AU87">
        <f t="shared" si="74"/>
        <v>23.37603582139716</v>
      </c>
      <c r="AV87">
        <f t="shared" si="75"/>
        <v>15.570695682930721</v>
      </c>
      <c r="AW87">
        <f t="shared" si="76"/>
        <v>35.288162337018683</v>
      </c>
      <c r="AX87">
        <f t="shared" si="77"/>
        <v>13.132264913500586</v>
      </c>
      <c r="AY87">
        <f t="shared" si="78"/>
        <v>15.288137983947983</v>
      </c>
      <c r="AZ87">
        <f t="shared" si="79"/>
        <v>20.260310030226314</v>
      </c>
      <c r="BA87">
        <f t="shared" si="80"/>
        <v>31.847706055972147</v>
      </c>
      <c r="BB87">
        <f t="shared" si="81"/>
        <v>25.304175821022653</v>
      </c>
      <c r="BC87" s="2">
        <f t="shared" si="83"/>
        <v>27.361195869616978</v>
      </c>
      <c r="BD87">
        <f t="shared" si="84"/>
        <v>69.700433504816218</v>
      </c>
      <c r="BE87">
        <f t="shared" si="85"/>
        <v>8.3486785484180803</v>
      </c>
      <c r="BF87" s="12">
        <f t="shared" si="86"/>
        <v>24.757765355853952</v>
      </c>
      <c r="BG87">
        <f t="shared" si="87"/>
        <v>2.6034305137630263</v>
      </c>
      <c r="BH87">
        <f t="shared" si="88"/>
        <v>6.7778504399924149</v>
      </c>
    </row>
    <row r="88" spans="1:60" x14ac:dyDescent="0.25">
      <c r="A88" s="7">
        <v>77</v>
      </c>
      <c r="B88" s="9">
        <f t="shared" si="82"/>
        <v>25.214939919309106</v>
      </c>
      <c r="C88">
        <v>0.93438520462660613</v>
      </c>
      <c r="D88">
        <v>-8.1942197943052464E-2</v>
      </c>
      <c r="E88">
        <v>0.36539811395611443</v>
      </c>
      <c r="F88">
        <v>0.29606006042664879</v>
      </c>
      <c r="G88">
        <v>-0.71733756523331405</v>
      </c>
      <c r="H88">
        <v>-0.80309457686086616</v>
      </c>
      <c r="I88">
        <v>0.20187994018372146</v>
      </c>
      <c r="J88">
        <v>-0.16629535813470875</v>
      </c>
      <c r="K88">
        <v>-0.67088839381084631</v>
      </c>
      <c r="L88">
        <v>-0.32303842280343031</v>
      </c>
      <c r="M88">
        <v>-0.88909573656422625</v>
      </c>
      <c r="N88">
        <v>-0.5620593890194403</v>
      </c>
      <c r="O88">
        <v>-0.61436811426129956</v>
      </c>
      <c r="P88">
        <v>-0.69017609179967643</v>
      </c>
      <c r="Q88">
        <v>-0.42558061464278085</v>
      </c>
      <c r="R88">
        <v>-0.34769737846003601</v>
      </c>
      <c r="S88">
        <v>0.85387737662892538</v>
      </c>
      <c r="T88">
        <v>-0.20596942045350508</v>
      </c>
      <c r="U88">
        <v>-0.21292764061403247</v>
      </c>
      <c r="V88">
        <v>-0.97747734000671405</v>
      </c>
      <c r="W88">
        <v>-0.29325235755485701</v>
      </c>
      <c r="X88">
        <v>-0.62034974211859495</v>
      </c>
      <c r="Y88">
        <v>-0.50840784936063721</v>
      </c>
      <c r="Z88">
        <v>-0.15884884182256542</v>
      </c>
      <c r="AA88">
        <v>-0.49461348307748654</v>
      </c>
      <c r="AC88" s="7">
        <v>77</v>
      </c>
      <c r="AD88">
        <f t="shared" si="57"/>
        <v>38.126983307002376</v>
      </c>
      <c r="AE88">
        <f t="shared" si="58"/>
        <v>24.082600483833506</v>
      </c>
      <c r="AF88">
        <f t="shared" si="59"/>
        <v>30.264288172921528</v>
      </c>
      <c r="AG88">
        <f t="shared" si="60"/>
        <v>29.306122363833794</v>
      </c>
      <c r="AH88">
        <f t="shared" si="61"/>
        <v>15.302225419922156</v>
      </c>
      <c r="AI88">
        <f t="shared" si="62"/>
        <v>14.117169995830373</v>
      </c>
      <c r="AJ88">
        <f t="shared" si="63"/>
        <v>28.004670036877481</v>
      </c>
      <c r="AK88">
        <f t="shared" si="64"/>
        <v>22.916944543552479</v>
      </c>
      <c r="AL88">
        <f t="shared" si="65"/>
        <v>15.944095297312794</v>
      </c>
      <c r="AM88">
        <f t="shared" si="66"/>
        <v>20.750950003290775</v>
      </c>
      <c r="AN88">
        <f t="shared" si="67"/>
        <v>12.928740748467156</v>
      </c>
      <c r="AO88">
        <f t="shared" si="68"/>
        <v>17.447977020555246</v>
      </c>
      <c r="AP88">
        <f t="shared" si="69"/>
        <v>16.725135384650152</v>
      </c>
      <c r="AQ88">
        <f t="shared" si="70"/>
        <v>15.677563258869377</v>
      </c>
      <c r="AR88">
        <f t="shared" si="71"/>
        <v>19.333944229287791</v>
      </c>
      <c r="AS88">
        <f t="shared" si="72"/>
        <v>20.410193852875771</v>
      </c>
      <c r="AT88">
        <f t="shared" si="73"/>
        <v>37.014465083246456</v>
      </c>
      <c r="AU88">
        <f t="shared" si="74"/>
        <v>22.368698261944182</v>
      </c>
      <c r="AV88">
        <f t="shared" si="75"/>
        <v>22.272544298708265</v>
      </c>
      <c r="AW88">
        <f t="shared" si="76"/>
        <v>11.707416724207443</v>
      </c>
      <c r="AX88">
        <f t="shared" si="77"/>
        <v>21.162556442405929</v>
      </c>
      <c r="AY88">
        <f t="shared" si="78"/>
        <v>16.642476714499978</v>
      </c>
      <c r="AZ88">
        <f t="shared" si="79"/>
        <v>18.189374684453238</v>
      </c>
      <c r="BA88">
        <f t="shared" si="80"/>
        <v>23.019846153331269</v>
      </c>
      <c r="BB88">
        <f t="shared" si="81"/>
        <v>18.379995699289353</v>
      </c>
      <c r="BC88" s="2">
        <f t="shared" si="83"/>
        <v>21.28387912724676</v>
      </c>
      <c r="BD88">
        <f t="shared" si="84"/>
        <v>46.895704995514883</v>
      </c>
      <c r="BE88">
        <f t="shared" si="85"/>
        <v>6.8480438809571655</v>
      </c>
      <c r="BF88" s="12">
        <f t="shared" si="86"/>
        <v>25.045867574151359</v>
      </c>
      <c r="BG88">
        <f t="shared" si="87"/>
        <v>-3.7619884469045992</v>
      </c>
      <c r="BH88">
        <f t="shared" si="88"/>
        <v>14.152557074643678</v>
      </c>
    </row>
    <row r="89" spans="1:60" x14ac:dyDescent="0.25">
      <c r="A89" s="7">
        <v>78</v>
      </c>
      <c r="B89" s="9">
        <f t="shared" si="82"/>
        <v>25.506524319358867</v>
      </c>
      <c r="C89">
        <v>-0.9318826868495742</v>
      </c>
      <c r="D89">
        <v>-0.36979277932065802</v>
      </c>
      <c r="E89">
        <v>0.44236579485457939</v>
      </c>
      <c r="F89">
        <v>0.76354258857997381</v>
      </c>
      <c r="G89">
        <v>-0.23166600543229465</v>
      </c>
      <c r="H89">
        <v>-0.87462996307260354</v>
      </c>
      <c r="I89">
        <v>0.11087374492629776</v>
      </c>
      <c r="J89">
        <v>0.47215186010315247</v>
      </c>
      <c r="K89">
        <v>0.97308267464217058</v>
      </c>
      <c r="L89">
        <v>-0.89855647450178533</v>
      </c>
      <c r="M89">
        <v>-0.33439130832850128</v>
      </c>
      <c r="N89">
        <v>0.59697256385998099</v>
      </c>
      <c r="O89">
        <v>0.51676992095706042</v>
      </c>
      <c r="P89">
        <v>-0.13913388470107124</v>
      </c>
      <c r="Q89">
        <v>-0.21732230597857605</v>
      </c>
      <c r="R89">
        <v>-0.63933225501266522</v>
      </c>
      <c r="S89">
        <v>-2.1881771294290031E-2</v>
      </c>
      <c r="T89">
        <v>0.92596209601123092</v>
      </c>
      <c r="U89">
        <v>0.11850337229529706</v>
      </c>
      <c r="V89">
        <v>0.1233252967925047</v>
      </c>
      <c r="W89">
        <v>-0.71001312295907471</v>
      </c>
      <c r="X89">
        <v>-0.53965880306405833</v>
      </c>
      <c r="Y89">
        <v>-0.70372631000701924</v>
      </c>
      <c r="Z89">
        <v>-0.32761619922482987</v>
      </c>
      <c r="AA89">
        <v>-0.88177129428998691</v>
      </c>
      <c r="AC89" s="7">
        <v>78</v>
      </c>
      <c r="AD89">
        <f t="shared" si="57"/>
        <v>12.629062620197816</v>
      </c>
      <c r="AE89">
        <f t="shared" si="58"/>
        <v>20.396447246860603</v>
      </c>
      <c r="AF89">
        <f t="shared" si="59"/>
        <v>31.619470359291387</v>
      </c>
      <c r="AG89">
        <f t="shared" si="60"/>
        <v>36.057734872865019</v>
      </c>
      <c r="AH89">
        <f t="shared" si="61"/>
        <v>22.305187762675338</v>
      </c>
      <c r="AI89">
        <f t="shared" si="62"/>
        <v>13.420224177349482</v>
      </c>
      <c r="AJ89">
        <f t="shared" si="63"/>
        <v>27.038661812499594</v>
      </c>
      <c r="AK89">
        <f t="shared" si="64"/>
        <v>32.031076798406538</v>
      </c>
      <c r="AL89">
        <f t="shared" si="65"/>
        <v>38.953318695574694</v>
      </c>
      <c r="AM89">
        <f t="shared" si="66"/>
        <v>13.089589496748784</v>
      </c>
      <c r="AN89">
        <f t="shared" si="67"/>
        <v>20.885651621218777</v>
      </c>
      <c r="AO89">
        <f t="shared" si="68"/>
        <v>33.755943945928024</v>
      </c>
      <c r="AP89">
        <f t="shared" si="69"/>
        <v>32.647643001261407</v>
      </c>
      <c r="AQ89">
        <f t="shared" si="70"/>
        <v>23.58386678254946</v>
      </c>
      <c r="AR89">
        <f t="shared" si="71"/>
        <v>22.503399879872184</v>
      </c>
      <c r="AS89">
        <f t="shared" si="72"/>
        <v>16.671746355195616</v>
      </c>
      <c r="AT89">
        <f t="shared" si="73"/>
        <v>25.204145408656444</v>
      </c>
      <c r="AU89">
        <f t="shared" si="74"/>
        <v>38.302170804187604</v>
      </c>
      <c r="AV89">
        <f t="shared" si="75"/>
        <v>27.144093789731958</v>
      </c>
      <c r="AW89">
        <f t="shared" si="76"/>
        <v>27.210726799342815</v>
      </c>
      <c r="AX89">
        <f t="shared" si="77"/>
        <v>15.695024518114987</v>
      </c>
      <c r="AY89">
        <f t="shared" si="78"/>
        <v>18.049109705759232</v>
      </c>
      <c r="AZ89">
        <f t="shared" si="79"/>
        <v>15.781900467354456</v>
      </c>
      <c r="BA89">
        <f t="shared" si="80"/>
        <v>20.979275217001117</v>
      </c>
      <c r="BB89">
        <f t="shared" si="81"/>
        <v>13.321539846659988</v>
      </c>
      <c r="BC89" s="2">
        <f t="shared" si="83"/>
        <v>23.971080479412141</v>
      </c>
      <c r="BD89">
        <f t="shared" si="84"/>
        <v>68.08048461139515</v>
      </c>
      <c r="BE89">
        <f t="shared" si="85"/>
        <v>8.2510899044547532</v>
      </c>
      <c r="BF89" s="12">
        <f t="shared" si="86"/>
        <v>25.333969792448769</v>
      </c>
      <c r="BG89">
        <f t="shared" si="87"/>
        <v>-1.3628893130366286</v>
      </c>
      <c r="BH89">
        <f t="shared" si="88"/>
        <v>1.8574672795894536</v>
      </c>
    </row>
    <row r="90" spans="1:60" x14ac:dyDescent="0.25">
      <c r="A90" s="7">
        <v>79</v>
      </c>
      <c r="B90" s="9">
        <f t="shared" si="82"/>
        <v>25.798108719408628</v>
      </c>
      <c r="C90">
        <v>-0.61833552049317908</v>
      </c>
      <c r="D90">
        <v>0.81859797967467274</v>
      </c>
      <c r="E90">
        <v>0.73577074495681627</v>
      </c>
      <c r="F90">
        <v>0.57298501541184721</v>
      </c>
      <c r="G90">
        <v>0.47752311777092804</v>
      </c>
      <c r="H90">
        <v>0.96758934293649101</v>
      </c>
      <c r="I90">
        <v>0.52995391705069128</v>
      </c>
      <c r="J90">
        <v>0.81432538834803303</v>
      </c>
      <c r="K90">
        <v>-0.16129032258064513</v>
      </c>
      <c r="L90">
        <v>-0.24301889095736562</v>
      </c>
      <c r="M90">
        <v>0.15573595385601369</v>
      </c>
      <c r="N90">
        <v>0.11520737327188946</v>
      </c>
      <c r="O90">
        <v>0.92107913449507128</v>
      </c>
      <c r="P90">
        <v>0.99639881588183243</v>
      </c>
      <c r="Q90">
        <v>0.65404217658009589</v>
      </c>
      <c r="R90">
        <v>0.94354075746940524</v>
      </c>
      <c r="S90">
        <v>0.54832605975524151</v>
      </c>
      <c r="T90">
        <v>0.53178502761925106</v>
      </c>
      <c r="U90">
        <v>0.53459273049104272</v>
      </c>
      <c r="V90">
        <v>0.62657551805169831</v>
      </c>
      <c r="W90">
        <v>-0.83062227240821562</v>
      </c>
      <c r="X90">
        <v>0.72447889645069741</v>
      </c>
      <c r="Y90">
        <v>0.58970915860469364</v>
      </c>
      <c r="Z90">
        <v>0.15970336008789321</v>
      </c>
      <c r="AA90">
        <v>0.68187505722220521</v>
      </c>
      <c r="AC90" s="7">
        <v>79</v>
      </c>
      <c r="AD90">
        <f t="shared" si="57"/>
        <v>17.253479556588843</v>
      </c>
      <c r="AE90">
        <f t="shared" si="58"/>
        <v>37.110116420623527</v>
      </c>
      <c r="AF90">
        <f t="shared" si="59"/>
        <v>35.965546875788974</v>
      </c>
      <c r="AG90">
        <f t="shared" si="60"/>
        <v>33.716050209559235</v>
      </c>
      <c r="AH90">
        <f t="shared" si="61"/>
        <v>32.396885310427884</v>
      </c>
      <c r="AI90">
        <f t="shared" si="62"/>
        <v>39.168992072017147</v>
      </c>
      <c r="AJ90">
        <f t="shared" si="63"/>
        <v>33.121413857968697</v>
      </c>
      <c r="AK90">
        <f t="shared" si="64"/>
        <v>37.051074513373401</v>
      </c>
      <c r="AL90">
        <f t="shared" si="65"/>
        <v>23.569276720716434</v>
      </c>
      <c r="AM90">
        <f t="shared" si="66"/>
        <v>22.43988938060334</v>
      </c>
      <c r="AN90">
        <f t="shared" si="67"/>
        <v>27.950186238675663</v>
      </c>
      <c r="AO90">
        <f t="shared" si="68"/>
        <v>27.390131575617339</v>
      </c>
      <c r="AP90">
        <f t="shared" si="69"/>
        <v>38.526278738808649</v>
      </c>
      <c r="AQ90">
        <f t="shared" si="70"/>
        <v>39.567103218046562</v>
      </c>
      <c r="AR90">
        <f t="shared" si="71"/>
        <v>34.836159535675876</v>
      </c>
      <c r="AS90">
        <f t="shared" si="72"/>
        <v>38.836670479780736</v>
      </c>
      <c r="AT90">
        <f t="shared" si="73"/>
        <v>33.375294059144231</v>
      </c>
      <c r="AU90">
        <f t="shared" si="74"/>
        <v>33.146717532504461</v>
      </c>
      <c r="AV90">
        <f t="shared" si="75"/>
        <v>33.185516500125971</v>
      </c>
      <c r="AW90">
        <f t="shared" si="76"/>
        <v>34.456604417639362</v>
      </c>
      <c r="AX90">
        <f t="shared" si="77"/>
        <v>14.319940222075523</v>
      </c>
      <c r="AY90">
        <f t="shared" si="78"/>
        <v>35.809507549485076</v>
      </c>
      <c r="AZ90">
        <f t="shared" si="79"/>
        <v>33.947157103652579</v>
      </c>
      <c r="BA90">
        <f t="shared" si="80"/>
        <v>28.005010866836489</v>
      </c>
      <c r="BB90">
        <f t="shared" si="81"/>
        <v>35.220775388619543</v>
      </c>
      <c r="BC90" s="2">
        <f t="shared" si="83"/>
        <v>32.014631133774216</v>
      </c>
      <c r="BD90">
        <f t="shared" si="84"/>
        <v>44.299640152157281</v>
      </c>
      <c r="BE90">
        <f t="shared" si="85"/>
        <v>6.6557974843107477</v>
      </c>
      <c r="BF90" s="12">
        <f t="shared" si="86"/>
        <v>25.62207201074618</v>
      </c>
      <c r="BG90">
        <f t="shared" si="87"/>
        <v>6.3925591230280361</v>
      </c>
      <c r="BH90">
        <f t="shared" si="88"/>
        <v>40.864812141408976</v>
      </c>
    </row>
    <row r="91" spans="1:60" x14ac:dyDescent="0.25">
      <c r="A91" s="7">
        <v>80</v>
      </c>
      <c r="B91" s="9">
        <f t="shared" si="82"/>
        <v>26.089693119458389</v>
      </c>
      <c r="C91">
        <v>0.2303842280343027</v>
      </c>
      <c r="D91">
        <v>0.80535294656208989</v>
      </c>
      <c r="E91">
        <v>0.72246467482528143</v>
      </c>
      <c r="F91">
        <v>-0.86584063234351638</v>
      </c>
      <c r="G91">
        <v>-0.85686819055757313</v>
      </c>
      <c r="H91">
        <v>-0.81701101718192082</v>
      </c>
      <c r="I91">
        <v>0.46360667744987327</v>
      </c>
      <c r="J91">
        <v>0.6198614459669789</v>
      </c>
      <c r="K91">
        <v>0.56260872219000824</v>
      </c>
      <c r="L91">
        <v>-0.71617786187322618</v>
      </c>
      <c r="M91">
        <v>-0.88103885006256299</v>
      </c>
      <c r="N91">
        <v>-0.32529679250465404</v>
      </c>
      <c r="O91">
        <v>0.65153965880306397</v>
      </c>
      <c r="P91">
        <v>0.3077791680654316</v>
      </c>
      <c r="Q91">
        <v>-0.97686696981719412</v>
      </c>
      <c r="R91">
        <v>0.49125644703512683</v>
      </c>
      <c r="S91">
        <v>0.24338511307107757</v>
      </c>
      <c r="T91">
        <v>0.52079836420789216</v>
      </c>
      <c r="U91">
        <v>7.8585161900692757E-2</v>
      </c>
      <c r="V91">
        <v>0.26169621875667581</v>
      </c>
      <c r="W91">
        <v>6.3509018219550128E-2</v>
      </c>
      <c r="X91">
        <v>-0.1582384716330455</v>
      </c>
      <c r="Y91">
        <v>-0.75609607226783049</v>
      </c>
      <c r="Z91">
        <v>0.96227912228766743</v>
      </c>
      <c r="AA91">
        <v>0.62553788872951444</v>
      </c>
      <c r="AC91" s="7">
        <v>80</v>
      </c>
      <c r="AD91">
        <f t="shared" si="57"/>
        <v>29.273317103966878</v>
      </c>
      <c r="AE91">
        <f t="shared" si="58"/>
        <v>37.2186709081979</v>
      </c>
      <c r="AF91">
        <f t="shared" si="59"/>
        <v>36.073257907545489</v>
      </c>
      <c r="AG91">
        <f t="shared" si="60"/>
        <v>14.124850615220687</v>
      </c>
      <c r="AH91">
        <f t="shared" si="61"/>
        <v>14.248838620445948</v>
      </c>
      <c r="AI91">
        <f t="shared" si="62"/>
        <v>14.799615269507823</v>
      </c>
      <c r="AJ91">
        <f t="shared" si="63"/>
        <v>32.496161784005807</v>
      </c>
      <c r="AK91">
        <f t="shared" si="64"/>
        <v>34.655408677724644</v>
      </c>
      <c r="AL91">
        <f t="shared" si="65"/>
        <v>33.864247120572976</v>
      </c>
      <c r="AM91">
        <f t="shared" si="66"/>
        <v>16.193004280610758</v>
      </c>
      <c r="AN91">
        <f t="shared" si="67"/>
        <v>13.914830116573816</v>
      </c>
      <c r="AO91">
        <f t="shared" si="68"/>
        <v>21.594495338179279</v>
      </c>
      <c r="AP91">
        <f t="shared" si="69"/>
        <v>35.093162247193419</v>
      </c>
      <c r="AQ91">
        <f t="shared" si="70"/>
        <v>30.342819081011989</v>
      </c>
      <c r="AR91">
        <f t="shared" si="71"/>
        <v>12.590604482535314</v>
      </c>
      <c r="AS91">
        <f t="shared" si="72"/>
        <v>32.878247269495901</v>
      </c>
      <c r="AT91">
        <f t="shared" si="73"/>
        <v>29.452973193170831</v>
      </c>
      <c r="AU91">
        <f t="shared" si="74"/>
        <v>33.286479885339617</v>
      </c>
      <c r="AV91">
        <f t="shared" si="75"/>
        <v>27.175642484951748</v>
      </c>
      <c r="AW91">
        <f t="shared" si="76"/>
        <v>29.706009938528503</v>
      </c>
      <c r="AX91">
        <f t="shared" si="77"/>
        <v>26.967308897940594</v>
      </c>
      <c r="AY91">
        <f t="shared" si="78"/>
        <v>23.90303391165914</v>
      </c>
      <c r="AZ91">
        <f t="shared" si="79"/>
        <v>15.641384175731023</v>
      </c>
      <c r="BA91">
        <f t="shared" si="80"/>
        <v>39.387195815913181</v>
      </c>
      <c r="BB91">
        <f t="shared" si="81"/>
        <v>34.733850068785522</v>
      </c>
      <c r="BC91" s="2">
        <f t="shared" si="83"/>
        <v>26.784616367792349</v>
      </c>
      <c r="BD91">
        <f t="shared" si="84"/>
        <v>76.86423419160792</v>
      </c>
      <c r="BE91">
        <f t="shared" si="85"/>
        <v>8.7672249994857498</v>
      </c>
      <c r="BF91" s="12">
        <f t="shared" si="86"/>
        <v>25.910174229043587</v>
      </c>
      <c r="BG91">
        <f t="shared" si="87"/>
        <v>0.87444213874876198</v>
      </c>
      <c r="BH91">
        <f t="shared" si="88"/>
        <v>0.76464905401950911</v>
      </c>
    </row>
    <row r="92" spans="1:60" x14ac:dyDescent="0.25">
      <c r="A92" s="7">
        <v>81</v>
      </c>
      <c r="B92" s="9">
        <f t="shared" si="82"/>
        <v>26.381277519508149</v>
      </c>
      <c r="C92">
        <v>0.40275276955473505</v>
      </c>
      <c r="D92">
        <v>0.10495315408795425</v>
      </c>
      <c r="E92">
        <v>0.89165929136020994</v>
      </c>
      <c r="F92">
        <v>0.8665120395519883</v>
      </c>
      <c r="G92">
        <v>0.89355143894772171</v>
      </c>
      <c r="H92">
        <v>-0.9107028412732322</v>
      </c>
      <c r="I92">
        <v>0.27555162205877859</v>
      </c>
      <c r="J92">
        <v>0.58268990142521448</v>
      </c>
      <c r="K92">
        <v>-0.49559007538071842</v>
      </c>
      <c r="L92">
        <v>-0.11123996704000971</v>
      </c>
      <c r="M92">
        <v>0.25064851832636492</v>
      </c>
      <c r="N92">
        <v>0.72862941373943291</v>
      </c>
      <c r="O92">
        <v>-0.7210608233893856</v>
      </c>
      <c r="P92">
        <v>0.65086825159459205</v>
      </c>
      <c r="Q92">
        <v>-0.46073793755912962</v>
      </c>
      <c r="R92">
        <v>0.6419568468276009</v>
      </c>
      <c r="S92">
        <v>0.68950468459120451</v>
      </c>
      <c r="T92">
        <v>-0.4974211859492782</v>
      </c>
      <c r="U92">
        <v>0.12863551744132806</v>
      </c>
      <c r="V92">
        <v>0.25669118320261242</v>
      </c>
      <c r="W92">
        <v>-0.75237281411175871</v>
      </c>
      <c r="X92">
        <v>0.96862697225867489</v>
      </c>
      <c r="Y92">
        <v>0.26602984710226751</v>
      </c>
      <c r="Z92">
        <v>0.36692403942991425</v>
      </c>
      <c r="AA92">
        <v>0.96270638142033138</v>
      </c>
      <c r="AC92" s="7">
        <v>81</v>
      </c>
      <c r="AD92">
        <f t="shared" si="57"/>
        <v>31.946820733650231</v>
      </c>
      <c r="AE92">
        <f t="shared" si="58"/>
        <v>27.83159979831656</v>
      </c>
      <c r="AF92">
        <f t="shared" si="59"/>
        <v>38.702901834700171</v>
      </c>
      <c r="AG92">
        <f t="shared" si="60"/>
        <v>38.355398037742297</v>
      </c>
      <c r="AH92">
        <f t="shared" si="61"/>
        <v>38.729048965053799</v>
      </c>
      <c r="AI92">
        <f t="shared" si="62"/>
        <v>13.796494989144142</v>
      </c>
      <c r="AJ92">
        <f t="shared" si="63"/>
        <v>30.18905880923224</v>
      </c>
      <c r="AK92">
        <f t="shared" si="64"/>
        <v>34.433328484698322</v>
      </c>
      <c r="AL92">
        <f t="shared" si="65"/>
        <v>19.532838006402653</v>
      </c>
      <c r="AM92">
        <f t="shared" si="66"/>
        <v>24.844079291460268</v>
      </c>
      <c r="AN92">
        <f t="shared" si="67"/>
        <v>29.844928835545801</v>
      </c>
      <c r="AO92">
        <f t="shared" si="68"/>
        <v>36.450031345199001</v>
      </c>
      <c r="AP92">
        <f t="shared" si="69"/>
        <v>16.417112215231803</v>
      </c>
      <c r="AQ92">
        <f t="shared" si="70"/>
        <v>35.375468633246733</v>
      </c>
      <c r="AR92">
        <f t="shared" si="71"/>
        <v>20.014451278400095</v>
      </c>
      <c r="AS92">
        <f t="shared" si="72"/>
        <v>35.252324083839333</v>
      </c>
      <c r="AT92">
        <f t="shared" si="73"/>
        <v>35.909376165951429</v>
      </c>
      <c r="AU92">
        <f t="shared" si="74"/>
        <v>19.507534331866886</v>
      </c>
      <c r="AV92">
        <f t="shared" si="75"/>
        <v>28.158860655645821</v>
      </c>
      <c r="AW92">
        <f t="shared" si="76"/>
        <v>29.928430961513836</v>
      </c>
      <c r="AX92">
        <f t="shared" si="77"/>
        <v>15.984419380670181</v>
      </c>
      <c r="AY92">
        <f t="shared" si="78"/>
        <v>39.766499621020273</v>
      </c>
      <c r="AZ92">
        <f t="shared" si="79"/>
        <v>30.057479701646251</v>
      </c>
      <c r="BA92">
        <f t="shared" si="80"/>
        <v>31.451712168567042</v>
      </c>
      <c r="BB92">
        <f t="shared" si="81"/>
        <v>39.684684406687957</v>
      </c>
      <c r="BC92" s="2">
        <f t="shared" si="83"/>
        <v>29.686595309417321</v>
      </c>
      <c r="BD92">
        <f t="shared" si="84"/>
        <v>65.19260927991354</v>
      </c>
      <c r="BE92">
        <f t="shared" si="85"/>
        <v>8.0741940328378003</v>
      </c>
      <c r="BF92" s="12">
        <f t="shared" si="86"/>
        <v>26.198276447340998</v>
      </c>
      <c r="BG92">
        <f t="shared" si="87"/>
        <v>3.4883188620763228</v>
      </c>
      <c r="BH92">
        <f t="shared" si="88"/>
        <v>12.168368483517451</v>
      </c>
    </row>
    <row r="93" spans="1:60" x14ac:dyDescent="0.25">
      <c r="A93" s="7">
        <v>82</v>
      </c>
      <c r="B93" s="9">
        <f t="shared" si="82"/>
        <v>26.672861919557906</v>
      </c>
      <c r="C93">
        <v>0.84649189733573404</v>
      </c>
      <c r="D93">
        <v>8.3285012359996413E-2</v>
      </c>
      <c r="E93">
        <v>-0.99584948271126439</v>
      </c>
      <c r="F93">
        <v>-0.54026917325357826</v>
      </c>
      <c r="G93">
        <v>0.10141300698873867</v>
      </c>
      <c r="H93">
        <v>0.16220587786492513</v>
      </c>
      <c r="I93">
        <v>0.99035615100558494</v>
      </c>
      <c r="J93">
        <v>-0.42893765068514056</v>
      </c>
      <c r="K93">
        <v>-0.65691091647083955</v>
      </c>
      <c r="L93">
        <v>0.35422833948789934</v>
      </c>
      <c r="M93">
        <v>0.72887356181524088</v>
      </c>
      <c r="N93">
        <v>-0.78783532212286755</v>
      </c>
      <c r="O93">
        <v>0.44718771935178681</v>
      </c>
      <c r="P93">
        <v>-0.83342997528000728</v>
      </c>
      <c r="Q93">
        <v>-0.70311593981749931</v>
      </c>
      <c r="R93">
        <v>0.35581530198065137</v>
      </c>
      <c r="S93">
        <v>0.88335825678273872</v>
      </c>
      <c r="T93">
        <v>-0.97302163762321847</v>
      </c>
      <c r="U93">
        <v>-9.9398785363322806E-2</v>
      </c>
      <c r="V93">
        <v>0.91570787682729571</v>
      </c>
      <c r="W93">
        <v>-0.68663594470046085</v>
      </c>
      <c r="X93">
        <v>-0.25998718222602013</v>
      </c>
      <c r="Y93">
        <v>0.75621814630573447</v>
      </c>
      <c r="Z93">
        <v>0.35349589526047542</v>
      </c>
      <c r="AA93">
        <v>2.1149327066866119E-2</v>
      </c>
      <c r="AC93" s="7">
        <v>82</v>
      </c>
      <c r="AD93">
        <f t="shared" si="57"/>
        <v>38.370328929534331</v>
      </c>
      <c r="AE93">
        <f t="shared" si="58"/>
        <v>27.823757383026404</v>
      </c>
      <c r="AF93">
        <f t="shared" si="59"/>
        <v>12.911458523280707</v>
      </c>
      <c r="AG93">
        <f t="shared" si="60"/>
        <v>19.207012747779682</v>
      </c>
      <c r="AH93">
        <f t="shared" si="61"/>
        <v>28.074263760930499</v>
      </c>
      <c r="AI93">
        <f t="shared" si="62"/>
        <v>28.914345755517985</v>
      </c>
      <c r="AJ93">
        <f t="shared" si="63"/>
        <v>40.358354292227801</v>
      </c>
      <c r="AK93">
        <f t="shared" si="64"/>
        <v>20.74547615955435</v>
      </c>
      <c r="AL93">
        <f t="shared" si="65"/>
        <v>17.595168679851287</v>
      </c>
      <c r="AM93">
        <f t="shared" si="66"/>
        <v>31.567857758502143</v>
      </c>
      <c r="AN93">
        <f t="shared" si="67"/>
        <v>36.744989568520189</v>
      </c>
      <c r="AO93">
        <f t="shared" si="68"/>
        <v>15.785955950543904</v>
      </c>
      <c r="AP93">
        <f t="shared" si="69"/>
        <v>32.852440969101281</v>
      </c>
      <c r="AQ93">
        <f t="shared" si="70"/>
        <v>15.155894454603292</v>
      </c>
      <c r="AR93">
        <f t="shared" si="71"/>
        <v>16.956672625732082</v>
      </c>
      <c r="AS93">
        <f t="shared" si="72"/>
        <v>31.589787609766478</v>
      </c>
      <c r="AT93">
        <f t="shared" si="73"/>
        <v>38.879776243521121</v>
      </c>
      <c r="AU93">
        <f t="shared" si="74"/>
        <v>13.226910999159943</v>
      </c>
      <c r="AV93">
        <f t="shared" si="75"/>
        <v>25.299294120174658</v>
      </c>
      <c r="AW93">
        <f t="shared" si="76"/>
        <v>39.326807826986347</v>
      </c>
      <c r="AX93">
        <f t="shared" si="77"/>
        <v>17.184405696553991</v>
      </c>
      <c r="AY93">
        <f t="shared" si="78"/>
        <v>23.08016186338784</v>
      </c>
      <c r="AZ93">
        <f t="shared" si="79"/>
        <v>37.122857774920988</v>
      </c>
      <c r="BA93">
        <f t="shared" si="80"/>
        <v>31.557736288687838</v>
      </c>
      <c r="BB93">
        <f t="shared" si="81"/>
        <v>26.965119360446025</v>
      </c>
      <c r="BC93" s="2">
        <f t="shared" si="83"/>
        <v>26.691873413692448</v>
      </c>
      <c r="BD93">
        <f t="shared" si="84"/>
        <v>81.513411721897839</v>
      </c>
      <c r="BE93">
        <f t="shared" si="85"/>
        <v>9.0284778186523695</v>
      </c>
      <c r="BF93" s="12">
        <f t="shared" si="86"/>
        <v>26.486378665638409</v>
      </c>
      <c r="BG93">
        <f t="shared" si="87"/>
        <v>0.20549474805403989</v>
      </c>
      <c r="BH93">
        <f t="shared" si="88"/>
        <v>4.2228091477793328E-2</v>
      </c>
    </row>
    <row r="94" spans="1:60" x14ac:dyDescent="0.25">
      <c r="A94" s="7">
        <v>83</v>
      </c>
      <c r="B94" s="9">
        <f t="shared" si="82"/>
        <v>26.964446319607667</v>
      </c>
      <c r="C94">
        <v>-0.55284279915768919</v>
      </c>
      <c r="D94">
        <v>-0.54063539536729022</v>
      </c>
      <c r="E94">
        <v>0.82073427533799248</v>
      </c>
      <c r="F94">
        <v>0.73711355937376011</v>
      </c>
      <c r="G94">
        <v>-0.59617908261360508</v>
      </c>
      <c r="H94">
        <v>-9.4576860866115275E-2</v>
      </c>
      <c r="I94">
        <v>0.6479995117038484</v>
      </c>
      <c r="J94">
        <v>-0.58067567979979851</v>
      </c>
      <c r="K94">
        <v>-0.11563463240455341</v>
      </c>
      <c r="L94">
        <v>-0.17722098452711565</v>
      </c>
      <c r="M94">
        <v>-5.2797021393474752E-3</v>
      </c>
      <c r="N94">
        <v>0.55546739097262487</v>
      </c>
      <c r="O94">
        <v>-0.47062593462935265</v>
      </c>
      <c r="P94">
        <v>-1.7853328043458405E-2</v>
      </c>
      <c r="Q94">
        <v>-0.52836695455793947</v>
      </c>
      <c r="R94">
        <v>0.54460280159916996</v>
      </c>
      <c r="S94">
        <v>-0.55369731742301709</v>
      </c>
      <c r="T94">
        <v>-0.85595263527329324</v>
      </c>
      <c r="U94">
        <v>-0.45188756981109046</v>
      </c>
      <c r="V94">
        <v>0.72600482192449722</v>
      </c>
      <c r="W94">
        <v>0.37693411053804127</v>
      </c>
      <c r="X94">
        <v>-0.19278542435987422</v>
      </c>
      <c r="Y94">
        <v>-0.44273201696829123</v>
      </c>
      <c r="Z94">
        <v>-0.38718832972197637</v>
      </c>
      <c r="AA94">
        <v>0.24307992797631761</v>
      </c>
      <c r="AC94" s="7">
        <v>83</v>
      </c>
      <c r="AD94">
        <f t="shared" si="57"/>
        <v>19.324845249350503</v>
      </c>
      <c r="AE94">
        <f t="shared" si="58"/>
        <v>19.493536412922289</v>
      </c>
      <c r="AF94">
        <f t="shared" si="59"/>
        <v>38.305974974447629</v>
      </c>
      <c r="AG94">
        <f t="shared" si="60"/>
        <v>37.150440503980903</v>
      </c>
      <c r="AH94">
        <f t="shared" si="61"/>
        <v>18.725991618670673</v>
      </c>
      <c r="AI94">
        <f t="shared" si="62"/>
        <v>25.657511529835272</v>
      </c>
      <c r="AJ94">
        <f t="shared" si="63"/>
        <v>35.918995009906887</v>
      </c>
      <c r="AK94">
        <f t="shared" si="64"/>
        <v>18.940229396406838</v>
      </c>
      <c r="AL94">
        <f t="shared" si="65"/>
        <v>25.366519272673944</v>
      </c>
      <c r="AM94">
        <f t="shared" si="66"/>
        <v>24.515472352454296</v>
      </c>
      <c r="AN94">
        <f t="shared" si="67"/>
        <v>26.891487391362872</v>
      </c>
      <c r="AO94">
        <f t="shared" si="68"/>
        <v>34.640315990032761</v>
      </c>
      <c r="AP94">
        <f t="shared" si="69"/>
        <v>20.460980236006471</v>
      </c>
      <c r="AQ94">
        <f t="shared" si="70"/>
        <v>26.717735492883932</v>
      </c>
      <c r="AR94">
        <f t="shared" si="71"/>
        <v>19.66307103231193</v>
      </c>
      <c r="AS94">
        <f t="shared" si="72"/>
        <v>34.490180854453875</v>
      </c>
      <c r="AT94">
        <f t="shared" si="73"/>
        <v>19.313036867900479</v>
      </c>
      <c r="AU94">
        <f t="shared" si="74"/>
        <v>15.13624365786311</v>
      </c>
      <c r="AV94">
        <f t="shared" si="75"/>
        <v>20.719921172089158</v>
      </c>
      <c r="AW94">
        <f t="shared" si="76"/>
        <v>36.996931545130586</v>
      </c>
      <c r="AX94">
        <f t="shared" si="77"/>
        <v>32.173207722795425</v>
      </c>
      <c r="AY94">
        <f t="shared" si="78"/>
        <v>24.300391118900272</v>
      </c>
      <c r="AZ94">
        <f t="shared" si="79"/>
        <v>20.846439544767996</v>
      </c>
      <c r="BA94">
        <f t="shared" si="80"/>
        <v>21.613984339019613</v>
      </c>
      <c r="BB94">
        <f t="shared" si="81"/>
        <v>30.323509114230813</v>
      </c>
      <c r="BC94" s="2">
        <f t="shared" si="83"/>
        <v>25.907478096015939</v>
      </c>
      <c r="BD94">
        <f t="shared" si="84"/>
        <v>50.092820672493112</v>
      </c>
      <c r="BE94">
        <f t="shared" si="85"/>
        <v>7.0776281812831279</v>
      </c>
      <c r="BF94" s="12">
        <f t="shared" si="86"/>
        <v>26.774480883935816</v>
      </c>
      <c r="BG94">
        <f t="shared" si="87"/>
        <v>-0.86700278791987628</v>
      </c>
      <c r="BH94">
        <f t="shared" si="88"/>
        <v>0.75169383426083802</v>
      </c>
    </row>
    <row r="95" spans="1:60" x14ac:dyDescent="0.25">
      <c r="A95" s="7">
        <v>84</v>
      </c>
      <c r="B95" s="9">
        <f t="shared" si="82"/>
        <v>27.256030719657428</v>
      </c>
      <c r="C95">
        <v>0.82000183111056857</v>
      </c>
      <c r="D95">
        <v>0.11123996704000971</v>
      </c>
      <c r="E95">
        <v>0.89696951200903352</v>
      </c>
      <c r="F95">
        <v>0.38462477492599256</v>
      </c>
      <c r="G95">
        <v>-8.230842005676442E-2</v>
      </c>
      <c r="H95">
        <v>-0.26071962645344404</v>
      </c>
      <c r="I95">
        <v>0.78460036011841172</v>
      </c>
      <c r="J95">
        <v>-0.19925534836878567</v>
      </c>
      <c r="K95">
        <v>0.24839014862514119</v>
      </c>
      <c r="L95">
        <v>-0.43931394390697953</v>
      </c>
      <c r="M95">
        <v>-0.77257606738486895</v>
      </c>
      <c r="N95">
        <v>-0.29221472823267314</v>
      </c>
      <c r="O95">
        <v>-5.0752281258583332E-2</v>
      </c>
      <c r="P95">
        <v>0.80571916867580184</v>
      </c>
      <c r="Q95">
        <v>0.61027863399151583</v>
      </c>
      <c r="R95">
        <v>-0.27402569658497877</v>
      </c>
      <c r="S95">
        <v>0.83617664113284706</v>
      </c>
      <c r="T95">
        <v>0.99609363078707225</v>
      </c>
      <c r="U95">
        <v>0.45811334574419393</v>
      </c>
      <c r="V95">
        <v>7.7211828974272922E-3</v>
      </c>
      <c r="W95">
        <v>-0.73064363536484878</v>
      </c>
      <c r="X95">
        <v>-0.40086062196722316</v>
      </c>
      <c r="Y95">
        <v>-0.27445295571764272</v>
      </c>
      <c r="Z95">
        <v>0.61967833491012292</v>
      </c>
      <c r="AA95">
        <v>-0.74285103915524764</v>
      </c>
      <c r="AC95" s="7">
        <v>84</v>
      </c>
      <c r="AD95">
        <f t="shared" si="57"/>
        <v>38.587437904683078</v>
      </c>
      <c r="AE95">
        <f t="shared" si="58"/>
        <v>28.793228947705309</v>
      </c>
      <c r="AF95">
        <f t="shared" si="59"/>
        <v>39.65103569100318</v>
      </c>
      <c r="AG95">
        <f t="shared" si="60"/>
        <v>32.571067555895411</v>
      </c>
      <c r="AH95">
        <f t="shared" si="61"/>
        <v>26.118630549274677</v>
      </c>
      <c r="AI95">
        <f t="shared" si="62"/>
        <v>23.653209193673053</v>
      </c>
      <c r="AJ95">
        <f t="shared" si="63"/>
        <v>38.098233530324904</v>
      </c>
      <c r="AK95">
        <f t="shared" si="64"/>
        <v>24.502569202256986</v>
      </c>
      <c r="AL95">
        <f t="shared" si="65"/>
        <v>30.688474170434301</v>
      </c>
      <c r="AM95">
        <f t="shared" si="66"/>
        <v>21.185257470617856</v>
      </c>
      <c r="AN95">
        <f t="shared" si="67"/>
        <v>16.579988705108157</v>
      </c>
      <c r="AO95">
        <f t="shared" si="68"/>
        <v>23.217985991657851</v>
      </c>
      <c r="AP95">
        <f t="shared" si="69"/>
        <v>26.554697207107736</v>
      </c>
      <c r="AQ95">
        <f t="shared" si="70"/>
        <v>38.390069243304097</v>
      </c>
      <c r="AR95">
        <f t="shared" si="71"/>
        <v>35.68932371451983</v>
      </c>
      <c r="AS95">
        <f t="shared" si="72"/>
        <v>23.469335825379808</v>
      </c>
      <c r="AT95">
        <f t="shared" si="73"/>
        <v>38.810953696415694</v>
      </c>
      <c r="AU95">
        <f t="shared" si="74"/>
        <v>41.020807939206065</v>
      </c>
      <c r="AV95">
        <f t="shared" si="75"/>
        <v>33.586588360597545</v>
      </c>
      <c r="AW95">
        <f t="shared" si="76"/>
        <v>27.362727880616582</v>
      </c>
      <c r="AX95">
        <f t="shared" si="77"/>
        <v>17.159442851977232</v>
      </c>
      <c r="AY95">
        <f t="shared" si="78"/>
        <v>21.716634635868974</v>
      </c>
      <c r="AZ95">
        <f t="shared" si="79"/>
        <v>23.463431634654796</v>
      </c>
      <c r="BA95">
        <f t="shared" si="80"/>
        <v>35.819215910470106</v>
      </c>
      <c r="BB95">
        <f t="shared" si="81"/>
        <v>16.990751688405449</v>
      </c>
      <c r="BC95" s="2">
        <f t="shared" si="83"/>
        <v>28.947243980046352</v>
      </c>
      <c r="BD95">
        <f t="shared" si="84"/>
        <v>60.75740722529023</v>
      </c>
      <c r="BE95">
        <f t="shared" si="85"/>
        <v>7.7947037933003092</v>
      </c>
      <c r="BF95" s="12">
        <f t="shared" si="86"/>
        <v>27.062583102233226</v>
      </c>
      <c r="BG95">
        <f t="shared" si="87"/>
        <v>1.8846608778131255</v>
      </c>
      <c r="BH95">
        <f t="shared" si="88"/>
        <v>3.5519466243593407</v>
      </c>
    </row>
    <row r="96" spans="1:60" x14ac:dyDescent="0.25">
      <c r="A96" s="7">
        <v>85</v>
      </c>
      <c r="B96" s="9">
        <f t="shared" si="82"/>
        <v>27.547615119707189</v>
      </c>
      <c r="C96">
        <v>0.96624652851954718</v>
      </c>
      <c r="D96">
        <v>-0.76915799432355725</v>
      </c>
      <c r="E96">
        <v>0.49101229895931886</v>
      </c>
      <c r="F96">
        <v>0.86022522659993284</v>
      </c>
      <c r="G96">
        <v>-0.630970183416242</v>
      </c>
      <c r="H96">
        <v>-0.20346690267647327</v>
      </c>
      <c r="I96">
        <v>-0.75890377513962215</v>
      </c>
      <c r="J96">
        <v>-4.019287697988827E-2</v>
      </c>
      <c r="K96">
        <v>-5.3743095187231082E-2</v>
      </c>
      <c r="L96">
        <v>0.65984069338053519</v>
      </c>
      <c r="M96">
        <v>0.19827875606555367</v>
      </c>
      <c r="N96">
        <v>0.45103305154576256</v>
      </c>
      <c r="O96">
        <v>0.37278359324930577</v>
      </c>
      <c r="P96">
        <v>-0.28482924893948181</v>
      </c>
      <c r="Q96">
        <v>-7.773064363536486E-2</v>
      </c>
      <c r="R96">
        <v>0.92492446668904682</v>
      </c>
      <c r="S96">
        <v>-0.9362163151951659</v>
      </c>
      <c r="T96">
        <v>0.15121921445356601</v>
      </c>
      <c r="U96">
        <v>0.54368724631489007</v>
      </c>
      <c r="V96">
        <v>0.90118106631672101</v>
      </c>
      <c r="W96">
        <v>0.72728659932248907</v>
      </c>
      <c r="X96">
        <v>-0.95538193914609215</v>
      </c>
      <c r="Y96">
        <v>0.23166600543229476</v>
      </c>
      <c r="Z96">
        <v>0.67381817072054195</v>
      </c>
      <c r="AA96">
        <v>-0.92449720755638298</v>
      </c>
      <c r="AC96" s="7">
        <v>85</v>
      </c>
      <c r="AD96">
        <f t="shared" si="57"/>
        <v>40.899942444322811</v>
      </c>
      <c r="AE96">
        <f t="shared" si="58"/>
        <v>16.918806630958017</v>
      </c>
      <c r="AF96">
        <f t="shared" si="59"/>
        <v>34.33279544647327</v>
      </c>
      <c r="AG96">
        <f t="shared" si="60"/>
        <v>39.43485968870187</v>
      </c>
      <c r="AH96">
        <f t="shared" si="61"/>
        <v>18.828390602590609</v>
      </c>
      <c r="AI96">
        <f t="shared" si="62"/>
        <v>24.735955150874481</v>
      </c>
      <c r="AJ96">
        <f t="shared" si="63"/>
        <v>17.060507208358317</v>
      </c>
      <c r="AK96">
        <f t="shared" si="64"/>
        <v>26.99219946364709</v>
      </c>
      <c r="AL96">
        <f t="shared" si="65"/>
        <v>26.80495227208241</v>
      </c>
      <c r="AM96">
        <f t="shared" si="66"/>
        <v>36.665794238671033</v>
      </c>
      <c r="AN96">
        <f t="shared" si="67"/>
        <v>30.287581344021888</v>
      </c>
      <c r="AO96">
        <f t="shared" si="68"/>
        <v>33.780331885775674</v>
      </c>
      <c r="AP96">
        <f t="shared" si="69"/>
        <v>32.699021527280536</v>
      </c>
      <c r="AQ96">
        <f t="shared" si="70"/>
        <v>23.611628545668541</v>
      </c>
      <c r="AR96">
        <f t="shared" si="71"/>
        <v>26.473474135663853</v>
      </c>
      <c r="AS96">
        <f t="shared" si="72"/>
        <v>40.328922855632321</v>
      </c>
      <c r="AT96">
        <f t="shared" si="73"/>
        <v>14.610268057478153</v>
      </c>
      <c r="AU96">
        <f t="shared" si="74"/>
        <v>29.637276908452659</v>
      </c>
      <c r="AV96">
        <f t="shared" si="75"/>
        <v>35.060697817285515</v>
      </c>
      <c r="AW96">
        <f t="shared" si="76"/>
        <v>40.000818542485206</v>
      </c>
      <c r="AX96">
        <f t="shared" si="77"/>
        <v>37.597812917405143</v>
      </c>
      <c r="AY96">
        <f t="shared" si="78"/>
        <v>14.345422930670452</v>
      </c>
      <c r="AZ96">
        <f t="shared" si="79"/>
        <v>30.748951676390718</v>
      </c>
      <c r="BA96">
        <f t="shared" si="80"/>
        <v>36.858945620960725</v>
      </c>
      <c r="BB96">
        <f t="shared" si="81"/>
        <v>14.772211574507065</v>
      </c>
      <c r="BC96" s="2">
        <f t="shared" si="83"/>
        <v>28.939502779454333</v>
      </c>
      <c r="BD96">
        <f t="shared" si="84"/>
        <v>78.321352341999656</v>
      </c>
      <c r="BE96">
        <f t="shared" si="85"/>
        <v>8.8499351603274281</v>
      </c>
      <c r="BF96" s="12">
        <f t="shared" si="86"/>
        <v>27.350685320530634</v>
      </c>
      <c r="BG96">
        <f t="shared" si="87"/>
        <v>1.5888174589236996</v>
      </c>
      <c r="BH96">
        <f t="shared" si="88"/>
        <v>2.5243409177807621</v>
      </c>
    </row>
    <row r="97" spans="1:60" x14ac:dyDescent="0.25">
      <c r="A97" s="7">
        <v>86</v>
      </c>
      <c r="B97" s="9">
        <f t="shared" si="82"/>
        <v>27.839199519756949</v>
      </c>
      <c r="C97">
        <v>0.47392193365276047</v>
      </c>
      <c r="D97">
        <v>0.10354930265205842</v>
      </c>
      <c r="E97">
        <v>-0.16690572832422867</v>
      </c>
      <c r="F97">
        <v>-0.48936429944761495</v>
      </c>
      <c r="G97">
        <v>0.71459089938047415</v>
      </c>
      <c r="H97">
        <v>0.88830225531785034</v>
      </c>
      <c r="I97">
        <v>0.52562028870509958</v>
      </c>
      <c r="J97">
        <v>-0.40604876857814265</v>
      </c>
      <c r="K97">
        <v>7.9500717184972647E-2</v>
      </c>
      <c r="L97">
        <v>-0.34427930539872431</v>
      </c>
      <c r="M97">
        <v>0.51493881038850065</v>
      </c>
      <c r="N97">
        <v>0.11392559587389761</v>
      </c>
      <c r="O97">
        <v>0.96618549150059518</v>
      </c>
      <c r="P97">
        <v>-7.406842249824519E-2</v>
      </c>
      <c r="Q97">
        <v>0.10568559831537838</v>
      </c>
      <c r="R97">
        <v>0.56382946256904809</v>
      </c>
      <c r="S97">
        <v>0.67290261543626206</v>
      </c>
      <c r="T97">
        <v>-0.5314798425244911</v>
      </c>
      <c r="U97">
        <v>-6.6225165562914245E-3</v>
      </c>
      <c r="V97">
        <v>-0.15775017548142944</v>
      </c>
      <c r="W97">
        <v>0.54789880062257756</v>
      </c>
      <c r="X97">
        <v>-0.8928189947202978</v>
      </c>
      <c r="Y97">
        <v>0.10281685842463451</v>
      </c>
      <c r="Z97">
        <v>-1.132236701559497E-2</v>
      </c>
      <c r="AA97">
        <v>3.2319101535080996E-2</v>
      </c>
      <c r="AC97" s="7">
        <v>86</v>
      </c>
      <c r="AD97">
        <f t="shared" si="57"/>
        <v>34.388212217522529</v>
      </c>
      <c r="AE97">
        <f t="shared" si="58"/>
        <v>29.270122314754605</v>
      </c>
      <c r="AF97">
        <f t="shared" si="59"/>
        <v>25.532769585821733</v>
      </c>
      <c r="AG97">
        <f t="shared" si="60"/>
        <v>21.076792500073061</v>
      </c>
      <c r="AH97">
        <f t="shared" si="61"/>
        <v>37.713958507340244</v>
      </c>
      <c r="AI97">
        <f t="shared" si="62"/>
        <v>40.114433764966734</v>
      </c>
      <c r="AJ97">
        <f t="shared" si="63"/>
        <v>35.102619295249035</v>
      </c>
      <c r="AK97">
        <f t="shared" si="64"/>
        <v>22.228109691450488</v>
      </c>
      <c r="AL97">
        <f t="shared" si="65"/>
        <v>28.93780072251819</v>
      </c>
      <c r="AM97">
        <f t="shared" si="66"/>
        <v>23.081686979123717</v>
      </c>
      <c r="AN97">
        <f t="shared" si="67"/>
        <v>34.955014527123723</v>
      </c>
      <c r="AO97">
        <f t="shared" si="68"/>
        <v>29.413509803790625</v>
      </c>
      <c r="AP97">
        <f t="shared" si="69"/>
        <v>41.190683388554717</v>
      </c>
      <c r="AQ97">
        <f t="shared" si="70"/>
        <v>26.815665884785151</v>
      </c>
      <c r="AR97">
        <f t="shared" si="71"/>
        <v>29.299643268379668</v>
      </c>
      <c r="AS97">
        <f t="shared" si="72"/>
        <v>35.630622637228718</v>
      </c>
      <c r="AT97">
        <f t="shared" si="73"/>
        <v>37.137878183742608</v>
      </c>
      <c r="AU97">
        <f t="shared" si="74"/>
        <v>20.494807985750409</v>
      </c>
      <c r="AV97">
        <f t="shared" si="75"/>
        <v>27.747684563519257</v>
      </c>
      <c r="AW97">
        <f t="shared" si="76"/>
        <v>25.659287958500574</v>
      </c>
      <c r="AX97">
        <f t="shared" si="77"/>
        <v>35.410480668767541</v>
      </c>
      <c r="AY97">
        <f t="shared" si="78"/>
        <v>15.501549544025606</v>
      </c>
      <c r="AZ97">
        <f t="shared" si="79"/>
        <v>29.260000844940297</v>
      </c>
      <c r="BA97">
        <f t="shared" si="80"/>
        <v>27.682738465544119</v>
      </c>
      <c r="BB97">
        <f t="shared" si="81"/>
        <v>28.285809375313246</v>
      </c>
      <c r="BC97" s="2">
        <f t="shared" si="83"/>
        <v>29.677275307151469</v>
      </c>
      <c r="BD97">
        <f t="shared" si="84"/>
        <v>42.500462880386749</v>
      </c>
      <c r="BE97">
        <f t="shared" si="85"/>
        <v>6.5192379064110515</v>
      </c>
      <c r="BF97" s="12">
        <f t="shared" si="86"/>
        <v>27.638787538828044</v>
      </c>
      <c r="BG97">
        <f t="shared" si="87"/>
        <v>2.0384877683234244</v>
      </c>
      <c r="BH97">
        <f t="shared" si="88"/>
        <v>4.1554323816042151</v>
      </c>
    </row>
    <row r="98" spans="1:60" x14ac:dyDescent="0.25">
      <c r="A98" s="7">
        <v>87</v>
      </c>
      <c r="B98" s="9">
        <f t="shared" si="82"/>
        <v>28.130783919806706</v>
      </c>
      <c r="C98">
        <v>0.83977782525101463</v>
      </c>
      <c r="D98">
        <v>0.47654652546769616</v>
      </c>
      <c r="E98">
        <v>-0.23331400494399857</v>
      </c>
      <c r="F98">
        <v>-0.83947264015625478</v>
      </c>
      <c r="G98">
        <v>0.58745078890346991</v>
      </c>
      <c r="H98">
        <v>0.27750480666524258</v>
      </c>
      <c r="I98">
        <v>-9.2501602221747525E-2</v>
      </c>
      <c r="J98">
        <v>7.9989013336588588E-2</v>
      </c>
      <c r="K98">
        <v>-0.11423078096865746</v>
      </c>
      <c r="L98">
        <v>-3.3356730857264982E-2</v>
      </c>
      <c r="M98">
        <v>0.82586138492996009</v>
      </c>
      <c r="N98">
        <v>-0.84728537858211006</v>
      </c>
      <c r="O98">
        <v>-0.17111728263191628</v>
      </c>
      <c r="P98">
        <v>0.71953489791558578</v>
      </c>
      <c r="Q98">
        <v>0.62126529740287495</v>
      </c>
      <c r="R98">
        <v>0.20212408825952943</v>
      </c>
      <c r="S98">
        <v>-0.41929380169072539</v>
      </c>
      <c r="T98">
        <v>0.14297921689504678</v>
      </c>
      <c r="U98">
        <v>0.17709891048921178</v>
      </c>
      <c r="V98">
        <v>0.46592608417004922</v>
      </c>
      <c r="W98">
        <v>0.76482436597796566</v>
      </c>
      <c r="X98">
        <v>0.35581530198065137</v>
      </c>
      <c r="Y98">
        <v>-0.83062227240821562</v>
      </c>
      <c r="Z98">
        <v>-0.18070009460737935</v>
      </c>
      <c r="AA98">
        <v>4.5503097628711853E-2</v>
      </c>
      <c r="AC98" s="7">
        <v>87</v>
      </c>
      <c r="AD98">
        <f t="shared" si="57"/>
        <v>39.735470789818649</v>
      </c>
      <c r="AE98">
        <f t="shared" si="58"/>
        <v>34.716065217740223</v>
      </c>
      <c r="AF98">
        <f t="shared" si="59"/>
        <v>24.906674056040988</v>
      </c>
      <c r="AG98">
        <f t="shared" si="60"/>
        <v>16.53031432888406</v>
      </c>
      <c r="AH98">
        <f t="shared" si="61"/>
        <v>36.248624438789875</v>
      </c>
      <c r="AI98">
        <f t="shared" si="62"/>
        <v>31.965555795702286</v>
      </c>
      <c r="AJ98">
        <f t="shared" si="63"/>
        <v>26.852526627841513</v>
      </c>
      <c r="AK98">
        <f t="shared" si="64"/>
        <v>29.236132769110821</v>
      </c>
      <c r="AL98">
        <f t="shared" si="65"/>
        <v>26.552256356683738</v>
      </c>
      <c r="AM98">
        <f t="shared" si="66"/>
        <v>27.669835315346806</v>
      </c>
      <c r="AN98">
        <f t="shared" si="67"/>
        <v>39.543162863346815</v>
      </c>
      <c r="AO98">
        <f t="shared" si="68"/>
        <v>16.422351984198116</v>
      </c>
      <c r="AP98">
        <f t="shared" si="69"/>
        <v>25.766155534439225</v>
      </c>
      <c r="AQ98">
        <f t="shared" si="70"/>
        <v>38.073862828636578</v>
      </c>
      <c r="AR98">
        <f t="shared" si="71"/>
        <v>36.715898961883717</v>
      </c>
      <c r="AS98">
        <f t="shared" si="72"/>
        <v>30.92388786064652</v>
      </c>
      <c r="AT98">
        <f t="shared" si="73"/>
        <v>22.336664179024858</v>
      </c>
      <c r="AU98">
        <f t="shared" si="74"/>
        <v>30.106579173141224</v>
      </c>
      <c r="AV98">
        <f t="shared" si="75"/>
        <v>30.578070975324362</v>
      </c>
      <c r="AW98">
        <f t="shared" si="76"/>
        <v>34.569303905432768</v>
      </c>
      <c r="AX98">
        <f t="shared" si="77"/>
        <v>38.699707045487898</v>
      </c>
      <c r="AY98">
        <f t="shared" si="78"/>
        <v>33.047709610015275</v>
      </c>
      <c r="AZ98">
        <f t="shared" si="79"/>
        <v>16.652615422473602</v>
      </c>
      <c r="BA98">
        <f t="shared" si="80"/>
        <v>25.633732971035375</v>
      </c>
      <c r="BB98">
        <f t="shared" si="81"/>
        <v>28.759580232020532</v>
      </c>
      <c r="BC98" s="2">
        <f t="shared" si="83"/>
        <v>29.689709569722638</v>
      </c>
      <c r="BD98">
        <f t="shared" si="84"/>
        <v>48.369888875976663</v>
      </c>
      <c r="BE98">
        <f t="shared" si="85"/>
        <v>6.9548464307974953</v>
      </c>
      <c r="BF98" s="12">
        <f t="shared" si="86"/>
        <v>27.926889757125455</v>
      </c>
      <c r="BG98">
        <f t="shared" si="87"/>
        <v>1.7628198125971828</v>
      </c>
      <c r="BH98">
        <f t="shared" si="88"/>
        <v>3.1075336916851666</v>
      </c>
    </row>
    <row r="99" spans="1:60" x14ac:dyDescent="0.25">
      <c r="A99" s="7">
        <v>88</v>
      </c>
      <c r="B99" s="9">
        <f t="shared" si="82"/>
        <v>28.422368319856467</v>
      </c>
      <c r="C99">
        <v>-0.50541703543198957</v>
      </c>
      <c r="D99">
        <v>-0.20139164403210552</v>
      </c>
      <c r="E99">
        <v>0.82995086519974359</v>
      </c>
      <c r="F99">
        <v>-0.78667561876277969</v>
      </c>
      <c r="G99">
        <v>0.70830408642841891</v>
      </c>
      <c r="H99">
        <v>5.6550798059022744E-2</v>
      </c>
      <c r="I99">
        <v>0.20706808679464106</v>
      </c>
      <c r="J99">
        <v>-0.91338847010711999</v>
      </c>
      <c r="K99">
        <v>-0.2967925046540727</v>
      </c>
      <c r="L99">
        <v>-0.65941343424787136</v>
      </c>
      <c r="M99">
        <v>-0.79161961729789121</v>
      </c>
      <c r="N99">
        <v>0.54185613574633007</v>
      </c>
      <c r="O99">
        <v>0.90173039948728895</v>
      </c>
      <c r="P99">
        <v>0.22879726554155089</v>
      </c>
      <c r="Q99">
        <v>-0.43418683431501204</v>
      </c>
      <c r="R99">
        <v>0.98565630054628128</v>
      </c>
      <c r="S99">
        <v>-0.72399060029908147</v>
      </c>
      <c r="T99">
        <v>-0.77324747459334087</v>
      </c>
      <c r="U99">
        <v>0.49369792779320654</v>
      </c>
      <c r="V99">
        <v>-0.41929380169072539</v>
      </c>
      <c r="W99">
        <v>-7.8707235938596742E-2</v>
      </c>
      <c r="X99">
        <v>0.30057679982909624</v>
      </c>
      <c r="Y99">
        <v>-0.65874202703939932</v>
      </c>
      <c r="Z99">
        <v>-0.46214178899502545</v>
      </c>
      <c r="AA99">
        <v>0.42838831751457263</v>
      </c>
      <c r="AC99" s="7">
        <v>88</v>
      </c>
      <c r="AD99">
        <f t="shared" si="57"/>
        <v>21.438132420075682</v>
      </c>
      <c r="AE99">
        <f t="shared" si="58"/>
        <v>25.639385848830962</v>
      </c>
      <c r="AF99">
        <f t="shared" si="59"/>
        <v>39.891258803193125</v>
      </c>
      <c r="AG99">
        <f t="shared" si="60"/>
        <v>17.551488011381785</v>
      </c>
      <c r="AH99">
        <f t="shared" si="61"/>
        <v>38.210251358200296</v>
      </c>
      <c r="AI99">
        <f t="shared" si="62"/>
        <v>29.203830135102756</v>
      </c>
      <c r="AJ99">
        <f t="shared" si="63"/>
        <v>31.283792181942854</v>
      </c>
      <c r="AK99">
        <f t="shared" si="64"/>
        <v>15.800473733506667</v>
      </c>
      <c r="AL99">
        <f t="shared" si="65"/>
        <v>24.321064405517472</v>
      </c>
      <c r="AM99">
        <f t="shared" si="66"/>
        <v>19.310093391617631</v>
      </c>
      <c r="AN99">
        <f t="shared" si="67"/>
        <v>17.483168090135212</v>
      </c>
      <c r="AO99">
        <f t="shared" si="68"/>
        <v>35.910147342899023</v>
      </c>
      <c r="AP99">
        <f t="shared" si="69"/>
        <v>40.883162844995212</v>
      </c>
      <c r="AQ99">
        <f t="shared" si="70"/>
        <v>31.584062453100625</v>
      </c>
      <c r="AR99">
        <f t="shared" si="71"/>
        <v>22.422445359517045</v>
      </c>
      <c r="AS99">
        <f t="shared" si="72"/>
        <v>42.042914594551227</v>
      </c>
      <c r="AT99">
        <f t="shared" si="73"/>
        <v>18.417717136322892</v>
      </c>
      <c r="AU99">
        <f t="shared" si="74"/>
        <v>17.737048291310746</v>
      </c>
      <c r="AV99">
        <f t="shared" si="75"/>
        <v>35.244660702608336</v>
      </c>
      <c r="AW99">
        <f t="shared" si="76"/>
        <v>22.628248579074622</v>
      </c>
      <c r="AX99">
        <f t="shared" si="77"/>
        <v>27.334732042727392</v>
      </c>
      <c r="AY99">
        <f t="shared" si="78"/>
        <v>32.575966494902715</v>
      </c>
      <c r="AZ99">
        <f t="shared" si="79"/>
        <v>19.319371405614081</v>
      </c>
      <c r="BA99">
        <f t="shared" si="80"/>
        <v>22.036142594937658</v>
      </c>
      <c r="BB99">
        <f t="shared" si="81"/>
        <v>34.342162977499292</v>
      </c>
      <c r="BC99" s="2">
        <f t="shared" si="83"/>
        <v>27.304468847982612</v>
      </c>
      <c r="BD99">
        <f t="shared" si="84"/>
        <v>69.699685171633817</v>
      </c>
      <c r="BE99">
        <f t="shared" si="85"/>
        <v>8.348633730834873</v>
      </c>
      <c r="BF99" s="12">
        <f t="shared" si="86"/>
        <v>28.214991975422862</v>
      </c>
      <c r="BG99">
        <f t="shared" si="87"/>
        <v>-0.91052312744024988</v>
      </c>
      <c r="BH99">
        <f t="shared" si="88"/>
        <v>0.82905236560357354</v>
      </c>
    </row>
    <row r="100" spans="1:60" x14ac:dyDescent="0.25">
      <c r="A100" s="7">
        <v>89</v>
      </c>
      <c r="B100" s="9">
        <f t="shared" si="82"/>
        <v>28.713952719906228</v>
      </c>
      <c r="C100">
        <v>6.378368480483454E-3</v>
      </c>
      <c r="D100">
        <v>-0.54747154148991362</v>
      </c>
      <c r="E100">
        <v>0.78753013702810759</v>
      </c>
      <c r="F100">
        <v>0.12082277901547278</v>
      </c>
      <c r="G100">
        <v>3.1159398174993136E-2</v>
      </c>
      <c r="H100">
        <v>-0.20493179113132109</v>
      </c>
      <c r="I100">
        <v>-0.65825373088778338</v>
      </c>
      <c r="J100">
        <v>-0.78325754570146788</v>
      </c>
      <c r="K100">
        <v>-4.4648579363383845E-2</v>
      </c>
      <c r="L100">
        <v>-7.8707235938596742E-2</v>
      </c>
      <c r="M100">
        <v>0.66124454481643125</v>
      </c>
      <c r="N100">
        <v>-1.9867549668874163E-2</v>
      </c>
      <c r="O100">
        <v>5.1057466353343406E-2</v>
      </c>
      <c r="P100">
        <v>0.82451857051301625</v>
      </c>
      <c r="Q100">
        <v>-0.66234321115756711</v>
      </c>
      <c r="R100">
        <v>0.92156743064668722</v>
      </c>
      <c r="S100">
        <v>0.92785424359874269</v>
      </c>
      <c r="T100">
        <v>-0.74883266701254314</v>
      </c>
      <c r="U100">
        <v>0.40592669454023866</v>
      </c>
      <c r="V100">
        <v>0.11331522568437769</v>
      </c>
      <c r="W100">
        <v>-0.16135135959959712</v>
      </c>
      <c r="X100">
        <v>3.3478804895168857E-2</v>
      </c>
      <c r="Y100">
        <v>0.59709463789788497</v>
      </c>
      <c r="Z100">
        <v>0.67973876155888546</v>
      </c>
      <c r="AA100">
        <v>0.45817438276314593</v>
      </c>
      <c r="AC100" s="7">
        <v>89</v>
      </c>
      <c r="AD100">
        <f t="shared" si="57"/>
        <v>28.802093852872485</v>
      </c>
      <c r="AE100">
        <f t="shared" si="58"/>
        <v>21.148575761620648</v>
      </c>
      <c r="AF100">
        <f t="shared" si="59"/>
        <v>39.596641409830937</v>
      </c>
      <c r="AG100">
        <f t="shared" si="60"/>
        <v>30.383573511357959</v>
      </c>
      <c r="AH100">
        <f t="shared" si="61"/>
        <v>29.144536914923208</v>
      </c>
      <c r="AI100">
        <f t="shared" si="62"/>
        <v>25.882049811444908</v>
      </c>
      <c r="AJ100">
        <f t="shared" si="63"/>
        <v>19.617703452206712</v>
      </c>
      <c r="AK100">
        <f t="shared" si="64"/>
        <v>17.890305937231645</v>
      </c>
      <c r="AL100">
        <f t="shared" si="65"/>
        <v>28.096964789142429</v>
      </c>
      <c r="AM100">
        <f t="shared" si="66"/>
        <v>27.626316442777153</v>
      </c>
      <c r="AN100">
        <f t="shared" si="67"/>
        <v>37.851531322680835</v>
      </c>
      <c r="AO100">
        <f t="shared" si="68"/>
        <v>28.439407851193149</v>
      </c>
      <c r="AP100">
        <f t="shared" si="69"/>
        <v>29.419503511545216</v>
      </c>
      <c r="AQ100">
        <f t="shared" si="70"/>
        <v>40.107775635453443</v>
      </c>
      <c r="AR100">
        <f t="shared" si="71"/>
        <v>19.561191912410163</v>
      </c>
      <c r="AS100">
        <f t="shared" si="72"/>
        <v>41.448870385849119</v>
      </c>
      <c r="AT100">
        <f t="shared" si="73"/>
        <v>41.535746335088589</v>
      </c>
      <c r="AU100">
        <f t="shared" si="74"/>
        <v>18.366015018504072</v>
      </c>
      <c r="AV100">
        <f t="shared" si="75"/>
        <v>34.32335563657697</v>
      </c>
      <c r="AW100">
        <f t="shared" si="76"/>
        <v>30.279828445761314</v>
      </c>
      <c r="AX100">
        <f t="shared" si="77"/>
        <v>26.484277265396173</v>
      </c>
      <c r="AY100">
        <f t="shared" si="78"/>
        <v>29.176588236001844</v>
      </c>
      <c r="AZ100">
        <f t="shared" si="79"/>
        <v>36.965059258111104</v>
      </c>
      <c r="BA100">
        <f t="shared" si="80"/>
        <v>38.107098435492084</v>
      </c>
      <c r="BB100">
        <f t="shared" si="81"/>
        <v>35.04535381666421</v>
      </c>
      <c r="BC100" s="2">
        <f t="shared" si="83"/>
        <v>30.21201459800545</v>
      </c>
      <c r="BD100">
        <f t="shared" si="84"/>
        <v>54.118283981588171</v>
      </c>
      <c r="BE100">
        <f t="shared" si="85"/>
        <v>7.3565130314292366</v>
      </c>
      <c r="BF100" s="12">
        <f t="shared" si="86"/>
        <v>28.503094193720273</v>
      </c>
      <c r="BG100">
        <f t="shared" si="87"/>
        <v>1.7089204042851769</v>
      </c>
      <c r="BH100">
        <f t="shared" si="88"/>
        <v>2.9204089481822124</v>
      </c>
    </row>
    <row r="101" spans="1:60" x14ac:dyDescent="0.25">
      <c r="A101" s="7">
        <v>90</v>
      </c>
      <c r="B101" s="9">
        <f t="shared" si="82"/>
        <v>29.005537119955989</v>
      </c>
      <c r="C101">
        <v>3.57066560869157E-3</v>
      </c>
      <c r="D101">
        <v>0.84533219397564618</v>
      </c>
      <c r="E101">
        <v>0.52604754783776353</v>
      </c>
      <c r="F101">
        <v>-5.3132724997711156E-2</v>
      </c>
      <c r="G101">
        <v>5.2278206732383259E-2</v>
      </c>
      <c r="H101">
        <v>0.36173589281899465</v>
      </c>
      <c r="I101">
        <v>-0.63219092379528186</v>
      </c>
      <c r="J101">
        <v>0.11203344828638562</v>
      </c>
      <c r="K101">
        <v>0.89538254951628171</v>
      </c>
      <c r="L101">
        <v>-0.41361735892818996</v>
      </c>
      <c r="M101">
        <v>-0.87615588854640336</v>
      </c>
      <c r="N101">
        <v>0.47959837641529579</v>
      </c>
      <c r="O101">
        <v>-0.89172032837916193</v>
      </c>
      <c r="P101">
        <v>0.33243812372203752</v>
      </c>
      <c r="Q101">
        <v>0.73473311563463239</v>
      </c>
      <c r="R101">
        <v>8.8167973876155825E-2</v>
      </c>
      <c r="S101">
        <v>0.99438459425641645</v>
      </c>
      <c r="T101">
        <v>0.43363750114444422</v>
      </c>
      <c r="U101">
        <v>-0.53038117618335523</v>
      </c>
      <c r="V101">
        <v>-0.18161564989165924</v>
      </c>
      <c r="W101">
        <v>0.8460646382030701</v>
      </c>
      <c r="X101">
        <v>-0.79155858027893922</v>
      </c>
      <c r="Y101">
        <v>-0.21567430646687213</v>
      </c>
      <c r="Z101">
        <v>7.0039979247413564E-2</v>
      </c>
      <c r="AA101">
        <v>-0.83562730796227913</v>
      </c>
      <c r="AC101" s="7">
        <v>90</v>
      </c>
      <c r="AD101">
        <f t="shared" si="57"/>
        <v>29.054879285300736</v>
      </c>
      <c r="AE101">
        <f t="shared" si="58"/>
        <v>40.686978469393097</v>
      </c>
      <c r="AF101">
        <f t="shared" si="59"/>
        <v>36.274861086173082</v>
      </c>
      <c r="AG101">
        <f t="shared" si="60"/>
        <v>28.271308830509799</v>
      </c>
      <c r="AH101">
        <f t="shared" si="61"/>
        <v>29.727957027952154</v>
      </c>
      <c r="AI101">
        <f t="shared" si="62"/>
        <v>34.00427802449687</v>
      </c>
      <c r="AJ101">
        <f t="shared" si="63"/>
        <v>20.269443486482231</v>
      </c>
      <c r="AK101">
        <f t="shared" si="64"/>
        <v>30.553700273636036</v>
      </c>
      <c r="AL101">
        <f t="shared" si="65"/>
        <v>41.378612240037405</v>
      </c>
      <c r="AM101">
        <f t="shared" si="66"/>
        <v>23.289858770235021</v>
      </c>
      <c r="AN101">
        <f t="shared" si="67"/>
        <v>16.898150582500129</v>
      </c>
      <c r="AO101">
        <f t="shared" si="68"/>
        <v>35.63299120878245</v>
      </c>
      <c r="AP101">
        <f t="shared" si="69"/>
        <v>16.683069348946105</v>
      </c>
      <c r="AQ101">
        <f t="shared" si="70"/>
        <v>33.599419231924593</v>
      </c>
      <c r="AR101">
        <f t="shared" si="71"/>
        <v>39.158636527432733</v>
      </c>
      <c r="AS101">
        <f t="shared" si="72"/>
        <v>30.223909048853198</v>
      </c>
      <c r="AT101">
        <f t="shared" si="73"/>
        <v>42.746697576604575</v>
      </c>
      <c r="AU101">
        <f t="shared" si="74"/>
        <v>34.997868977934687</v>
      </c>
      <c r="AV101">
        <f t="shared" si="75"/>
        <v>21.676327790670907</v>
      </c>
      <c r="AW101">
        <f t="shared" si="76"/>
        <v>26.495834333916775</v>
      </c>
      <c r="AX101">
        <f t="shared" si="77"/>
        <v>40.697099939207398</v>
      </c>
      <c r="AY101">
        <f t="shared" si="78"/>
        <v>18.067180346052591</v>
      </c>
      <c r="AZ101">
        <f t="shared" si="79"/>
        <v>26.025185987551495</v>
      </c>
      <c r="BA101">
        <f t="shared" si="80"/>
        <v>29.973402670949099</v>
      </c>
      <c r="BB101">
        <f t="shared" si="81"/>
        <v>17.458205245558453</v>
      </c>
      <c r="BC101" s="2">
        <f t="shared" si="83"/>
        <v>29.753834252444065</v>
      </c>
      <c r="BD101">
        <f t="shared" si="84"/>
        <v>67.420917140303118</v>
      </c>
      <c r="BE101">
        <f t="shared" si="85"/>
        <v>8.2110241225015965</v>
      </c>
      <c r="BF101" s="12">
        <f t="shared" si="86"/>
        <v>28.791196412017683</v>
      </c>
      <c r="BG101">
        <f t="shared" si="87"/>
        <v>0.96263784042638179</v>
      </c>
      <c r="BH101">
        <f t="shared" si="88"/>
        <v>0.92667161182076807</v>
      </c>
    </row>
    <row r="102" spans="1:60" x14ac:dyDescent="0.25">
      <c r="A102" s="7">
        <v>91</v>
      </c>
      <c r="B102" s="9">
        <f t="shared" si="82"/>
        <v>29.297121520005749</v>
      </c>
      <c r="C102">
        <v>-0.94677571947386086</v>
      </c>
      <c r="D102">
        <v>-0.20834986419263279</v>
      </c>
      <c r="E102">
        <v>-0.40110477004303113</v>
      </c>
      <c r="F102">
        <v>-0.60246589556566055</v>
      </c>
      <c r="G102">
        <v>-0.52360606707968382</v>
      </c>
      <c r="H102">
        <v>0.40867336039307833</v>
      </c>
      <c r="I102">
        <v>0.32712790307321393</v>
      </c>
      <c r="J102">
        <v>0.7609790337839899</v>
      </c>
      <c r="K102">
        <v>0.8869594409009065</v>
      </c>
      <c r="L102">
        <v>-0.75878170110171816</v>
      </c>
      <c r="M102">
        <v>-6.2471388897366253E-2</v>
      </c>
      <c r="N102">
        <v>-0.29721976378673665</v>
      </c>
      <c r="O102">
        <v>0.44914090395825057</v>
      </c>
      <c r="P102">
        <v>0.27030243842890722</v>
      </c>
      <c r="Q102">
        <v>-0.93328653828547015</v>
      </c>
      <c r="R102">
        <v>-0.42399365215002904</v>
      </c>
      <c r="S102">
        <v>-0.68388927884762107</v>
      </c>
      <c r="T102">
        <v>-0.59947508163701291</v>
      </c>
      <c r="U102">
        <v>0.90783410138248843</v>
      </c>
      <c r="V102">
        <v>-0.9201025421918394</v>
      </c>
      <c r="W102">
        <v>-0.44492934965056308</v>
      </c>
      <c r="X102">
        <v>0.93554490798669399</v>
      </c>
      <c r="Y102">
        <v>3.5615100558488821E-2</v>
      </c>
      <c r="Z102">
        <v>-0.96618549150059507</v>
      </c>
      <c r="AA102">
        <v>7.6082644123661058E-2</v>
      </c>
      <c r="AC102" s="7">
        <v>91</v>
      </c>
      <c r="AD102">
        <f t="shared" si="57"/>
        <v>16.213856601287119</v>
      </c>
      <c r="AE102">
        <f t="shared" si="58"/>
        <v>26.417985085744327</v>
      </c>
      <c r="AF102">
        <f t="shared" si="59"/>
        <v>23.754351612945861</v>
      </c>
      <c r="AG102">
        <f t="shared" si="60"/>
        <v>20.971790869829285</v>
      </c>
      <c r="AH102">
        <f t="shared" si="61"/>
        <v>22.061535786503008</v>
      </c>
      <c r="AI102">
        <f t="shared" si="62"/>
        <v>34.944479948480144</v>
      </c>
      <c r="AJ102">
        <f t="shared" si="63"/>
        <v>33.817622975820626</v>
      </c>
      <c r="AK102">
        <f t="shared" si="64"/>
        <v>39.812906929161826</v>
      </c>
      <c r="AL102">
        <f t="shared" si="65"/>
        <v>41.55379973722264</v>
      </c>
      <c r="AM102">
        <f t="shared" si="66"/>
        <v>18.811700520292593</v>
      </c>
      <c r="AN102">
        <f t="shared" si="67"/>
        <v>28.433844490427145</v>
      </c>
      <c r="AO102">
        <f t="shared" si="68"/>
        <v>25.189913414941742</v>
      </c>
      <c r="AP102">
        <f t="shared" si="69"/>
        <v>35.503691155720603</v>
      </c>
      <c r="AQ102">
        <f t="shared" si="70"/>
        <v>33.032365609393977</v>
      </c>
      <c r="AR102">
        <f t="shared" si="71"/>
        <v>16.400260337033941</v>
      </c>
      <c r="AS102">
        <f t="shared" si="72"/>
        <v>23.438055681248766</v>
      </c>
      <c r="AT102">
        <f t="shared" si="73"/>
        <v>19.846620808805486</v>
      </c>
      <c r="AU102">
        <f t="shared" si="74"/>
        <v>21.013120204904371</v>
      </c>
      <c r="AV102">
        <f t="shared" si="75"/>
        <v>41.842261626930387</v>
      </c>
      <c r="AW102">
        <f t="shared" si="76"/>
        <v>16.582446793691467</v>
      </c>
      <c r="AX102">
        <f t="shared" si="77"/>
        <v>23.148750335723157</v>
      </c>
      <c r="AY102">
        <f t="shared" si="78"/>
        <v>42.225190568238339</v>
      </c>
      <c r="AZ102">
        <f t="shared" si="79"/>
        <v>29.789277989726429</v>
      </c>
      <c r="BA102">
        <f t="shared" si="80"/>
        <v>15.945637651207985</v>
      </c>
      <c r="BB102">
        <f t="shared" si="81"/>
        <v>30.348489196966892</v>
      </c>
      <c r="BC102" s="2">
        <f t="shared" si="83"/>
        <v>27.243998237289926</v>
      </c>
      <c r="BD102">
        <f t="shared" si="84"/>
        <v>74.242415517056543</v>
      </c>
      <c r="BE102">
        <f t="shared" si="85"/>
        <v>8.6164038622302606</v>
      </c>
      <c r="BF102" s="12">
        <f t="shared" si="86"/>
        <v>29.07929863031509</v>
      </c>
      <c r="BG102">
        <f t="shared" si="87"/>
        <v>-1.8353003930251646</v>
      </c>
      <c r="BH102">
        <f t="shared" si="88"/>
        <v>3.3683275326383235</v>
      </c>
    </row>
    <row r="103" spans="1:60" x14ac:dyDescent="0.25">
      <c r="A103" s="7">
        <v>92</v>
      </c>
      <c r="B103" s="9">
        <f t="shared" si="82"/>
        <v>29.588705920055506</v>
      </c>
      <c r="C103">
        <v>-0.95947141941587577</v>
      </c>
      <c r="D103">
        <v>0.26737266151921135</v>
      </c>
      <c r="E103">
        <v>4.5503097628711853E-2</v>
      </c>
      <c r="F103">
        <v>-0.12265388958403267</v>
      </c>
      <c r="G103">
        <v>-0.74309518723105561</v>
      </c>
      <c r="H103">
        <v>0.37113559373760197</v>
      </c>
      <c r="I103">
        <v>0.63609729300820939</v>
      </c>
      <c r="J103">
        <v>-8.023316141239667E-2</v>
      </c>
      <c r="K103">
        <v>0.12875759147923205</v>
      </c>
      <c r="L103">
        <v>-0.56602679525131994</v>
      </c>
      <c r="M103">
        <v>0.38505203405865651</v>
      </c>
      <c r="N103">
        <v>-5.758842738120673E-2</v>
      </c>
      <c r="O103">
        <v>6.2562944425794687E-3</v>
      </c>
      <c r="P103">
        <v>0.7032380138554033</v>
      </c>
      <c r="Q103">
        <v>-0.34305856501968446</v>
      </c>
      <c r="R103">
        <v>-0.46787926877651298</v>
      </c>
      <c r="S103">
        <v>-0.91314432203131202</v>
      </c>
      <c r="T103">
        <v>-0.28751487777336959</v>
      </c>
      <c r="U103">
        <v>0.47294534134952859</v>
      </c>
      <c r="V103">
        <v>-0.24039429914242993</v>
      </c>
      <c r="W103">
        <v>-0.24259163182470167</v>
      </c>
      <c r="X103">
        <v>-0.49418622394482259</v>
      </c>
      <c r="Y103">
        <v>8.8778344065675752E-2</v>
      </c>
      <c r="Z103">
        <v>0.69408246101260418</v>
      </c>
      <c r="AA103">
        <v>-0.70097964415417957</v>
      </c>
      <c r="AC103" s="7">
        <v>92</v>
      </c>
      <c r="AD103">
        <f t="shared" si="57"/>
        <v>16.330002191222221</v>
      </c>
      <c r="AE103">
        <f t="shared" si="58"/>
        <v>33.283464130186502</v>
      </c>
      <c r="AF103">
        <f t="shared" si="59"/>
        <v>30.217502232269332</v>
      </c>
      <c r="AG103">
        <f t="shared" si="60"/>
        <v>27.893781454068009</v>
      </c>
      <c r="AH103">
        <f t="shared" si="61"/>
        <v>19.320053065532093</v>
      </c>
      <c r="AI103">
        <f t="shared" si="62"/>
        <v>34.717339020546667</v>
      </c>
      <c r="AJ103">
        <f t="shared" si="63"/>
        <v>38.378780725872232</v>
      </c>
      <c r="AK103">
        <f t="shared" si="64"/>
        <v>28.479983247479957</v>
      </c>
      <c r="AL103">
        <f t="shared" si="65"/>
        <v>31.367975967828894</v>
      </c>
      <c r="AM103">
        <f t="shared" si="66"/>
        <v>21.766918393140816</v>
      </c>
      <c r="AN103">
        <f t="shared" si="67"/>
        <v>34.909646947018501</v>
      </c>
      <c r="AO103">
        <f t="shared" si="68"/>
        <v>28.792905355905617</v>
      </c>
      <c r="AP103">
        <f t="shared" si="69"/>
        <v>29.675160141386048</v>
      </c>
      <c r="AQ103">
        <f t="shared" si="70"/>
        <v>39.306582125517046</v>
      </c>
      <c r="AR103">
        <f t="shared" si="71"/>
        <v>24.848062495779452</v>
      </c>
      <c r="AS103">
        <f t="shared" si="72"/>
        <v>23.123195348257958</v>
      </c>
      <c r="AT103">
        <f t="shared" si="73"/>
        <v>16.970185156977145</v>
      </c>
      <c r="AU103">
        <f t="shared" si="74"/>
        <v>25.615607290031065</v>
      </c>
      <c r="AV103">
        <f t="shared" si="75"/>
        <v>36.124223324735347</v>
      </c>
      <c r="AW103">
        <f t="shared" si="76"/>
        <v>26.266755181418151</v>
      </c>
      <c r="AX103">
        <f t="shared" si="77"/>
        <v>26.236390771975231</v>
      </c>
      <c r="AY103">
        <f t="shared" si="78"/>
        <v>22.759665890760765</v>
      </c>
      <c r="AZ103">
        <f t="shared" si="79"/>
        <v>30.815512407131305</v>
      </c>
      <c r="BA103">
        <f t="shared" si="80"/>
        <v>39.180063752838208</v>
      </c>
      <c r="BB103">
        <f t="shared" si="81"/>
        <v>19.902037579854746</v>
      </c>
      <c r="BC103" s="2">
        <f t="shared" si="83"/>
        <v>28.251271767909337</v>
      </c>
      <c r="BD103">
        <f t="shared" si="84"/>
        <v>45.175650741378981</v>
      </c>
      <c r="BE103">
        <f t="shared" si="85"/>
        <v>6.7212834147489255</v>
      </c>
      <c r="BF103" s="12">
        <f t="shared" si="86"/>
        <v>29.367400848612501</v>
      </c>
      <c r="BG103">
        <f t="shared" si="87"/>
        <v>-1.1161290807031641</v>
      </c>
      <c r="BH103">
        <f t="shared" si="88"/>
        <v>1.2457441247912902</v>
      </c>
    </row>
    <row r="104" spans="1:60" x14ac:dyDescent="0.25">
      <c r="A104" s="7">
        <v>93</v>
      </c>
      <c r="B104" s="9">
        <f t="shared" si="82"/>
        <v>29.880290320105267</v>
      </c>
      <c r="C104">
        <v>0.77141636402478109</v>
      </c>
      <c r="D104">
        <v>-0.15683462019714955</v>
      </c>
      <c r="E104">
        <v>-0.89019440290536211</v>
      </c>
      <c r="F104">
        <v>1.8951994384594162E-2</v>
      </c>
      <c r="G104">
        <v>-0.30161442915128023</v>
      </c>
      <c r="H104">
        <v>0.83727530747398293</v>
      </c>
      <c r="I104">
        <v>-0.3036286507766961</v>
      </c>
      <c r="J104">
        <v>0.86913663136692398</v>
      </c>
      <c r="K104">
        <v>-0.630970183416242</v>
      </c>
      <c r="L104">
        <v>-0.99060029908139291</v>
      </c>
      <c r="M104">
        <v>8.4994048890652207E-2</v>
      </c>
      <c r="N104">
        <v>-0.38291573839533677</v>
      </c>
      <c r="O104">
        <v>-0.50242622150334171</v>
      </c>
      <c r="P104">
        <v>-0.83336893826105529</v>
      </c>
      <c r="Q104">
        <v>-0.99597155674916837</v>
      </c>
      <c r="R104">
        <v>-0.37113559373760185</v>
      </c>
      <c r="S104">
        <v>0.33054597613452552</v>
      </c>
      <c r="T104">
        <v>0.53550828577532283</v>
      </c>
      <c r="U104">
        <v>-0.12344737083040869</v>
      </c>
      <c r="V104">
        <v>0.32853175450910976</v>
      </c>
      <c r="W104">
        <v>-0.48142948698385568</v>
      </c>
      <c r="X104">
        <v>-0.60484633930478837</v>
      </c>
      <c r="Y104">
        <v>-0.82982879116183961</v>
      </c>
      <c r="Z104">
        <v>-0.60441908017212431</v>
      </c>
      <c r="AA104">
        <v>-0.22574541459395125</v>
      </c>
      <c r="AC104" s="7">
        <v>93</v>
      </c>
      <c r="AD104">
        <f t="shared" si="57"/>
        <v>40.540306674115222</v>
      </c>
      <c r="AE104">
        <f t="shared" si="58"/>
        <v>27.713030596116774</v>
      </c>
      <c r="AF104">
        <f t="shared" si="59"/>
        <v>17.578908944541858</v>
      </c>
      <c r="AG104">
        <f t="shared" si="60"/>
        <v>30.142183351550461</v>
      </c>
      <c r="AH104">
        <f t="shared" si="61"/>
        <v>25.712353396155418</v>
      </c>
      <c r="AI104">
        <f t="shared" si="62"/>
        <v>41.450395501584993</v>
      </c>
      <c r="AJ104">
        <f t="shared" si="63"/>
        <v>25.684519354166071</v>
      </c>
      <c r="AK104">
        <f t="shared" si="64"/>
        <v>41.890679438507348</v>
      </c>
      <c r="AL104">
        <f t="shared" si="65"/>
        <v>21.161065802988688</v>
      </c>
      <c r="AM104">
        <f t="shared" si="66"/>
        <v>16.191424124163934</v>
      </c>
      <c r="AN104">
        <f t="shared" si="67"/>
        <v>31.054802546473812</v>
      </c>
      <c r="AO104">
        <f t="shared" si="68"/>
        <v>24.588870246767335</v>
      </c>
      <c r="AP104">
        <f t="shared" si="69"/>
        <v>22.937383755399573</v>
      </c>
      <c r="AQ104">
        <f t="shared" si="70"/>
        <v>18.364166310968514</v>
      </c>
      <c r="AR104">
        <f t="shared" si="71"/>
        <v>16.117200012192349</v>
      </c>
      <c r="AS104">
        <f t="shared" si="72"/>
        <v>24.75165721961411</v>
      </c>
      <c r="AT104">
        <f t="shared" si="73"/>
        <v>34.448025301720243</v>
      </c>
      <c r="AU104">
        <f t="shared" si="74"/>
        <v>37.280349938090495</v>
      </c>
      <c r="AV104">
        <f t="shared" si="75"/>
        <v>28.174400928485603</v>
      </c>
      <c r="AW104">
        <f t="shared" si="76"/>
        <v>34.420191259730899</v>
      </c>
      <c r="AX104">
        <f t="shared" si="77"/>
        <v>23.227532556743043</v>
      </c>
      <c r="AY104">
        <f t="shared" si="78"/>
        <v>21.522064893032304</v>
      </c>
      <c r="AZ104">
        <f t="shared" si="79"/>
        <v>18.413086748404329</v>
      </c>
      <c r="BA104">
        <f t="shared" si="80"/>
        <v>21.52796908375732</v>
      </c>
      <c r="BB104">
        <f t="shared" si="81"/>
        <v>26.760768977754054</v>
      </c>
      <c r="BC104" s="2">
        <f t="shared" si="83"/>
        <v>26.866133478520993</v>
      </c>
      <c r="BD104">
        <f t="shared" si="84"/>
        <v>61.220146265830259</v>
      </c>
      <c r="BE104">
        <f t="shared" si="85"/>
        <v>7.8243304036722696</v>
      </c>
      <c r="BF104" s="12">
        <f t="shared" si="86"/>
        <v>29.655503066909912</v>
      </c>
      <c r="BG104">
        <f t="shared" si="87"/>
        <v>-2.7893695883889187</v>
      </c>
      <c r="BH104">
        <f t="shared" si="88"/>
        <v>7.7805827006289654</v>
      </c>
    </row>
    <row r="105" spans="1:60" x14ac:dyDescent="0.25">
      <c r="A105" s="7">
        <v>94</v>
      </c>
      <c r="B105" s="9">
        <f t="shared" si="82"/>
        <v>30.171874720155028</v>
      </c>
      <c r="C105">
        <v>-0.64464247566148869</v>
      </c>
      <c r="D105">
        <v>-0.18485061189611496</v>
      </c>
      <c r="E105">
        <v>-0.23673207800531026</v>
      </c>
      <c r="F105">
        <v>0.12698751792962426</v>
      </c>
      <c r="G105">
        <v>0.84044923245948677</v>
      </c>
      <c r="H105">
        <v>-1</v>
      </c>
      <c r="I105">
        <v>-0.51994384594256415</v>
      </c>
      <c r="J105">
        <v>0.5883663441877498</v>
      </c>
      <c r="K105">
        <v>0.34385204626606036</v>
      </c>
      <c r="L105">
        <v>0.65935239722891925</v>
      </c>
      <c r="M105">
        <v>-0.50285348063600566</v>
      </c>
      <c r="N105">
        <v>-0.95995971556749171</v>
      </c>
      <c r="O105">
        <v>-0.98559526352732929</v>
      </c>
      <c r="P105">
        <v>-3.4943693350016791E-2</v>
      </c>
      <c r="Q105">
        <v>-0.55583361308633683</v>
      </c>
      <c r="R105">
        <v>0.15713980529190952</v>
      </c>
      <c r="S105">
        <v>-0.86333811456648457</v>
      </c>
      <c r="T105">
        <v>0.13455610827967157</v>
      </c>
      <c r="U105">
        <v>0.45524460585345006</v>
      </c>
      <c r="V105">
        <v>-0.82152775658436838</v>
      </c>
      <c r="W105">
        <v>6.9124423963133674E-2</v>
      </c>
      <c r="X105">
        <v>0.86724448377941221</v>
      </c>
      <c r="Y105">
        <v>-0.89104892117069001</v>
      </c>
      <c r="Z105">
        <v>0.33805352946562084</v>
      </c>
      <c r="AA105">
        <v>0.20096438489944157</v>
      </c>
      <c r="AC105" s="7">
        <v>94</v>
      </c>
      <c r="AD105">
        <f t="shared" si="57"/>
        <v>21.263716099838049</v>
      </c>
      <c r="AE105">
        <f t="shared" si="58"/>
        <v>27.617468775769289</v>
      </c>
      <c r="AF105">
        <f t="shared" si="59"/>
        <v>26.90053133058921</v>
      </c>
      <c r="AG105">
        <f t="shared" si="60"/>
        <v>31.92668454921051</v>
      </c>
      <c r="AH105">
        <f t="shared" si="61"/>
        <v>41.785839604163421</v>
      </c>
      <c r="AI105">
        <f t="shared" si="62"/>
        <v>16.353116328263422</v>
      </c>
      <c r="AJ105">
        <f t="shared" si="63"/>
        <v>22.986896335723824</v>
      </c>
      <c r="AK105">
        <f t="shared" si="64"/>
        <v>38.302367076406078</v>
      </c>
      <c r="AL105">
        <f t="shared" si="65"/>
        <v>34.923483070063249</v>
      </c>
      <c r="AM105">
        <f t="shared" si="66"/>
        <v>39.283306192576006</v>
      </c>
      <c r="AN105">
        <f t="shared" si="67"/>
        <v>23.223063964724322</v>
      </c>
      <c r="AO105">
        <f t="shared" si="68"/>
        <v>16.906423344778872</v>
      </c>
      <c r="AP105">
        <f t="shared" si="69"/>
        <v>16.552171901278129</v>
      </c>
      <c r="AQ105">
        <f t="shared" si="70"/>
        <v>29.688996264430795</v>
      </c>
      <c r="AR105">
        <f t="shared" si="71"/>
        <v>22.490944314822777</v>
      </c>
      <c r="AS105">
        <f t="shared" si="72"/>
        <v>32.343351723232814</v>
      </c>
      <c r="AT105">
        <f t="shared" si="73"/>
        <v>18.241613904449544</v>
      </c>
      <c r="AU105">
        <f t="shared" si="74"/>
        <v>32.031273070625012</v>
      </c>
      <c r="AV105">
        <f t="shared" si="75"/>
        <v>36.462789937655778</v>
      </c>
      <c r="AW105">
        <f t="shared" si="76"/>
        <v>18.819381139682903</v>
      </c>
      <c r="AX105">
        <f t="shared" si="77"/>
        <v>31.127088433880253</v>
      </c>
      <c r="AY105">
        <f t="shared" si="78"/>
        <v>42.156116708203484</v>
      </c>
      <c r="AZ105">
        <f t="shared" si="79"/>
        <v>17.858684963141592</v>
      </c>
      <c r="BA105">
        <f t="shared" si="80"/>
        <v>34.843354767366655</v>
      </c>
      <c r="BB105">
        <f t="shared" si="81"/>
        <v>32.948953000455518</v>
      </c>
      <c r="BC105" s="2">
        <f t="shared" si="83"/>
        <v>28.281504672053266</v>
      </c>
      <c r="BD105">
        <f t="shared" si="84"/>
        <v>69.713241010942667</v>
      </c>
      <c r="BE105">
        <f t="shared" si="85"/>
        <v>8.3494455511095271</v>
      </c>
      <c r="BF105" s="12">
        <f t="shared" si="86"/>
        <v>29.943605285207319</v>
      </c>
      <c r="BG105">
        <f t="shared" si="87"/>
        <v>-1.6621006131540526</v>
      </c>
      <c r="BH105">
        <f t="shared" si="88"/>
        <v>2.7625784482470777</v>
      </c>
    </row>
    <row r="106" spans="1:60" x14ac:dyDescent="0.25">
      <c r="A106" s="7">
        <v>95</v>
      </c>
      <c r="B106" s="9">
        <f t="shared" si="82"/>
        <v>30.463459120204789</v>
      </c>
      <c r="C106">
        <v>0.72264778588213741</v>
      </c>
      <c r="D106">
        <v>-0.45603808709982607</v>
      </c>
      <c r="E106">
        <v>0.76799829096346928</v>
      </c>
      <c r="F106">
        <v>0.49180578020569476</v>
      </c>
      <c r="G106">
        <v>0.75273903622547067</v>
      </c>
      <c r="H106">
        <v>-0.18771935178685872</v>
      </c>
      <c r="I106">
        <v>-0.31223487044892728</v>
      </c>
      <c r="J106">
        <v>0.15530869472334974</v>
      </c>
      <c r="K106">
        <v>-0.29978331858272045</v>
      </c>
      <c r="L106">
        <v>-0.46562089907528914</v>
      </c>
      <c r="M106">
        <v>-0.3094882045960875</v>
      </c>
      <c r="N106">
        <v>5.0141911069063294E-2</v>
      </c>
      <c r="O106">
        <v>7.6204718161565044E-2</v>
      </c>
      <c r="P106">
        <v>0.91668446913052759</v>
      </c>
      <c r="Q106">
        <v>-6.0762352366710459E-2</v>
      </c>
      <c r="R106">
        <v>0.34031189916684479</v>
      </c>
      <c r="S106">
        <v>-0.57145908993804739</v>
      </c>
      <c r="T106">
        <v>0.19498275704214607</v>
      </c>
      <c r="U106">
        <v>8.6397900326548038E-2</v>
      </c>
      <c r="V106">
        <v>-1.2359996337778845E-2</v>
      </c>
      <c r="W106">
        <v>0.11496322519608149</v>
      </c>
      <c r="X106">
        <v>-0.43308816797387617</v>
      </c>
      <c r="Y106">
        <v>0.727896969512009</v>
      </c>
      <c r="Z106">
        <v>0.63878292184209728</v>
      </c>
      <c r="AA106">
        <v>-0.10812707907345809</v>
      </c>
      <c r="AC106" s="7">
        <v>95</v>
      </c>
      <c r="AD106">
        <f t="shared" si="57"/>
        <v>40.449554275745463</v>
      </c>
      <c r="AE106">
        <f t="shared" si="58"/>
        <v>24.161578977071873</v>
      </c>
      <c r="AF106">
        <f t="shared" si="59"/>
        <v>41.076241948414641</v>
      </c>
      <c r="AG106">
        <f t="shared" si="60"/>
        <v>37.259604372603029</v>
      </c>
      <c r="AH106">
        <f t="shared" si="61"/>
        <v>40.865377993949913</v>
      </c>
      <c r="AI106">
        <f t="shared" si="62"/>
        <v>27.869410752379682</v>
      </c>
      <c r="AJ106">
        <f t="shared" si="63"/>
        <v>26.148760883947485</v>
      </c>
      <c r="AK106">
        <f t="shared" si="64"/>
        <v>32.609632448746808</v>
      </c>
      <c r="AL106">
        <f t="shared" si="65"/>
        <v>26.320825870790706</v>
      </c>
      <c r="AM106">
        <f t="shared" si="66"/>
        <v>24.029156413668023</v>
      </c>
      <c r="AN106">
        <f t="shared" si="67"/>
        <v>26.186716395751137</v>
      </c>
      <c r="AO106">
        <f t="shared" si="68"/>
        <v>31.156358074575891</v>
      </c>
      <c r="AP106">
        <f t="shared" si="69"/>
        <v>31.51651370880165</v>
      </c>
      <c r="AQ106">
        <f t="shared" si="70"/>
        <v>43.130900320718965</v>
      </c>
      <c r="AR106">
        <f t="shared" si="71"/>
        <v>29.623798853526235</v>
      </c>
      <c r="AS106">
        <f t="shared" si="72"/>
        <v>35.166147032677195</v>
      </c>
      <c r="AT106">
        <f t="shared" si="73"/>
        <v>22.566604025500656</v>
      </c>
      <c r="AU106">
        <f t="shared" si="74"/>
        <v>33.157878730355108</v>
      </c>
      <c r="AV106">
        <f t="shared" si="75"/>
        <v>31.657370830384089</v>
      </c>
      <c r="AW106">
        <f t="shared" si="76"/>
        <v>30.292659317088358</v>
      </c>
      <c r="AX106">
        <f t="shared" si="77"/>
        <v>32.052108153142065</v>
      </c>
      <c r="AY106">
        <f t="shared" si="78"/>
        <v>24.478718364586825</v>
      </c>
      <c r="AZ106">
        <f t="shared" si="79"/>
        <v>40.522091476081329</v>
      </c>
      <c r="BA106">
        <f t="shared" si="80"/>
        <v>39.290645982007312</v>
      </c>
      <c r="BB106">
        <f t="shared" si="81"/>
        <v>28.969277138867714</v>
      </c>
      <c r="BC106" s="2">
        <f t="shared" si="83"/>
        <v>32.022317293655284</v>
      </c>
      <c r="BD106">
        <f t="shared" si="84"/>
        <v>38.671853378114669</v>
      </c>
      <c r="BE106">
        <f t="shared" si="85"/>
        <v>6.21866974345114</v>
      </c>
      <c r="BF106" s="12">
        <f t="shared" si="86"/>
        <v>30.23170750350473</v>
      </c>
      <c r="BG106">
        <f t="shared" si="87"/>
        <v>1.7906097901505547</v>
      </c>
      <c r="BH106">
        <f t="shared" si="88"/>
        <v>3.2062834205830133</v>
      </c>
    </row>
    <row r="107" spans="1:60" x14ac:dyDescent="0.25">
      <c r="A107" s="7">
        <v>96</v>
      </c>
      <c r="B107" s="9">
        <f t="shared" si="82"/>
        <v>30.755043520254546</v>
      </c>
      <c r="C107">
        <v>0.67418439283425391</v>
      </c>
      <c r="D107">
        <v>-0.79467146824549095</v>
      </c>
      <c r="E107">
        <v>0.46903897213660084</v>
      </c>
      <c r="F107">
        <v>0.6326792199468978</v>
      </c>
      <c r="G107">
        <v>-0.30155339213232824</v>
      </c>
      <c r="H107">
        <v>0.56816309091463979</v>
      </c>
      <c r="I107">
        <v>0.54606769005401778</v>
      </c>
      <c r="J107">
        <v>-0.51304666280098887</v>
      </c>
      <c r="K107">
        <v>-0.86663411358989229</v>
      </c>
      <c r="L107">
        <v>0.50834681234168522</v>
      </c>
      <c r="M107">
        <v>-0.72460097048860139</v>
      </c>
      <c r="N107">
        <v>-0.20615253151036106</v>
      </c>
      <c r="O107">
        <v>0.29453413495284897</v>
      </c>
      <c r="P107">
        <v>8.0416272469252537E-2</v>
      </c>
      <c r="Q107">
        <v>-0.50956755272072507</v>
      </c>
      <c r="R107">
        <v>6.1861018707846327E-2</v>
      </c>
      <c r="S107">
        <v>-0.37009796441541798</v>
      </c>
      <c r="T107">
        <v>-0.98089541306802575</v>
      </c>
      <c r="U107">
        <v>-0.25034333323160496</v>
      </c>
      <c r="V107">
        <v>0.32749412518692589</v>
      </c>
      <c r="W107">
        <v>0.8944669942320016</v>
      </c>
      <c r="X107">
        <v>-0.53276161992248294</v>
      </c>
      <c r="Y107">
        <v>0.40330210272530298</v>
      </c>
      <c r="Z107">
        <v>0.20517593920712907</v>
      </c>
      <c r="AA107">
        <v>0.24948881496627706</v>
      </c>
      <c r="AC107" s="7">
        <v>96</v>
      </c>
      <c r="AD107">
        <f t="shared" si="57"/>
        <v>40.071434756415243</v>
      </c>
      <c r="AE107">
        <f t="shared" si="58"/>
        <v>19.773670499640346</v>
      </c>
      <c r="AF107">
        <f t="shared" si="59"/>
        <v>37.23657975259141</v>
      </c>
      <c r="AG107">
        <f t="shared" si="60"/>
        <v>39.497884800271173</v>
      </c>
      <c r="AH107">
        <f t="shared" si="61"/>
        <v>26.587950052122554</v>
      </c>
      <c r="AI107">
        <f t="shared" si="62"/>
        <v>38.606352000794296</v>
      </c>
      <c r="AJ107">
        <f t="shared" si="63"/>
        <v>38.30102099472937</v>
      </c>
      <c r="AK107">
        <f t="shared" si="64"/>
        <v>23.665375643241397</v>
      </c>
      <c r="AL107">
        <f t="shared" si="65"/>
        <v>18.779236090384678</v>
      </c>
      <c r="AM107">
        <f t="shared" si="66"/>
        <v>37.779765299292556</v>
      </c>
      <c r="AN107">
        <f t="shared" si="67"/>
        <v>20.741957778542385</v>
      </c>
      <c r="AO107">
        <f t="shared" si="68"/>
        <v>27.906271495436044</v>
      </c>
      <c r="AP107">
        <f t="shared" si="69"/>
        <v>34.825139569332762</v>
      </c>
      <c r="AQ107">
        <f t="shared" si="70"/>
        <v>31.866296560283672</v>
      </c>
      <c r="AR107">
        <f t="shared" si="71"/>
        <v>23.713452624859357</v>
      </c>
      <c r="AS107">
        <f t="shared" si="72"/>
        <v>31.609885991654561</v>
      </c>
      <c r="AT107">
        <f t="shared" si="73"/>
        <v>25.640749168666986</v>
      </c>
      <c r="AU107">
        <f t="shared" si="74"/>
        <v>17.200286799352781</v>
      </c>
      <c r="AV107">
        <f t="shared" si="75"/>
        <v>27.295609483306187</v>
      </c>
      <c r="AW107">
        <f t="shared" si="76"/>
        <v>35.28060571097658</v>
      </c>
      <c r="AX107">
        <f t="shared" si="77"/>
        <v>43.115466803068081</v>
      </c>
      <c r="AY107">
        <f t="shared" si="78"/>
        <v>23.39293941407297</v>
      </c>
      <c r="AZ107">
        <f t="shared" si="79"/>
        <v>36.328177836757355</v>
      </c>
      <c r="BA107">
        <f t="shared" si="80"/>
        <v>33.590320251987301</v>
      </c>
      <c r="BB107">
        <f t="shared" si="81"/>
        <v>34.202669175752881</v>
      </c>
      <c r="BC107" s="2">
        <f t="shared" si="83"/>
        <v>30.680363942141319</v>
      </c>
      <c r="BD107">
        <f t="shared" si="84"/>
        <v>57.561139420689564</v>
      </c>
      <c r="BE107">
        <f t="shared" si="85"/>
        <v>7.5869057869917933</v>
      </c>
      <c r="BF107" s="12">
        <f t="shared" si="86"/>
        <v>30.51980972180214</v>
      </c>
      <c r="BG107">
        <f t="shared" si="87"/>
        <v>0.16055422033917921</v>
      </c>
      <c r="BH107">
        <f t="shared" si="88"/>
        <v>2.5777657668721705E-2</v>
      </c>
    </row>
    <row r="108" spans="1:60" x14ac:dyDescent="0.25">
      <c r="A108" s="7">
        <v>97</v>
      </c>
      <c r="B108" s="9">
        <f t="shared" si="82"/>
        <v>31.046627920304307</v>
      </c>
      <c r="C108">
        <v>0.92577898495437472</v>
      </c>
      <c r="D108">
        <v>-8.1484420300912408E-3</v>
      </c>
      <c r="E108">
        <v>-5.850398266548662E-2</v>
      </c>
      <c r="F108">
        <v>0.3511764885402997</v>
      </c>
      <c r="G108">
        <v>0.23996704000976599</v>
      </c>
      <c r="H108">
        <v>0.53953672902615435</v>
      </c>
      <c r="I108">
        <v>0.78514969328897966</v>
      </c>
      <c r="J108">
        <v>0.48924222540971107</v>
      </c>
      <c r="K108">
        <v>-0.56791894283883182</v>
      </c>
      <c r="L108">
        <v>-0.69573046052430798</v>
      </c>
      <c r="M108">
        <v>-1.3458662678914712E-2</v>
      </c>
      <c r="N108">
        <v>0.8392284920804467</v>
      </c>
      <c r="O108">
        <v>-0.80468153935361797</v>
      </c>
      <c r="P108">
        <v>-0.45225379192480242</v>
      </c>
      <c r="Q108">
        <v>0.73839533677175218</v>
      </c>
      <c r="R108">
        <v>-0.10959196752830591</v>
      </c>
      <c r="S108">
        <v>0.85949278237250892</v>
      </c>
      <c r="T108">
        <v>-0.11294900357066562</v>
      </c>
      <c r="U108">
        <v>0.37022003845332185</v>
      </c>
      <c r="V108">
        <v>-0.8876918851283303</v>
      </c>
      <c r="W108">
        <v>0.64220099490340887</v>
      </c>
      <c r="X108">
        <v>0.79094821008941918</v>
      </c>
      <c r="Y108">
        <v>-0.89062166203802606</v>
      </c>
      <c r="Z108">
        <v>-7.8524124881740764E-2</v>
      </c>
      <c r="AA108">
        <v>0.99816888943144022</v>
      </c>
      <c r="AC108" s="7">
        <v>97</v>
      </c>
      <c r="AD108">
        <f t="shared" ref="AD108:AD137" si="89">$B108+$G$7*C108</f>
        <v>43.839744037679466</v>
      </c>
      <c r="AE108">
        <f t="shared" ref="AE108:AE137" si="90">$B108+$G$7*D108</f>
        <v>30.934026568620141</v>
      </c>
      <c r="AF108">
        <f t="shared" ref="AF108:AF137" si="91">$B108+$G$7*E108</f>
        <v>30.238175518886532</v>
      </c>
      <c r="AG108">
        <f t="shared" ref="AG108:AG137" si="92">$B108+$G$7*F108</f>
        <v>35.899450968355602</v>
      </c>
      <c r="AH108">
        <f t="shared" ref="AH108:AH137" si="93">$B108+$G$7*G108</f>
        <v>34.362674468216646</v>
      </c>
      <c r="AI108">
        <f t="shared" ref="AI108:AI137" si="94">$B108+$G$7*H108</f>
        <v>38.502355622268226</v>
      </c>
      <c r="AJ108">
        <f t="shared" ref="AJ108:AJ137" si="95">$B108+$G$7*I108</f>
        <v>41.896421833332511</v>
      </c>
      <c r="AK108">
        <f t="shared" ref="AK108:AK137" si="96">$B108+$G$7*J108</f>
        <v>37.807348028352479</v>
      </c>
      <c r="AL108">
        <f t="shared" ref="AL108:AL137" si="97">$B108+$G$7*K108</f>
        <v>23.198693263035992</v>
      </c>
      <c r="AM108">
        <f t="shared" ref="AM108:AM137" si="98">$B108+$G$7*L108</f>
        <v>21.432496780439415</v>
      </c>
      <c r="AN108">
        <f t="shared" ref="AN108:AN137" si="99">$B108+$G$7*M108</f>
        <v>30.860645912466417</v>
      </c>
      <c r="AO108">
        <f t="shared" ref="AO108:AO137" si="100">$B108+$G$7*N108</f>
        <v>42.643723687955514</v>
      </c>
      <c r="AP108">
        <f t="shared" ref="AP108:AP137" si="101">$B108+$G$7*O108</f>
        <v>19.926928145561241</v>
      </c>
      <c r="AQ108">
        <f t="shared" ref="AQ108:AQ137" si="102">$B108+$G$7*P108</f>
        <v>24.797042037878644</v>
      </c>
      <c r="AR108">
        <f t="shared" ref="AR108:AR137" si="103">$B108+$G$7*Q108</f>
        <v>41.250334676852589</v>
      </c>
      <c r="AS108">
        <f t="shared" ref="AS108:AS137" si="104">$B108+$G$7*R108</f>
        <v>29.532202999338615</v>
      </c>
      <c r="AT108">
        <f t="shared" ref="AT108:AT137" si="105">$B108+$G$7*S108</f>
        <v>42.923751019484683</v>
      </c>
      <c r="AU108">
        <f t="shared" ref="AU108:AU137" si="106">$B108+$G$7*T108</f>
        <v>29.485812929356378</v>
      </c>
      <c r="AV108">
        <f t="shared" ref="AV108:AV137" si="107">$B108+$G$7*U108</f>
        <v>36.162609183527579</v>
      </c>
      <c r="AW108">
        <f t="shared" ref="AW108:AW137" si="108">$B108+$G$7*V108</f>
        <v>18.779828233273115</v>
      </c>
      <c r="AX108">
        <f t="shared" ref="AX108:AX137" si="109">$B108+$G$7*W108</f>
        <v>39.921048307906929</v>
      </c>
      <c r="AY108">
        <f t="shared" ref="AY108:AY137" si="110">$B108+$G$7*X108</f>
        <v>41.976550136029111</v>
      </c>
      <c r="AZ108">
        <f t="shared" ref="AZ108:AZ137" si="111">$B108+$G$7*Y108</f>
        <v>18.739342354015882</v>
      </c>
      <c r="BA108">
        <f t="shared" ref="BA108:BA137" si="112">$B108+$G$7*Z108</f>
        <v>29.961522010628808</v>
      </c>
      <c r="BB108">
        <f t="shared" ref="BB108:BB137" si="113">$B108+$G$7*AA108</f>
        <v>44.840082637660146</v>
      </c>
      <c r="BC108" s="2">
        <f t="shared" si="83"/>
        <v>33.196512454444907</v>
      </c>
      <c r="BD108">
        <f t="shared" si="84"/>
        <v>71.719865732497965</v>
      </c>
      <c r="BE108">
        <f t="shared" si="85"/>
        <v>8.4687582166748605</v>
      </c>
      <c r="BF108" s="12">
        <f t="shared" si="86"/>
        <v>30.807911940099547</v>
      </c>
      <c r="BG108">
        <f t="shared" si="87"/>
        <v>2.3886005143453595</v>
      </c>
      <c r="BH108">
        <f t="shared" si="88"/>
        <v>5.7054124171309155</v>
      </c>
    </row>
    <row r="109" spans="1:60" x14ac:dyDescent="0.25">
      <c r="A109" s="7">
        <v>98</v>
      </c>
      <c r="B109" s="9">
        <f t="shared" si="82"/>
        <v>31.338212320354067</v>
      </c>
      <c r="C109">
        <v>-0.21671193578905601</v>
      </c>
      <c r="D109">
        <v>0.7210608233893856</v>
      </c>
      <c r="E109">
        <v>-0.98834192938016907</v>
      </c>
      <c r="F109">
        <v>0.87780388805810716</v>
      </c>
      <c r="G109">
        <v>-8.3895382549516229E-2</v>
      </c>
      <c r="H109">
        <v>-0.6606952116458632</v>
      </c>
      <c r="I109">
        <v>-0.88958403271584219</v>
      </c>
      <c r="J109">
        <v>-0.29087191381572919</v>
      </c>
      <c r="K109">
        <v>-0.92565691091647084</v>
      </c>
      <c r="L109">
        <v>-0.19742423780022589</v>
      </c>
      <c r="M109">
        <v>-0.77684865871150854</v>
      </c>
      <c r="N109">
        <v>0.91454817346720785</v>
      </c>
      <c r="O109">
        <v>0.67540513321329376</v>
      </c>
      <c r="P109">
        <v>-0.19498275704214607</v>
      </c>
      <c r="Q109">
        <v>-0.57182531205175935</v>
      </c>
      <c r="R109">
        <v>-0.22470778527176738</v>
      </c>
      <c r="S109">
        <v>-0.67461165196691786</v>
      </c>
      <c r="T109">
        <v>-0.82268745994445625</v>
      </c>
      <c r="U109">
        <v>0.28556169316690583</v>
      </c>
      <c r="V109">
        <v>-0.54368724631488996</v>
      </c>
      <c r="W109">
        <v>-4.3031098361155928E-3</v>
      </c>
      <c r="X109">
        <v>0.60832544938505206</v>
      </c>
      <c r="Y109">
        <v>-7.9073458052308698E-2</v>
      </c>
      <c r="Z109">
        <v>3.3875545518355921E-3</v>
      </c>
      <c r="AA109">
        <v>0.28043458357493822</v>
      </c>
      <c r="AC109" s="7">
        <v>98</v>
      </c>
      <c r="AD109">
        <f t="shared" si="89"/>
        <v>28.343522439045977</v>
      </c>
      <c r="AE109">
        <f t="shared" si="90"/>
        <v>41.30237762463041</v>
      </c>
      <c r="AF109">
        <f t="shared" si="91"/>
        <v>17.680553989673513</v>
      </c>
      <c r="AG109">
        <f t="shared" si="92"/>
        <v>43.468372164892116</v>
      </c>
      <c r="AH109">
        <f t="shared" si="93"/>
        <v>30.178882298706984</v>
      </c>
      <c r="AI109">
        <f t="shared" si="94"/>
        <v>22.208224819940192</v>
      </c>
      <c r="AJ109">
        <f t="shared" si="95"/>
        <v>19.045265502969244</v>
      </c>
      <c r="AK109">
        <f t="shared" si="96"/>
        <v>27.318723620347388</v>
      </c>
      <c r="AL109">
        <f t="shared" si="97"/>
        <v>18.546783114614627</v>
      </c>
      <c r="AM109">
        <f t="shared" si="98"/>
        <v>28.610054477489392</v>
      </c>
      <c r="AN109">
        <f t="shared" si="99"/>
        <v>20.60312839855467</v>
      </c>
      <c r="AO109">
        <f t="shared" si="100"/>
        <v>43.976132567243184</v>
      </c>
      <c r="AP109">
        <f t="shared" si="101"/>
        <v>40.671472672871943</v>
      </c>
      <c r="AQ109">
        <f t="shared" si="102"/>
        <v>28.643792710203748</v>
      </c>
      <c r="AR109">
        <f t="shared" si="103"/>
        <v>23.43629649074278</v>
      </c>
      <c r="AS109">
        <f t="shared" si="104"/>
        <v>28.233029726906455</v>
      </c>
      <c r="AT109">
        <f t="shared" si="105"/>
        <v>22.015916893468361</v>
      </c>
      <c r="AU109">
        <f t="shared" si="106"/>
        <v>19.969693079342623</v>
      </c>
      <c r="AV109">
        <f t="shared" si="107"/>
        <v>35.284320364207019</v>
      </c>
      <c r="AW109">
        <f t="shared" si="108"/>
        <v>23.825129622775741</v>
      </c>
      <c r="AX109">
        <f t="shared" si="109"/>
        <v>31.278748685195012</v>
      </c>
      <c r="AY109">
        <f t="shared" si="110"/>
        <v>39.744514729044987</v>
      </c>
      <c r="AZ109">
        <f t="shared" si="111"/>
        <v>30.245515308317838</v>
      </c>
      <c r="BA109">
        <f t="shared" si="112"/>
        <v>31.385024118245237</v>
      </c>
      <c r="BB109">
        <f t="shared" si="113"/>
        <v>35.213470075506876</v>
      </c>
      <c r="BC109" s="2">
        <f t="shared" si="83"/>
        <v>29.24915781979745</v>
      </c>
      <c r="BD109">
        <f t="shared" si="84"/>
        <v>65.51331235522548</v>
      </c>
      <c r="BE109">
        <f t="shared" si="85"/>
        <v>8.0940294263874204</v>
      </c>
      <c r="BF109" s="12">
        <f t="shared" si="86"/>
        <v>31.096014158396958</v>
      </c>
      <c r="BG109">
        <f t="shared" si="87"/>
        <v>-1.8468563385995083</v>
      </c>
      <c r="BH109">
        <f t="shared" si="88"/>
        <v>3.4108783354251817</v>
      </c>
    </row>
    <row r="110" spans="1:60" x14ac:dyDescent="0.25">
      <c r="A110" s="7">
        <v>99</v>
      </c>
      <c r="B110" s="9">
        <f t="shared" si="82"/>
        <v>31.629796720403828</v>
      </c>
      <c r="C110">
        <v>-0.87896359141819513</v>
      </c>
      <c r="D110">
        <v>0.84826197088534205</v>
      </c>
      <c r="E110">
        <v>0.12552262947477644</v>
      </c>
      <c r="F110">
        <v>0.29941709646900838</v>
      </c>
      <c r="G110">
        <v>0.61497848445081948</v>
      </c>
      <c r="H110">
        <v>-0.40696432386242254</v>
      </c>
      <c r="I110">
        <v>0.57530442213202315</v>
      </c>
      <c r="J110">
        <v>-0.19229712820825828</v>
      </c>
      <c r="K110">
        <v>0.78679769280068368</v>
      </c>
      <c r="L110">
        <v>-0.82110049745170444</v>
      </c>
      <c r="M110">
        <v>0.93908505508590956</v>
      </c>
      <c r="N110">
        <v>-0.92541276284066287</v>
      </c>
      <c r="O110">
        <v>0.74352244636371956</v>
      </c>
      <c r="P110">
        <v>-0.45994445631275371</v>
      </c>
      <c r="Q110">
        <v>0.64976958525345618</v>
      </c>
      <c r="R110">
        <v>-0.90490432447279279</v>
      </c>
      <c r="S110">
        <v>0.61864070558793904</v>
      </c>
      <c r="T110">
        <v>-7.8341013824884786E-2</v>
      </c>
      <c r="U110">
        <v>3.5248878444776865E-2</v>
      </c>
      <c r="V110">
        <v>-0.30466628009887997</v>
      </c>
      <c r="W110">
        <v>-0.49522385326700646</v>
      </c>
      <c r="X110">
        <v>0.3315225684377574</v>
      </c>
      <c r="Y110">
        <v>0.21390423291726424</v>
      </c>
      <c r="Z110">
        <v>-0.90459913937803282</v>
      </c>
      <c r="AA110">
        <v>-0.98400830103457748</v>
      </c>
      <c r="AC110" s="7">
        <v>99</v>
      </c>
      <c r="AD110">
        <f t="shared" si="89"/>
        <v>19.483611215326459</v>
      </c>
      <c r="AE110">
        <f t="shared" si="90"/>
        <v>43.351723949098158</v>
      </c>
      <c r="AF110">
        <f t="shared" si="91"/>
        <v>33.364363609830697</v>
      </c>
      <c r="AG110">
        <f t="shared" si="92"/>
        <v>35.76736923491076</v>
      </c>
      <c r="AH110">
        <f t="shared" si="93"/>
        <v>40.128035813241368</v>
      </c>
      <c r="AI110">
        <f t="shared" si="94"/>
        <v>26.006055054829481</v>
      </c>
      <c r="AJ110">
        <f t="shared" si="95"/>
        <v>39.579789531633075</v>
      </c>
      <c r="AK110">
        <f t="shared" si="96"/>
        <v>28.972489166239303</v>
      </c>
      <c r="AL110">
        <f t="shared" si="97"/>
        <v>42.502363940514229</v>
      </c>
      <c r="AM110">
        <f t="shared" si="98"/>
        <v>20.283207330656715</v>
      </c>
      <c r="AN110">
        <f t="shared" si="99"/>
        <v>44.606786206072229</v>
      </c>
      <c r="AO110">
        <f t="shared" si="100"/>
        <v>18.841741337935822</v>
      </c>
      <c r="AP110">
        <f t="shared" si="101"/>
        <v>41.904353765652253</v>
      </c>
      <c r="AQ110">
        <f t="shared" si="102"/>
        <v>25.27393540492794</v>
      </c>
      <c r="AR110">
        <f t="shared" si="103"/>
        <v>40.608805629420957</v>
      </c>
      <c r="AS110">
        <f t="shared" si="104"/>
        <v>19.125142492736416</v>
      </c>
      <c r="AT110">
        <f t="shared" si="105"/>
        <v>40.178643162312909</v>
      </c>
      <c r="AU110">
        <f t="shared" si="106"/>
        <v>30.547221178181903</v>
      </c>
      <c r="AV110">
        <f t="shared" si="107"/>
        <v>32.116892455217354</v>
      </c>
      <c r="AW110">
        <f t="shared" si="108"/>
        <v>27.41968700556103</v>
      </c>
      <c r="AX110">
        <f t="shared" si="109"/>
        <v>24.786417942205485</v>
      </c>
      <c r="AY110">
        <f t="shared" si="110"/>
        <v>36.211026995104547</v>
      </c>
      <c r="AZ110">
        <f t="shared" si="111"/>
        <v>34.585687634090412</v>
      </c>
      <c r="BA110">
        <f t="shared" si="112"/>
        <v>19.129359771825712</v>
      </c>
      <c r="BB110">
        <f t="shared" si="113"/>
        <v>18.032023752791261</v>
      </c>
      <c r="BC110" s="2">
        <f t="shared" si="83"/>
        <v>31.312269343212666</v>
      </c>
      <c r="BD110">
        <f t="shared" si="84"/>
        <v>81.184680179082534</v>
      </c>
      <c r="BE110">
        <f t="shared" si="85"/>
        <v>9.0102541683951696</v>
      </c>
      <c r="BF110" s="12">
        <f t="shared" si="86"/>
        <v>31.384116376694365</v>
      </c>
      <c r="BG110">
        <f t="shared" si="87"/>
        <v>-7.1847033481699185E-2</v>
      </c>
      <c r="BH110">
        <f t="shared" si="88"/>
        <v>5.161996220120404E-3</v>
      </c>
    </row>
    <row r="111" spans="1:60" x14ac:dyDescent="0.25">
      <c r="A111" s="7">
        <v>100</v>
      </c>
      <c r="B111" s="9">
        <f t="shared" si="82"/>
        <v>31.921381120453589</v>
      </c>
      <c r="C111">
        <v>0.10446485793633831</v>
      </c>
      <c r="D111">
        <v>-0.34958952604754778</v>
      </c>
      <c r="E111">
        <v>-0.50816370128482924</v>
      </c>
      <c r="F111">
        <v>0.79064302499465922</v>
      </c>
      <c r="G111">
        <v>0.64336069826349673</v>
      </c>
      <c r="H111">
        <v>0.18472853785821108</v>
      </c>
      <c r="I111">
        <v>0.22159489730521553</v>
      </c>
      <c r="J111">
        <v>-0.75200659199804676</v>
      </c>
      <c r="K111">
        <v>0.39719840083010349</v>
      </c>
      <c r="L111">
        <v>0.34531693472090819</v>
      </c>
      <c r="M111">
        <v>-0.92889187292092656</v>
      </c>
      <c r="N111">
        <v>-8.713034455397195E-2</v>
      </c>
      <c r="O111">
        <v>-0.858821375164037</v>
      </c>
      <c r="P111">
        <v>0.76079592272713392</v>
      </c>
      <c r="Q111">
        <v>-0.70787682729575485</v>
      </c>
      <c r="R111">
        <v>0.61693166905728325</v>
      </c>
      <c r="S111">
        <v>-0.38059633167516094</v>
      </c>
      <c r="T111">
        <v>-0.51853999450666821</v>
      </c>
      <c r="U111">
        <v>0.88708151493881049</v>
      </c>
      <c r="V111">
        <v>-0.1070894497512741</v>
      </c>
      <c r="W111">
        <v>-0.38694418164616839</v>
      </c>
      <c r="X111">
        <v>2.3590807824945825E-2</v>
      </c>
      <c r="Y111">
        <v>-0.27359843745231482</v>
      </c>
      <c r="Z111">
        <v>-0.12747581408124031</v>
      </c>
      <c r="AA111">
        <v>0.49803155613879824</v>
      </c>
      <c r="AC111" s="7">
        <v>100</v>
      </c>
      <c r="AD111">
        <f t="shared" si="89"/>
        <v>33.364955752719126</v>
      </c>
      <c r="AE111">
        <f t="shared" si="90"/>
        <v>27.090487923666629</v>
      </c>
      <c r="AF111">
        <f t="shared" si="91"/>
        <v>24.899189708869155</v>
      </c>
      <c r="AG111">
        <f t="shared" si="92"/>
        <v>42.847086057089101</v>
      </c>
      <c r="AH111">
        <f t="shared" si="93"/>
        <v>40.811827168595528</v>
      </c>
      <c r="AI111">
        <f t="shared" si="94"/>
        <v>34.474100153203608</v>
      </c>
      <c r="AJ111">
        <f t="shared" si="95"/>
        <v>34.983547467190391</v>
      </c>
      <c r="AK111">
        <f t="shared" si="96"/>
        <v>21.529583716522772</v>
      </c>
      <c r="AL111">
        <f t="shared" si="97"/>
        <v>37.410169855170508</v>
      </c>
      <c r="AM111">
        <f t="shared" si="98"/>
        <v>36.693232409990422</v>
      </c>
      <c r="AN111">
        <f t="shared" si="99"/>
        <v>19.085248756367623</v>
      </c>
      <c r="AO111">
        <f t="shared" si="100"/>
        <v>30.71734794045998</v>
      </c>
      <c r="AP111">
        <f t="shared" si="101"/>
        <v>20.053536035269662</v>
      </c>
      <c r="AQ111">
        <f t="shared" si="102"/>
        <v>42.434636162156089</v>
      </c>
      <c r="AR111">
        <f t="shared" si="103"/>
        <v>22.139402272834772</v>
      </c>
      <c r="AS111">
        <f t="shared" si="104"/>
        <v>40.446610799462619</v>
      </c>
      <c r="AT111">
        <f t="shared" si="105"/>
        <v>26.662012368194297</v>
      </c>
      <c r="AU111">
        <f t="shared" si="106"/>
        <v>24.755802219833139</v>
      </c>
      <c r="AV111">
        <f t="shared" si="107"/>
        <v>44.179746249306191</v>
      </c>
      <c r="AW111">
        <f t="shared" si="108"/>
        <v>30.441537888020115</v>
      </c>
      <c r="AX111">
        <f t="shared" si="109"/>
        <v>26.574292963136969</v>
      </c>
      <c r="AY111">
        <f t="shared" si="110"/>
        <v>32.247376794056059</v>
      </c>
      <c r="AZ111">
        <f t="shared" si="111"/>
        <v>28.140590416900984</v>
      </c>
      <c r="BA111">
        <f t="shared" si="112"/>
        <v>30.159823644855233</v>
      </c>
      <c r="BB111">
        <f t="shared" si="113"/>
        <v>38.803558866273441</v>
      </c>
      <c r="BC111" s="2">
        <f t="shared" si="83"/>
        <v>31.637828143605773</v>
      </c>
      <c r="BD111">
        <f t="shared" si="84"/>
        <v>56.616415775856844</v>
      </c>
      <c r="BE111">
        <f t="shared" si="85"/>
        <v>7.524388066537826</v>
      </c>
      <c r="BF111" s="12">
        <f t="shared" si="86"/>
        <v>31.672218594991776</v>
      </c>
      <c r="BG111">
        <f t="shared" si="87"/>
        <v>-3.4390451386002496E-2</v>
      </c>
      <c r="BH111">
        <f t="shared" si="88"/>
        <v>1.182703146533001E-3</v>
      </c>
    </row>
    <row r="112" spans="1:60" x14ac:dyDescent="0.25">
      <c r="A112" s="7">
        <v>101</v>
      </c>
      <c r="B112" s="9">
        <f t="shared" si="82"/>
        <v>32.212965520503346</v>
      </c>
      <c r="C112">
        <v>-5.1545762504959236E-2</v>
      </c>
      <c r="D112">
        <v>-0.93932920316171753</v>
      </c>
      <c r="E112">
        <v>1.5259254737998162E-4</v>
      </c>
      <c r="F112">
        <v>-0.64812158574175238</v>
      </c>
      <c r="G112">
        <v>0.78948332163457136</v>
      </c>
      <c r="H112">
        <v>0.98980681783501701</v>
      </c>
      <c r="I112">
        <v>0.87627796258430735</v>
      </c>
      <c r="J112">
        <v>0.67540513321329376</v>
      </c>
      <c r="K112">
        <v>-0.86046937467574081</v>
      </c>
      <c r="L112">
        <v>0.45078890346995459</v>
      </c>
      <c r="M112">
        <v>0.54155095065157011</v>
      </c>
      <c r="N112">
        <v>0.78868984038819545</v>
      </c>
      <c r="O112">
        <v>-0.28934598834192937</v>
      </c>
      <c r="P112">
        <v>-0.71080660420545061</v>
      </c>
      <c r="Q112">
        <v>0.51524399548326061</v>
      </c>
      <c r="R112">
        <v>0.9668568987090671</v>
      </c>
      <c r="S112">
        <v>0.17899105807672355</v>
      </c>
      <c r="T112">
        <v>0.97375408185064249</v>
      </c>
      <c r="U112">
        <v>-9.9765007477034873E-2</v>
      </c>
      <c r="V112">
        <v>0.37516403698843348</v>
      </c>
      <c r="W112">
        <v>0.62743003631702621</v>
      </c>
      <c r="X112">
        <v>-0.48161259804071166</v>
      </c>
      <c r="Y112">
        <v>0.86626789147618033</v>
      </c>
      <c r="Z112">
        <v>0.86870937223426004</v>
      </c>
      <c r="AA112">
        <v>-0.60173345133823664</v>
      </c>
      <c r="AC112" s="7">
        <v>101</v>
      </c>
      <c r="AD112">
        <f t="shared" si="89"/>
        <v>31.500667082321488</v>
      </c>
      <c r="AE112">
        <f t="shared" si="90"/>
        <v>19.232602211563506</v>
      </c>
      <c r="AF112">
        <f t="shared" si="91"/>
        <v>32.21507416004799</v>
      </c>
      <c r="AG112">
        <f t="shared" si="92"/>
        <v>23.256729918568411</v>
      </c>
      <c r="AH112">
        <f t="shared" si="93"/>
        <v>43.122644796599538</v>
      </c>
      <c r="AI112">
        <f t="shared" si="94"/>
        <v>45.89086679081251</v>
      </c>
      <c r="AJ112">
        <f t="shared" si="95"/>
        <v>44.322038969594921</v>
      </c>
      <c r="AK112">
        <f t="shared" si="96"/>
        <v>41.546225873021214</v>
      </c>
      <c r="AL112">
        <f t="shared" si="97"/>
        <v>20.322347128237229</v>
      </c>
      <c r="AM112">
        <f t="shared" si="98"/>
        <v>38.442308463300392</v>
      </c>
      <c r="AN112">
        <f t="shared" si="99"/>
        <v>39.696527264456606</v>
      </c>
      <c r="AO112">
        <f t="shared" si="100"/>
        <v>43.111679870967372</v>
      </c>
      <c r="AP112">
        <f t="shared" si="101"/>
        <v>28.214563215943137</v>
      </c>
      <c r="AQ112">
        <f t="shared" si="102"/>
        <v>22.3905007936273</v>
      </c>
      <c r="AR112">
        <f t="shared" si="103"/>
        <v>39.332997806959412</v>
      </c>
      <c r="AS112">
        <f t="shared" si="104"/>
        <v>45.573727403297561</v>
      </c>
      <c r="AT112">
        <f t="shared" si="105"/>
        <v>34.68639970637463</v>
      </c>
      <c r="AU112">
        <f t="shared" si="106"/>
        <v>45.669037910715616</v>
      </c>
      <c r="AV112">
        <f t="shared" si="107"/>
        <v>30.834336986212943</v>
      </c>
      <c r="AW112">
        <f t="shared" si="108"/>
        <v>37.397266704973191</v>
      </c>
      <c r="AX112">
        <f t="shared" si="109"/>
        <v>40.883269600184107</v>
      </c>
      <c r="AY112">
        <f t="shared" si="110"/>
        <v>25.557677389687541</v>
      </c>
      <c r="AZ112">
        <f t="shared" si="111"/>
        <v>44.183712215466059</v>
      </c>
      <c r="BA112">
        <f t="shared" si="112"/>
        <v>44.217450448180415</v>
      </c>
      <c r="BB112">
        <f t="shared" si="113"/>
        <v>23.897756340141189</v>
      </c>
      <c r="BC112" s="2">
        <f t="shared" si="83"/>
        <v>35.419936362050173</v>
      </c>
      <c r="BD112">
        <f t="shared" si="84"/>
        <v>80.023661478746064</v>
      </c>
      <c r="BE112">
        <f t="shared" si="85"/>
        <v>8.9455945290822374</v>
      </c>
      <c r="BF112" s="12">
        <f t="shared" si="86"/>
        <v>31.960320813289187</v>
      </c>
      <c r="BG112">
        <f t="shared" si="87"/>
        <v>3.4596155487609863</v>
      </c>
      <c r="BH112">
        <f t="shared" si="88"/>
        <v>11.968939745228781</v>
      </c>
    </row>
    <row r="113" spans="1:60" x14ac:dyDescent="0.25">
      <c r="A113" s="7">
        <v>102</v>
      </c>
      <c r="B113" s="9">
        <f t="shared" si="82"/>
        <v>32.504549920553103</v>
      </c>
      <c r="C113">
        <v>-0.82580034791100809</v>
      </c>
      <c r="D113">
        <v>-0.17490157780693993</v>
      </c>
      <c r="E113">
        <v>0.71666615802484213</v>
      </c>
      <c r="F113">
        <v>0.16904202398754853</v>
      </c>
      <c r="G113">
        <v>0.45310831019013031</v>
      </c>
      <c r="H113">
        <v>-0.3903012176885281</v>
      </c>
      <c r="I113">
        <v>-0.68413342692342904</v>
      </c>
      <c r="J113">
        <v>6.2654499954222231E-2</v>
      </c>
      <c r="K113">
        <v>-0.95452742088076414</v>
      </c>
      <c r="L113">
        <v>0.9693594164860988</v>
      </c>
      <c r="M113">
        <v>-4.5258949552903882E-2</v>
      </c>
      <c r="N113">
        <v>-0.39408551286355176</v>
      </c>
      <c r="O113">
        <v>-0.8035828730124821</v>
      </c>
      <c r="P113">
        <v>0.69402142399365219</v>
      </c>
      <c r="Q113">
        <v>0.69005401776177244</v>
      </c>
      <c r="R113">
        <v>0.3478804895168921</v>
      </c>
      <c r="S113">
        <v>9.9520859401226902E-2</v>
      </c>
      <c r="T113">
        <v>0.67998290963469343</v>
      </c>
      <c r="U113">
        <v>0.40037232581560711</v>
      </c>
      <c r="V113">
        <v>0.95086519974364458</v>
      </c>
      <c r="W113">
        <v>0.87432477797784358</v>
      </c>
      <c r="X113">
        <v>-0.75060274056215093</v>
      </c>
      <c r="Y113">
        <v>7.7059236426892941E-2</v>
      </c>
      <c r="Z113">
        <v>-0.43345439008758813</v>
      </c>
      <c r="AA113">
        <v>0.68736838892788477</v>
      </c>
      <c r="AC113" s="7">
        <v>102</v>
      </c>
      <c r="AD113">
        <f t="shared" si="89"/>
        <v>21.093014432830852</v>
      </c>
      <c r="AE113">
        <f t="shared" si="90"/>
        <v>30.087627274478368</v>
      </c>
      <c r="AF113">
        <f t="shared" si="91"/>
        <v>42.407986405943603</v>
      </c>
      <c r="AG113">
        <f t="shared" si="92"/>
        <v>34.840500808113383</v>
      </c>
      <c r="AH113">
        <f t="shared" si="93"/>
        <v>38.76594418442879</v>
      </c>
      <c r="AI113">
        <f t="shared" si="94"/>
        <v>27.111071693254242</v>
      </c>
      <c r="AJ113">
        <f t="shared" si="95"/>
        <v>23.050675386081405</v>
      </c>
      <c r="AK113">
        <f t="shared" si="96"/>
        <v>33.370357317585281</v>
      </c>
      <c r="AL113">
        <f t="shared" si="97"/>
        <v>19.31416611296639</v>
      </c>
      <c r="AM113">
        <f t="shared" si="98"/>
        <v>45.899893491879531</v>
      </c>
      <c r="AN113">
        <f t="shared" si="99"/>
        <v>31.879127431610712</v>
      </c>
      <c r="AO113">
        <f t="shared" si="100"/>
        <v>27.058777432546989</v>
      </c>
      <c r="AP113">
        <f t="shared" si="101"/>
        <v>21.400032350531497</v>
      </c>
      <c r="AQ113">
        <f t="shared" si="102"/>
        <v>42.095064297517951</v>
      </c>
      <c r="AR113">
        <f t="shared" si="103"/>
        <v>42.040239669357113</v>
      </c>
      <c r="AS113">
        <f t="shared" si="104"/>
        <v>37.311826354440015</v>
      </c>
      <c r="AT113">
        <f t="shared" si="105"/>
        <v>33.879804631572071</v>
      </c>
      <c r="AU113">
        <f t="shared" si="106"/>
        <v>41.901069459410394</v>
      </c>
      <c r="AV113">
        <f t="shared" si="107"/>
        <v>38.037198357798687</v>
      </c>
      <c r="AW113">
        <f t="shared" si="108"/>
        <v>45.644326379068282</v>
      </c>
      <c r="AX113">
        <f t="shared" si="109"/>
        <v>44.586632783473192</v>
      </c>
      <c r="AY113">
        <f t="shared" si="110"/>
        <v>22.132152000433042</v>
      </c>
      <c r="AZ113">
        <f t="shared" si="111"/>
        <v>33.569412890599992</v>
      </c>
      <c r="BA113">
        <f t="shared" si="112"/>
        <v>26.514748430027986</v>
      </c>
      <c r="BB113">
        <f t="shared" si="113"/>
        <v>42.003127613371326</v>
      </c>
      <c r="BC113" s="2">
        <f t="shared" si="83"/>
        <v>33.839791087572841</v>
      </c>
      <c r="BD113">
        <f t="shared" si="84"/>
        <v>72.520505017585791</v>
      </c>
      <c r="BE113">
        <f t="shared" si="85"/>
        <v>8.515897193930055</v>
      </c>
      <c r="BF113" s="12">
        <f t="shared" si="86"/>
        <v>32.24842303158659</v>
      </c>
      <c r="BG113">
        <f t="shared" si="87"/>
        <v>1.5913680559862513</v>
      </c>
      <c r="BH113">
        <f t="shared" si="88"/>
        <v>2.5324522896134605</v>
      </c>
    </row>
    <row r="114" spans="1:60" x14ac:dyDescent="0.25">
      <c r="A114" s="7">
        <v>103</v>
      </c>
      <c r="B114" s="9">
        <f t="shared" si="82"/>
        <v>32.796134320602867</v>
      </c>
      <c r="C114">
        <v>-0.96356089968565939</v>
      </c>
      <c r="D114">
        <v>0.41642506179998162</v>
      </c>
      <c r="E114">
        <v>-0.68962675862910849</v>
      </c>
      <c r="F114">
        <v>-0.41941587572862937</v>
      </c>
      <c r="G114">
        <v>0.75206762901699875</v>
      </c>
      <c r="H114">
        <v>-0.22513504440443133</v>
      </c>
      <c r="I114">
        <v>0.64494766075624876</v>
      </c>
      <c r="J114">
        <v>0.56950590533158363</v>
      </c>
      <c r="K114">
        <v>-0.85992004150517287</v>
      </c>
      <c r="L114">
        <v>-0.44956816309091463</v>
      </c>
      <c r="M114">
        <v>-0.51304666280098887</v>
      </c>
      <c r="N114">
        <v>0.57255775627918326</v>
      </c>
      <c r="O114">
        <v>0.43809320352793968</v>
      </c>
      <c r="P114">
        <v>-0.94842371898556477</v>
      </c>
      <c r="Q114">
        <v>0.84923856318857394</v>
      </c>
      <c r="R114">
        <v>0.73619800408948022</v>
      </c>
      <c r="S114">
        <v>-0.34690389721366011</v>
      </c>
      <c r="T114">
        <v>0.91790520950956744</v>
      </c>
      <c r="U114">
        <v>0.8298898281807916</v>
      </c>
      <c r="V114">
        <v>-0.28409680471205789</v>
      </c>
      <c r="W114">
        <v>0.96783349101229899</v>
      </c>
      <c r="X114">
        <v>-0.84704123050630209</v>
      </c>
      <c r="Y114">
        <v>0.76238288521988595</v>
      </c>
      <c r="Z114">
        <v>0.47770622882778402</v>
      </c>
      <c r="AA114">
        <v>-0.41276284066286206</v>
      </c>
      <c r="AC114" s="7">
        <v>103</v>
      </c>
      <c r="AD114">
        <f t="shared" si="89"/>
        <v>19.480919051973036</v>
      </c>
      <c r="AE114">
        <f t="shared" si="90"/>
        <v>38.550611637945345</v>
      </c>
      <c r="AF114">
        <f t="shared" si="91"/>
        <v>23.266348762523869</v>
      </c>
      <c r="AG114">
        <f t="shared" si="92"/>
        <v>27.000327668185303</v>
      </c>
      <c r="AH114">
        <f t="shared" si="93"/>
        <v>43.188775180351541</v>
      </c>
      <c r="AI114">
        <f t="shared" si="94"/>
        <v>29.685047536430243</v>
      </c>
      <c r="AJ114">
        <f t="shared" si="95"/>
        <v>41.708510220009138</v>
      </c>
      <c r="AK114">
        <f t="shared" si="96"/>
        <v>40.665998829135518</v>
      </c>
      <c r="AL114">
        <f t="shared" si="97"/>
        <v>20.913107030697482</v>
      </c>
      <c r="AM114">
        <f t="shared" si="98"/>
        <v>26.583660494162999</v>
      </c>
      <c r="AN114">
        <f t="shared" si="99"/>
        <v>25.706466443589719</v>
      </c>
      <c r="AO114">
        <f t="shared" si="100"/>
        <v>40.708171620028459</v>
      </c>
      <c r="AP114">
        <f t="shared" si="101"/>
        <v>38.850038453285265</v>
      </c>
      <c r="AQ114">
        <f t="shared" si="102"/>
        <v>19.690096094802048</v>
      </c>
      <c r="AR114">
        <f t="shared" si="103"/>
        <v>44.53155684238294</v>
      </c>
      <c r="AS114">
        <f t="shared" si="104"/>
        <v>42.969476667708221</v>
      </c>
      <c r="AT114">
        <f t="shared" si="105"/>
        <v>28.002353179801698</v>
      </c>
      <c r="AU114">
        <f t="shared" si="106"/>
        <v>45.480444637474221</v>
      </c>
      <c r="AV114">
        <f t="shared" si="107"/>
        <v>44.264181348121667</v>
      </c>
      <c r="AW114">
        <f t="shared" si="108"/>
        <v>28.870269216378528</v>
      </c>
      <c r="AX114">
        <f t="shared" si="109"/>
        <v>46.170391496482821</v>
      </c>
      <c r="AY114">
        <f t="shared" si="110"/>
        <v>21.091076208265712</v>
      </c>
      <c r="AZ114">
        <f t="shared" si="111"/>
        <v>43.331319213569699</v>
      </c>
      <c r="BA114">
        <f t="shared" si="112"/>
        <v>39.3974412790757</v>
      </c>
      <c r="BB114">
        <f t="shared" si="113"/>
        <v>27.092264352331924</v>
      </c>
      <c r="BC114" s="2">
        <f t="shared" si="83"/>
        <v>33.887954138588526</v>
      </c>
      <c r="BD114">
        <f t="shared" si="84"/>
        <v>89.172816818230174</v>
      </c>
      <c r="BE114">
        <f t="shared" si="85"/>
        <v>9.443135963133761</v>
      </c>
      <c r="BF114" s="12">
        <f t="shared" si="86"/>
        <v>32.536525249884001</v>
      </c>
      <c r="BG114">
        <f t="shared" si="87"/>
        <v>1.3514288887045254</v>
      </c>
      <c r="BH114">
        <f t="shared" si="88"/>
        <v>1.8263600412251484</v>
      </c>
    </row>
    <row r="115" spans="1:60" x14ac:dyDescent="0.25">
      <c r="A115" s="7">
        <v>104</v>
      </c>
      <c r="B115" s="9">
        <f t="shared" si="82"/>
        <v>33.087718720652632</v>
      </c>
      <c r="C115">
        <v>0.83440656758323928</v>
      </c>
      <c r="D115">
        <v>0.33732108523819693</v>
      </c>
      <c r="E115">
        <v>0.18063905758842735</v>
      </c>
      <c r="F115">
        <v>0.33964049195837265</v>
      </c>
      <c r="G115">
        <v>-0.43955809198278761</v>
      </c>
      <c r="H115">
        <v>-0.48954741050447093</v>
      </c>
      <c r="I115">
        <v>-0.29526657918027288</v>
      </c>
      <c r="J115">
        <v>-0.65654469435712759</v>
      </c>
      <c r="K115">
        <v>-0.3010040589617603</v>
      </c>
      <c r="L115">
        <v>7.5380718405713143E-3</v>
      </c>
      <c r="M115">
        <v>0.38566240424817644</v>
      </c>
      <c r="N115">
        <v>5.4109317300943038E-2</v>
      </c>
      <c r="O115">
        <v>-0.50126651814325385</v>
      </c>
      <c r="P115">
        <v>0.23947874385815004</v>
      </c>
      <c r="Q115">
        <v>0.5186010315256202</v>
      </c>
      <c r="R115">
        <v>6.4088869899592282E-4</v>
      </c>
      <c r="S115">
        <v>0.12674336985381629</v>
      </c>
      <c r="T115">
        <v>0.44065675832392337</v>
      </c>
      <c r="U115">
        <v>-0.80535294656208989</v>
      </c>
      <c r="V115">
        <v>-0.4719687490462966</v>
      </c>
      <c r="W115">
        <v>0.69396038697470019</v>
      </c>
      <c r="X115">
        <v>-0.15829950865199749</v>
      </c>
      <c r="Y115">
        <v>3.1586657307657084E-2</v>
      </c>
      <c r="Z115">
        <v>0.85460982085634929</v>
      </c>
      <c r="AA115">
        <v>0.3315836054567094</v>
      </c>
      <c r="AC115" s="7">
        <v>104</v>
      </c>
      <c r="AD115">
        <f t="shared" si="89"/>
        <v>44.618181478692989</v>
      </c>
      <c r="AE115">
        <f t="shared" si="90"/>
        <v>37.749077298049947</v>
      </c>
      <c r="AF115">
        <f t="shared" si="91"/>
        <v>35.583926213606105</v>
      </c>
      <c r="AG115">
        <f t="shared" si="92"/>
        <v>37.781128619128587</v>
      </c>
      <c r="AH115">
        <f t="shared" si="93"/>
        <v>27.013571648341625</v>
      </c>
      <c r="AI115">
        <f t="shared" si="94"/>
        <v>26.32278133351517</v>
      </c>
      <c r="AJ115">
        <f t="shared" si="95"/>
        <v>29.007501201760107</v>
      </c>
      <c r="AK115">
        <f t="shared" si="96"/>
        <v>24.015086215853167</v>
      </c>
      <c r="AL115">
        <f t="shared" si="97"/>
        <v>28.928216354881371</v>
      </c>
      <c r="AM115">
        <f t="shared" si="98"/>
        <v>33.191885514158209</v>
      </c>
      <c r="AN115">
        <f t="shared" si="99"/>
        <v>38.417094305794215</v>
      </c>
      <c r="AO115">
        <f t="shared" si="100"/>
        <v>33.835442303184564</v>
      </c>
      <c r="AP115">
        <f t="shared" si="101"/>
        <v>26.160837816486257</v>
      </c>
      <c r="AQ115">
        <f t="shared" si="102"/>
        <v>36.397017622022105</v>
      </c>
      <c r="AR115">
        <f t="shared" si="103"/>
        <v>40.254141077090935</v>
      </c>
      <c r="AS115">
        <f t="shared" si="104"/>
        <v>33.096575006740153</v>
      </c>
      <c r="AT115">
        <f t="shared" si="105"/>
        <v>34.839154726436675</v>
      </c>
      <c r="AU115">
        <f t="shared" si="106"/>
        <v>39.177047997685101</v>
      </c>
      <c r="AV115">
        <f t="shared" si="107"/>
        <v>21.95874093191312</v>
      </c>
      <c r="AW115">
        <f t="shared" si="108"/>
        <v>26.565696609058538</v>
      </c>
      <c r="AX115">
        <f t="shared" si="109"/>
        <v>42.677389641799614</v>
      </c>
      <c r="AY115">
        <f t="shared" si="110"/>
        <v>30.900216057035522</v>
      </c>
      <c r="AZ115">
        <f t="shared" si="111"/>
        <v>33.52420710639462</v>
      </c>
      <c r="BA115">
        <f t="shared" si="112"/>
        <v>44.897365354404286</v>
      </c>
      <c r="BB115">
        <f t="shared" si="113"/>
        <v>37.669792451171212</v>
      </c>
      <c r="BC115" s="2">
        <f t="shared" si="83"/>
        <v>33.783282995408179</v>
      </c>
      <c r="BD115">
        <f t="shared" si="84"/>
        <v>40.540320807546472</v>
      </c>
      <c r="BE115">
        <f t="shared" si="85"/>
        <v>6.3671281444263768</v>
      </c>
      <c r="BF115" s="12">
        <f t="shared" si="86"/>
        <v>32.824627468181411</v>
      </c>
      <c r="BG115">
        <f t="shared" si="87"/>
        <v>0.95865552722676739</v>
      </c>
      <c r="BH115">
        <f t="shared" si="88"/>
        <v>0.91902041988243133</v>
      </c>
    </row>
    <row r="116" spans="1:60" x14ac:dyDescent="0.25">
      <c r="A116" s="7">
        <v>105</v>
      </c>
      <c r="B116" s="9">
        <f t="shared" si="82"/>
        <v>33.379303120702389</v>
      </c>
      <c r="C116">
        <v>0.69029816583758041</v>
      </c>
      <c r="D116">
        <v>0.36124759666737871</v>
      </c>
      <c r="E116">
        <v>0.75872066408276617</v>
      </c>
      <c r="F116">
        <v>-0.61894589068269901</v>
      </c>
      <c r="G116">
        <v>0.93218787194433417</v>
      </c>
      <c r="H116">
        <v>0.43729972228156377</v>
      </c>
      <c r="I116">
        <v>-0.79277932065797907</v>
      </c>
      <c r="J116">
        <v>0.75920896023438211</v>
      </c>
      <c r="K116">
        <v>0.36472670674764252</v>
      </c>
      <c r="L116">
        <v>0.22415845210119945</v>
      </c>
      <c r="M116">
        <v>-0.76244392223883783</v>
      </c>
      <c r="N116">
        <v>-0.43797112949003569</v>
      </c>
      <c r="O116">
        <v>7.5594347972045117E-2</v>
      </c>
      <c r="P116">
        <v>0.33103427228614146</v>
      </c>
      <c r="Q116">
        <v>0.40586565752128667</v>
      </c>
      <c r="R116">
        <v>-3.0426953947569224E-2</v>
      </c>
      <c r="S116">
        <v>-2.096621601001003E-2</v>
      </c>
      <c r="T116">
        <v>0.65263832514420006</v>
      </c>
      <c r="U116">
        <v>-0.88531144138920259</v>
      </c>
      <c r="V116">
        <v>-0.48661763359477528</v>
      </c>
      <c r="W116">
        <v>0.26255073702200393</v>
      </c>
      <c r="X116">
        <v>-0.7202063051240577</v>
      </c>
      <c r="Y116">
        <v>0.13174840540787991</v>
      </c>
      <c r="Z116">
        <v>-0.22977385784478288</v>
      </c>
      <c r="AA116">
        <v>-0.4438917203283792</v>
      </c>
      <c r="AC116" s="7">
        <v>105</v>
      </c>
      <c r="AD116">
        <f t="shared" si="89"/>
        <v>42.918366692777838</v>
      </c>
      <c r="AE116">
        <f t="shared" si="90"/>
        <v>38.3712963787004</v>
      </c>
      <c r="AF116">
        <f t="shared" si="91"/>
        <v>43.863880664597687</v>
      </c>
      <c r="AG116">
        <f t="shared" si="92"/>
        <v>24.826239399704015</v>
      </c>
      <c r="AH116">
        <f t="shared" si="93"/>
        <v>46.260982098952738</v>
      </c>
      <c r="AI116">
        <f t="shared" si="94"/>
        <v>39.422242327752613</v>
      </c>
      <c r="AJ116">
        <f t="shared" si="95"/>
        <v>22.424077230441814</v>
      </c>
      <c r="AK116">
        <f t="shared" si="96"/>
        <v>43.870628311140557</v>
      </c>
      <c r="AL116">
        <f t="shared" si="97"/>
        <v>38.41937336031836</v>
      </c>
      <c r="AM116">
        <f t="shared" si="98"/>
        <v>36.47689461178927</v>
      </c>
      <c r="AN116">
        <f t="shared" si="99"/>
        <v>22.843274771917699</v>
      </c>
      <c r="AO116">
        <f t="shared" si="100"/>
        <v>27.327085899655714</v>
      </c>
      <c r="AP116">
        <f t="shared" si="101"/>
        <v>34.423923151120661</v>
      </c>
      <c r="AQ116">
        <f t="shared" si="102"/>
        <v>37.953785748860234</v>
      </c>
      <c r="AR116">
        <f t="shared" si="103"/>
        <v>38.987862581555277</v>
      </c>
      <c r="AS116">
        <f t="shared" si="104"/>
        <v>32.95884039549972</v>
      </c>
      <c r="AT116">
        <f t="shared" si="105"/>
        <v>33.089576047267848</v>
      </c>
      <c r="AU116">
        <f t="shared" si="106"/>
        <v>42.397954453158889</v>
      </c>
      <c r="AV116">
        <f t="shared" si="107"/>
        <v>21.145398210567691</v>
      </c>
      <c r="AW116">
        <f t="shared" si="108"/>
        <v>26.654851612822153</v>
      </c>
      <c r="AX116">
        <f t="shared" si="109"/>
        <v>37.007428321222534</v>
      </c>
      <c r="AY116">
        <f t="shared" si="110"/>
        <v>23.42694619787607</v>
      </c>
      <c r="AZ116">
        <f t="shared" si="111"/>
        <v>35.199902503550867</v>
      </c>
      <c r="BA116">
        <f t="shared" si="112"/>
        <v>30.204113694372488</v>
      </c>
      <c r="BB116">
        <f t="shared" si="113"/>
        <v>27.245270685323398</v>
      </c>
      <c r="BC116" s="2">
        <f t="shared" si="83"/>
        <v>33.908807814037871</v>
      </c>
      <c r="BD116">
        <f t="shared" si="84"/>
        <v>58.347994807291194</v>
      </c>
      <c r="BE116">
        <f t="shared" si="85"/>
        <v>7.6385859167316559</v>
      </c>
      <c r="BF116" s="12">
        <f t="shared" si="86"/>
        <v>33.112729686478822</v>
      </c>
      <c r="BG116">
        <f t="shared" si="87"/>
        <v>0.79607812755904916</v>
      </c>
      <c r="BH116">
        <f t="shared" si="88"/>
        <v>0.63374038517792175</v>
      </c>
    </row>
    <row r="117" spans="1:60" x14ac:dyDescent="0.25">
      <c r="A117" s="7">
        <v>106</v>
      </c>
      <c r="B117" s="9">
        <f t="shared" si="82"/>
        <v>33.670887520752146</v>
      </c>
      <c r="C117">
        <v>-0.75823236793115023</v>
      </c>
      <c r="D117">
        <v>0.61253700369273956</v>
      </c>
      <c r="E117">
        <v>-0.45585497604297009</v>
      </c>
      <c r="F117">
        <v>-0.36368907742545853</v>
      </c>
      <c r="G117">
        <v>-0.35685293130283513</v>
      </c>
      <c r="H117">
        <v>0.9395733512375255</v>
      </c>
      <c r="I117">
        <v>-0.40122684408093512</v>
      </c>
      <c r="J117">
        <v>-0.52140873439741209</v>
      </c>
      <c r="K117">
        <v>0.75786614581743827</v>
      </c>
      <c r="L117">
        <v>-0.30979338969084746</v>
      </c>
      <c r="M117">
        <v>-0.99639881588183232</v>
      </c>
      <c r="N117">
        <v>0.46928312021240881</v>
      </c>
      <c r="O117">
        <v>-0.3570970793786431</v>
      </c>
      <c r="P117">
        <v>-0.95367290261543625</v>
      </c>
      <c r="Q117">
        <v>0.15567491683706169</v>
      </c>
      <c r="R117">
        <v>-0.40971098971526232</v>
      </c>
      <c r="S117">
        <v>-0.16641743217261273</v>
      </c>
      <c r="T117">
        <v>-4.2573320719016094E-2</v>
      </c>
      <c r="U117">
        <v>0.53929258095034638</v>
      </c>
      <c r="V117">
        <v>0.3894466994232002</v>
      </c>
      <c r="W117">
        <v>-0.31614123966185492</v>
      </c>
      <c r="X117">
        <v>-0.62950529496139407</v>
      </c>
      <c r="Y117">
        <v>0.28720969267860963</v>
      </c>
      <c r="Z117">
        <v>0.54771568956572159</v>
      </c>
      <c r="AA117">
        <v>0.91338847010711999</v>
      </c>
      <c r="AC117" s="7">
        <v>106</v>
      </c>
      <c r="AD117">
        <f t="shared" si="89"/>
        <v>23.193057623399717</v>
      </c>
      <c r="AE117">
        <f t="shared" si="90"/>
        <v>42.135388380875327</v>
      </c>
      <c r="AF117">
        <f t="shared" si="91"/>
        <v>27.371537745072807</v>
      </c>
      <c r="AG117">
        <f t="shared" si="92"/>
        <v>28.645156030039775</v>
      </c>
      <c r="AH117">
        <f t="shared" si="93"/>
        <v>28.739623081639973</v>
      </c>
      <c r="AI117">
        <f t="shared" si="94"/>
        <v>46.65462465296342</v>
      </c>
      <c r="AJ117">
        <f t="shared" si="95"/>
        <v>28.126430702056538</v>
      </c>
      <c r="AK117">
        <f t="shared" si="96"/>
        <v>26.465666196692325</v>
      </c>
      <c r="AL117">
        <f t="shared" si="97"/>
        <v>44.14365668319742</v>
      </c>
      <c r="AM117">
        <f t="shared" si="98"/>
        <v>29.389927517209202</v>
      </c>
      <c r="AN117">
        <f t="shared" si="99"/>
        <v>19.901893022114216</v>
      </c>
      <c r="AO117">
        <f t="shared" si="100"/>
        <v>40.155797576360449</v>
      </c>
      <c r="AP117">
        <f t="shared" si="101"/>
        <v>28.736249258368538</v>
      </c>
      <c r="AQ117">
        <f t="shared" si="102"/>
        <v>20.49231209461546</v>
      </c>
      <c r="AR117">
        <f t="shared" si="103"/>
        <v>35.822121584201319</v>
      </c>
      <c r="AS117">
        <f t="shared" si="104"/>
        <v>28.009190343374151</v>
      </c>
      <c r="AT117">
        <f t="shared" si="105"/>
        <v>31.371205233359802</v>
      </c>
      <c r="AU117">
        <f t="shared" si="106"/>
        <v>33.082577087795549</v>
      </c>
      <c r="AV117">
        <f t="shared" si="107"/>
        <v>41.12324139944463</v>
      </c>
      <c r="AW117">
        <f t="shared" si="108"/>
        <v>39.052557366600979</v>
      </c>
      <c r="AX117">
        <f t="shared" si="109"/>
        <v>29.302208112151874</v>
      </c>
      <c r="AY117">
        <f t="shared" si="110"/>
        <v>24.971905943264183</v>
      </c>
      <c r="AZ117">
        <f t="shared" si="111"/>
        <v>37.639768871687295</v>
      </c>
      <c r="BA117">
        <f t="shared" si="112"/>
        <v>41.23963830230916</v>
      </c>
      <c r="BB117">
        <f t="shared" si="113"/>
        <v>46.292782107101942</v>
      </c>
      <c r="BC117" s="2">
        <f t="shared" si="83"/>
        <v>32.882340676635849</v>
      </c>
      <c r="BD117">
        <f t="shared" si="84"/>
        <v>63.248904828811341</v>
      </c>
      <c r="BE117">
        <f t="shared" si="85"/>
        <v>7.9529180071726717</v>
      </c>
      <c r="BF117" s="12">
        <f t="shared" si="86"/>
        <v>33.400831904776233</v>
      </c>
      <c r="BG117">
        <f t="shared" si="87"/>
        <v>-0.51849122814038395</v>
      </c>
      <c r="BH117">
        <f t="shared" si="88"/>
        <v>0.26883315365852367</v>
      </c>
    </row>
    <row r="118" spans="1:60" x14ac:dyDescent="0.25">
      <c r="A118" s="7">
        <v>107</v>
      </c>
      <c r="B118" s="9">
        <f t="shared" si="82"/>
        <v>33.962471920801903</v>
      </c>
      <c r="C118">
        <v>0.83867915890987876</v>
      </c>
      <c r="D118">
        <v>-0.39561143833735157</v>
      </c>
      <c r="E118">
        <v>-0.14279610583819091</v>
      </c>
      <c r="F118">
        <v>-7.5960570085756962E-2</v>
      </c>
      <c r="G118">
        <v>0.82103946043275244</v>
      </c>
      <c r="H118">
        <v>-0.88189336832789089</v>
      </c>
      <c r="I118">
        <v>-0.57835627307962278</v>
      </c>
      <c r="J118">
        <v>-0.55125583666493727</v>
      </c>
      <c r="K118">
        <v>-1.3031403546250764E-2</v>
      </c>
      <c r="L118">
        <v>-0.7840510269478439</v>
      </c>
      <c r="M118">
        <v>-0.10818811609241008</v>
      </c>
      <c r="N118">
        <v>-0.90520950956755275</v>
      </c>
      <c r="O118">
        <v>-0.16373180333872495</v>
      </c>
      <c r="P118">
        <v>-0.56529435102389591</v>
      </c>
      <c r="Q118">
        <v>-0.45109408856471445</v>
      </c>
      <c r="R118">
        <v>0.34379100924710837</v>
      </c>
      <c r="S118">
        <v>-5.1606799523911229E-2</v>
      </c>
      <c r="T118">
        <v>-3.7385174108096608E-2</v>
      </c>
      <c r="U118">
        <v>4.7883541367839566E-2</v>
      </c>
      <c r="V118">
        <v>0.57152012695699939</v>
      </c>
      <c r="W118">
        <v>0.17331461531418801</v>
      </c>
      <c r="X118">
        <v>0.31736198004089489</v>
      </c>
      <c r="Y118">
        <v>0.63359477523117769</v>
      </c>
      <c r="Z118">
        <v>-0.35001678518021184</v>
      </c>
      <c r="AA118">
        <v>-0.92413098544267103</v>
      </c>
      <c r="AC118" s="7">
        <v>107</v>
      </c>
      <c r="AD118">
        <f t="shared" si="89"/>
        <v>45.55197658609238</v>
      </c>
      <c r="AE118">
        <f t="shared" si="90"/>
        <v>28.495613037349315</v>
      </c>
      <c r="AF118">
        <f t="shared" si="91"/>
        <v>31.989207034920959</v>
      </c>
      <c r="AG118">
        <f t="shared" si="92"/>
        <v>32.912791155476476</v>
      </c>
      <c r="AH118">
        <f t="shared" si="93"/>
        <v>45.308217854731154</v>
      </c>
      <c r="AI118">
        <f t="shared" si="94"/>
        <v>21.775800536467308</v>
      </c>
      <c r="AJ118">
        <f t="shared" si="95"/>
        <v>25.970306318679711</v>
      </c>
      <c r="AK118">
        <f t="shared" si="96"/>
        <v>26.344800701809071</v>
      </c>
      <c r="AL118">
        <f t="shared" si="97"/>
        <v>33.782394103689022</v>
      </c>
      <c r="AM118">
        <f t="shared" si="98"/>
        <v>23.127860212495154</v>
      </c>
      <c r="AN118">
        <f t="shared" si="99"/>
        <v>32.467446483646967</v>
      </c>
      <c r="AO118">
        <f t="shared" si="100"/>
        <v>21.453600414045198</v>
      </c>
      <c r="AP118">
        <f t="shared" si="101"/>
        <v>31.69990168939535</v>
      </c>
      <c r="AQ118">
        <f t="shared" si="102"/>
        <v>26.150805863701521</v>
      </c>
      <c r="AR118">
        <f t="shared" si="103"/>
        <v>27.72891169891556</v>
      </c>
      <c r="AS118">
        <f t="shared" si="104"/>
        <v>38.713236814892269</v>
      </c>
      <c r="AT118">
        <f t="shared" si="105"/>
        <v>33.249330026802184</v>
      </c>
      <c r="AU118">
        <f t="shared" si="106"/>
        <v>33.445855232363314</v>
      </c>
      <c r="AV118">
        <f t="shared" si="107"/>
        <v>34.624163009912223</v>
      </c>
      <c r="AW118">
        <f t="shared" si="108"/>
        <v>41.860170471323897</v>
      </c>
      <c r="AX118">
        <f t="shared" si="109"/>
        <v>36.357464715612302</v>
      </c>
      <c r="AY118">
        <f t="shared" si="110"/>
        <v>38.348020445759353</v>
      </c>
      <c r="AZ118">
        <f t="shared" si="111"/>
        <v>42.717965038086419</v>
      </c>
      <c r="BA118">
        <f t="shared" si="112"/>
        <v>29.125674533289928</v>
      </c>
      <c r="BB118">
        <f t="shared" si="113"/>
        <v>21.192129110508933</v>
      </c>
      <c r="BC118" s="2">
        <f t="shared" si="83"/>
        <v>32.175745723598638</v>
      </c>
      <c r="BD118">
        <f t="shared" si="84"/>
        <v>51.830042965680754</v>
      </c>
      <c r="BE118">
        <f t="shared" si="85"/>
        <v>7.1993085060775632</v>
      </c>
      <c r="BF118" s="12">
        <f t="shared" si="86"/>
        <v>33.688934123073643</v>
      </c>
      <c r="BG118">
        <f t="shared" si="87"/>
        <v>-1.5131883994750055</v>
      </c>
      <c r="BH118">
        <f t="shared" si="88"/>
        <v>2.289739132305729</v>
      </c>
    </row>
    <row r="119" spans="1:60" x14ac:dyDescent="0.25">
      <c r="A119" s="7">
        <v>108</v>
      </c>
      <c r="B119" s="9">
        <f t="shared" si="82"/>
        <v>34.254056320851667</v>
      </c>
      <c r="C119">
        <v>-0.73772392956328015</v>
      </c>
      <c r="D119">
        <v>0.64189580980864891</v>
      </c>
      <c r="E119">
        <v>-0.30655842768639174</v>
      </c>
      <c r="F119">
        <v>0.94695883053071683</v>
      </c>
      <c r="G119">
        <v>-0.97662282174138615</v>
      </c>
      <c r="H119">
        <v>-0.90130314035462511</v>
      </c>
      <c r="I119">
        <v>-0.48796044801171912</v>
      </c>
      <c r="J119">
        <v>0.69322794274727628</v>
      </c>
      <c r="K119">
        <v>-0.130039368877224</v>
      </c>
      <c r="L119">
        <v>-0.77105014191106913</v>
      </c>
      <c r="M119">
        <v>0.33445234534745327</v>
      </c>
      <c r="N119">
        <v>0.91857661671803958</v>
      </c>
      <c r="O119">
        <v>0.12015137180700086</v>
      </c>
      <c r="P119">
        <v>0.68822290719321266</v>
      </c>
      <c r="Q119">
        <v>0.3630176702169865</v>
      </c>
      <c r="R119">
        <v>0.50920133060701311</v>
      </c>
      <c r="S119">
        <v>-0.36429944761497846</v>
      </c>
      <c r="T119">
        <v>-0.67064424573503834</v>
      </c>
      <c r="U119">
        <v>0.72307504501480158</v>
      </c>
      <c r="V119">
        <v>-0.96465956602679526</v>
      </c>
      <c r="W119">
        <v>-0.13272499771111179</v>
      </c>
      <c r="X119">
        <v>-0.68236335337382115</v>
      </c>
      <c r="Y119">
        <v>0.36948759422589794</v>
      </c>
      <c r="Z119">
        <v>0.28177739799188206</v>
      </c>
      <c r="AA119">
        <v>0.51243629261146895</v>
      </c>
      <c r="AC119" s="7">
        <v>108</v>
      </c>
      <c r="AD119">
        <f t="shared" si="89"/>
        <v>24.059627578299839</v>
      </c>
      <c r="AE119">
        <f t="shared" si="90"/>
        <v>43.12425942936499</v>
      </c>
      <c r="AF119">
        <f t="shared" si="91"/>
        <v>30.017799475655245</v>
      </c>
      <c r="AG119">
        <f t="shared" si="92"/>
        <v>47.339851607023874</v>
      </c>
      <c r="AH119">
        <f t="shared" si="93"/>
        <v>20.758341507200029</v>
      </c>
      <c r="AI119">
        <f t="shared" si="94"/>
        <v>21.799165986437934</v>
      </c>
      <c r="AJ119">
        <f t="shared" si="95"/>
        <v>27.511048784978534</v>
      </c>
      <c r="AK119">
        <f t="shared" si="96"/>
        <v>43.833605772184342</v>
      </c>
      <c r="AL119">
        <f t="shared" si="97"/>
        <v>32.457073700903237</v>
      </c>
      <c r="AM119">
        <f t="shared" si="98"/>
        <v>23.599100701748867</v>
      </c>
      <c r="AN119">
        <f t="shared" si="99"/>
        <v>38.875772474809615</v>
      </c>
      <c r="AO119">
        <f t="shared" si="100"/>
        <v>46.947644651719479</v>
      </c>
      <c r="AP119">
        <f t="shared" si="101"/>
        <v>35.914399098306951</v>
      </c>
      <c r="AQ119">
        <f t="shared" si="102"/>
        <v>43.764442395119914</v>
      </c>
      <c r="AR119">
        <f t="shared" si="103"/>
        <v>39.270509797567591</v>
      </c>
      <c r="AS119">
        <f t="shared" si="104"/>
        <v>41.290586481339702</v>
      </c>
      <c r="AT119">
        <f t="shared" si="105"/>
        <v>29.219890271960708</v>
      </c>
      <c r="AU119">
        <f t="shared" si="106"/>
        <v>24.986585522126788</v>
      </c>
      <c r="AV119">
        <f t="shared" si="107"/>
        <v>44.246055667117361</v>
      </c>
      <c r="AW119">
        <f t="shared" si="108"/>
        <v>20.923658847500377</v>
      </c>
      <c r="AX119">
        <f t="shared" si="109"/>
        <v>32.41996164491745</v>
      </c>
      <c r="AY119">
        <f t="shared" si="110"/>
        <v>24.824642005097878</v>
      </c>
      <c r="AZ119">
        <f t="shared" si="111"/>
        <v>39.359916114260635</v>
      </c>
      <c r="BA119">
        <f t="shared" si="112"/>
        <v>38.14787010399737</v>
      </c>
      <c r="BB119">
        <f t="shared" si="113"/>
        <v>41.335289639686223</v>
      </c>
      <c r="BC119" s="2">
        <f t="shared" si="83"/>
        <v>34.241083970372991</v>
      </c>
      <c r="BD119">
        <f t="shared" si="84"/>
        <v>78.576213814346076</v>
      </c>
      <c r="BE119">
        <f t="shared" si="85"/>
        <v>8.8643225242737014</v>
      </c>
      <c r="BF119" s="12">
        <f t="shared" si="86"/>
        <v>33.977036341371047</v>
      </c>
      <c r="BG119">
        <f t="shared" si="87"/>
        <v>0.26404762900194356</v>
      </c>
      <c r="BH119">
        <f t="shared" si="88"/>
        <v>6.9721150381548025E-2</v>
      </c>
    </row>
    <row r="120" spans="1:60" x14ac:dyDescent="0.25">
      <c r="A120" s="7">
        <v>109</v>
      </c>
      <c r="B120" s="9">
        <f t="shared" si="82"/>
        <v>34.545640720901432</v>
      </c>
      <c r="C120">
        <v>-0.5952024903103732</v>
      </c>
      <c r="D120">
        <v>0.51274147770622891</v>
      </c>
      <c r="E120">
        <v>-0.78044984282967622</v>
      </c>
      <c r="F120">
        <v>-0.14981536301767018</v>
      </c>
      <c r="G120">
        <v>0.17667165135654783</v>
      </c>
      <c r="H120">
        <v>0.12698751792962426</v>
      </c>
      <c r="I120">
        <v>-0.26798303170873139</v>
      </c>
      <c r="J120">
        <v>0.81353190710165713</v>
      </c>
      <c r="K120">
        <v>8.5421308023316156E-2</v>
      </c>
      <c r="L120">
        <v>-0.89751884517960145</v>
      </c>
      <c r="M120">
        <v>-0.59294412060914947</v>
      </c>
      <c r="N120">
        <v>-0.13760795922727131</v>
      </c>
      <c r="O120">
        <v>-0.9201025421918394</v>
      </c>
      <c r="P120">
        <v>0.6055177465132604</v>
      </c>
      <c r="Q120">
        <v>0.70818201239051493</v>
      </c>
      <c r="R120">
        <v>0.72075563829462563</v>
      </c>
      <c r="S120">
        <v>-0.35404522843104347</v>
      </c>
      <c r="T120">
        <v>-0.79302346873378704</v>
      </c>
      <c r="U120">
        <v>0.83697012237922297</v>
      </c>
      <c r="V120">
        <v>3.8422803430280483E-2</v>
      </c>
      <c r="W120">
        <v>6.9063386944181682E-2</v>
      </c>
      <c r="X120">
        <v>0.3443403424176763</v>
      </c>
      <c r="Y120">
        <v>-0.40031128879665512</v>
      </c>
      <c r="Z120">
        <v>-0.95782341990417186</v>
      </c>
      <c r="AA120">
        <v>-0.26737266151921135</v>
      </c>
      <c r="AC120" s="7">
        <v>109</v>
      </c>
      <c r="AD120">
        <f t="shared" si="89"/>
        <v>26.32068131305018</v>
      </c>
      <c r="AE120">
        <f t="shared" si="90"/>
        <v>41.631091318825284</v>
      </c>
      <c r="AF120">
        <f t="shared" si="91"/>
        <v>23.760792905848358</v>
      </c>
      <c r="AG120">
        <f t="shared" si="92"/>
        <v>32.475378415966716</v>
      </c>
      <c r="AH120">
        <f t="shared" si="93"/>
        <v>36.987023585694075</v>
      </c>
      <c r="AI120">
        <f t="shared" si="94"/>
        <v>36.300450549956913</v>
      </c>
      <c r="AJ120">
        <f t="shared" si="95"/>
        <v>30.842447952591847</v>
      </c>
      <c r="AK120">
        <f t="shared" si="96"/>
        <v>45.787641589234042</v>
      </c>
      <c r="AL120">
        <f t="shared" si="97"/>
        <v>35.726057137994992</v>
      </c>
      <c r="AM120">
        <f t="shared" si="98"/>
        <v>22.143044647194952</v>
      </c>
      <c r="AN120">
        <f t="shared" si="99"/>
        <v>26.351889178310959</v>
      </c>
      <c r="AO120">
        <f t="shared" si="100"/>
        <v>32.644069579538495</v>
      </c>
      <c r="AP120">
        <f t="shared" si="101"/>
        <v>21.830965994587149</v>
      </c>
      <c r="AQ120">
        <f t="shared" si="102"/>
        <v>42.913144161970841</v>
      </c>
      <c r="AR120">
        <f t="shared" si="103"/>
        <v>44.331836847609544</v>
      </c>
      <c r="AS120">
        <f t="shared" si="104"/>
        <v>44.505588746088478</v>
      </c>
      <c r="AT120">
        <f t="shared" si="105"/>
        <v>29.653175249410769</v>
      </c>
      <c r="AU120">
        <f t="shared" si="106"/>
        <v>23.587041007369422</v>
      </c>
      <c r="AV120">
        <f t="shared" si="107"/>
        <v>46.111528623291861</v>
      </c>
      <c r="AW120">
        <f t="shared" si="108"/>
        <v>35.076596158243625</v>
      </c>
      <c r="AX120">
        <f t="shared" si="109"/>
        <v>35.500010978808803</v>
      </c>
      <c r="AY120">
        <f t="shared" si="110"/>
        <v>39.303996717352526</v>
      </c>
      <c r="AZ120">
        <f t="shared" si="111"/>
        <v>29.013835739473709</v>
      </c>
      <c r="BA120">
        <f t="shared" si="112"/>
        <v>21.309710299150339</v>
      </c>
      <c r="BB120">
        <f t="shared" si="113"/>
        <v>30.850882510770436</v>
      </c>
      <c r="BC120" s="2">
        <f t="shared" si="83"/>
        <v>33.398355248333374</v>
      </c>
      <c r="BD120">
        <f t="shared" si="84"/>
        <v>63.682289031388336</v>
      </c>
      <c r="BE120">
        <f t="shared" si="85"/>
        <v>7.9801183594849228</v>
      </c>
      <c r="BF120" s="12">
        <f t="shared" si="86"/>
        <v>34.265138559668458</v>
      </c>
      <c r="BG120">
        <f t="shared" si="87"/>
        <v>-0.86678331133508379</v>
      </c>
      <c r="BH120">
        <f t="shared" si="88"/>
        <v>0.75131330880901281</v>
      </c>
    </row>
    <row r="121" spans="1:60" x14ac:dyDescent="0.25">
      <c r="A121" s="7">
        <v>110</v>
      </c>
      <c r="B121" s="9">
        <f t="shared" si="82"/>
        <v>34.837225120951189</v>
      </c>
      <c r="C121">
        <v>-0.32328257087923828</v>
      </c>
      <c r="D121">
        <v>-0.4098330637531663</v>
      </c>
      <c r="E121">
        <v>0.23679311502426215</v>
      </c>
      <c r="F121">
        <v>-0.73613696707052823</v>
      </c>
      <c r="G121">
        <v>-0.10208441419721059</v>
      </c>
      <c r="H121">
        <v>1.4343699453718273E-3</v>
      </c>
      <c r="I121">
        <v>-0.78008362071596427</v>
      </c>
      <c r="J121">
        <v>-0.66057313760795922</v>
      </c>
      <c r="K121">
        <v>-0.43137913144322027</v>
      </c>
      <c r="L121">
        <v>0.37888729514450503</v>
      </c>
      <c r="M121">
        <v>0.67265846736045409</v>
      </c>
      <c r="N121">
        <v>0.96429334391308319</v>
      </c>
      <c r="O121">
        <v>-0.46928312021240881</v>
      </c>
      <c r="P121">
        <v>-0.3724173711355937</v>
      </c>
      <c r="Q121">
        <v>0.58800012207403785</v>
      </c>
      <c r="R121">
        <v>-0.96508682515945921</v>
      </c>
      <c r="S121">
        <v>-0.53386028626361881</v>
      </c>
      <c r="T121">
        <v>0.58543656727805415</v>
      </c>
      <c r="U121">
        <v>-0.19937742240668965</v>
      </c>
      <c r="V121">
        <v>1.5564439832758126E-3</v>
      </c>
      <c r="W121">
        <v>0.16281624805444506</v>
      </c>
      <c r="X121">
        <v>-0.52421643726920375</v>
      </c>
      <c r="Y121">
        <v>0.87987914670247513</v>
      </c>
      <c r="Z121">
        <v>-0.56132694479201639</v>
      </c>
      <c r="AA121">
        <v>4.9836725974303331E-2</v>
      </c>
      <c r="AC121" s="7">
        <v>110</v>
      </c>
      <c r="AD121">
        <f t="shared" si="89"/>
        <v>30.369861381661423</v>
      </c>
      <c r="AE121">
        <f t="shared" si="90"/>
        <v>29.173841031937474</v>
      </c>
      <c r="AF121">
        <f t="shared" si="91"/>
        <v>38.109411966334868</v>
      </c>
      <c r="AG121">
        <f t="shared" si="92"/>
        <v>24.664726229663692</v>
      </c>
      <c r="AH121">
        <f t="shared" si="93"/>
        <v>33.426545265582149</v>
      </c>
      <c r="AI121">
        <f t="shared" si="94"/>
        <v>34.857046332670876</v>
      </c>
      <c r="AJ121">
        <f t="shared" si="95"/>
        <v>24.057438040805266</v>
      </c>
      <c r="AK121">
        <f t="shared" si="96"/>
        <v>25.708924532173036</v>
      </c>
      <c r="AL121">
        <f t="shared" si="97"/>
        <v>28.876101128233277</v>
      </c>
      <c r="AM121">
        <f t="shared" si="98"/>
        <v>40.072977110310433</v>
      </c>
      <c r="AN121">
        <f t="shared" si="99"/>
        <v>44.132529961665412</v>
      </c>
      <c r="AO121">
        <f t="shared" si="100"/>
        <v>48.162561859395325</v>
      </c>
      <c r="AP121">
        <f t="shared" si="101"/>
        <v>28.352315065342886</v>
      </c>
      <c r="AQ121">
        <f t="shared" si="102"/>
        <v>29.690879448284992</v>
      </c>
      <c r="AR121">
        <f t="shared" si="103"/>
        <v>42.962656742295088</v>
      </c>
      <c r="AS121">
        <f t="shared" si="104"/>
        <v>21.500923456874887</v>
      </c>
      <c r="AT121">
        <f t="shared" si="105"/>
        <v>27.459938810048151</v>
      </c>
      <c r="AU121">
        <f t="shared" si="106"/>
        <v>42.927231597945017</v>
      </c>
      <c r="AV121">
        <f t="shared" si="107"/>
        <v>32.082076691915027</v>
      </c>
      <c r="AW121">
        <f t="shared" si="108"/>
        <v>34.858733244306592</v>
      </c>
      <c r="AX121">
        <f t="shared" si="109"/>
        <v>37.087143515089856</v>
      </c>
      <c r="AY121">
        <f t="shared" si="110"/>
        <v>27.593204829269858</v>
      </c>
      <c r="AZ121">
        <f t="shared" si="111"/>
        <v>46.99606246329644</v>
      </c>
      <c r="BA121">
        <f t="shared" si="112"/>
        <v>27.080383692011637</v>
      </c>
      <c r="BB121">
        <f t="shared" si="113"/>
        <v>35.525906796232995</v>
      </c>
      <c r="BC121" s="2">
        <f t="shared" si="83"/>
        <v>33.429176847733871</v>
      </c>
      <c r="BD121">
        <f t="shared" si="84"/>
        <v>56.291217406133001</v>
      </c>
      <c r="BE121">
        <f t="shared" si="85"/>
        <v>7.5027473238896301</v>
      </c>
      <c r="BF121" s="12">
        <f t="shared" si="86"/>
        <v>34.553240777965868</v>
      </c>
      <c r="BG121">
        <f t="shared" si="87"/>
        <v>-1.1240639302319977</v>
      </c>
      <c r="BH121">
        <f t="shared" si="88"/>
        <v>1.2635197192486054</v>
      </c>
    </row>
    <row r="122" spans="1:60" x14ac:dyDescent="0.25">
      <c r="A122" s="7">
        <v>111</v>
      </c>
      <c r="B122" s="9">
        <f t="shared" si="82"/>
        <v>35.128809521000946</v>
      </c>
      <c r="C122">
        <v>0.55131687368388937</v>
      </c>
      <c r="D122">
        <v>-0.55229346598712126</v>
      </c>
      <c r="E122">
        <v>0.34012878810998881</v>
      </c>
      <c r="F122">
        <v>-0.43491927854243595</v>
      </c>
      <c r="G122">
        <v>-0.75872066408276617</v>
      </c>
      <c r="H122">
        <v>-1.3458662678914712E-2</v>
      </c>
      <c r="I122">
        <v>-5.2156132694479163E-2</v>
      </c>
      <c r="J122">
        <v>-8.2735679189428368E-2</v>
      </c>
      <c r="K122">
        <v>0.11630603961302532</v>
      </c>
      <c r="L122">
        <v>-0.80394909512619406</v>
      </c>
      <c r="M122">
        <v>-7.0955534531693454E-2</v>
      </c>
      <c r="N122">
        <v>-0.19541001617481002</v>
      </c>
      <c r="O122">
        <v>0.98083437604907386</v>
      </c>
      <c r="P122">
        <v>0.96459852900784315</v>
      </c>
      <c r="Q122">
        <v>-0.28641621143223361</v>
      </c>
      <c r="R122">
        <v>0.65367595446638393</v>
      </c>
      <c r="S122">
        <v>-0.59233375041962955</v>
      </c>
      <c r="T122">
        <v>1.5655995361186559E-2</v>
      </c>
      <c r="U122">
        <v>-0.19656971953489788</v>
      </c>
      <c r="V122">
        <v>-6.0213019196142414E-2</v>
      </c>
      <c r="W122">
        <v>-0.97338785973693043</v>
      </c>
      <c r="X122">
        <v>0.29325235755485712</v>
      </c>
      <c r="Y122">
        <v>0.86797692800683612</v>
      </c>
      <c r="Z122">
        <v>-0.84789574877162999</v>
      </c>
      <c r="AA122">
        <v>-0.12106692709128086</v>
      </c>
      <c r="AC122" s="7">
        <v>111</v>
      </c>
      <c r="AD122">
        <f t="shared" si="89"/>
        <v>42.747324195811636</v>
      </c>
      <c r="AE122">
        <f t="shared" si="90"/>
        <v>27.496799553104513</v>
      </c>
      <c r="AF122">
        <f t="shared" si="91"/>
        <v>39.828967066019779</v>
      </c>
      <c r="AG122">
        <f t="shared" si="92"/>
        <v>29.118765090847216</v>
      </c>
      <c r="AH122">
        <f t="shared" si="93"/>
        <v>24.644231977105648</v>
      </c>
      <c r="AI122">
        <f t="shared" si="94"/>
        <v>34.942827513163053</v>
      </c>
      <c r="AJ122">
        <f t="shared" si="95"/>
        <v>34.408076524640499</v>
      </c>
      <c r="AK122">
        <f t="shared" si="96"/>
        <v>33.985505159893179</v>
      </c>
      <c r="AL122">
        <f t="shared" si="97"/>
        <v>36.736014581931116</v>
      </c>
      <c r="AM122">
        <f t="shared" si="98"/>
        <v>24.019231216072189</v>
      </c>
      <c r="AN122">
        <f t="shared" si="99"/>
        <v>34.148292132739954</v>
      </c>
      <c r="AO122">
        <f t="shared" si="100"/>
        <v>32.428485720125614</v>
      </c>
      <c r="AP122">
        <f t="shared" si="101"/>
        <v>48.682722786084852</v>
      </c>
      <c r="AQ122">
        <f t="shared" si="102"/>
        <v>48.458363538534378</v>
      </c>
      <c r="AR122">
        <f t="shared" si="103"/>
        <v>31.170893095697966</v>
      </c>
      <c r="AS122">
        <f t="shared" si="104"/>
        <v>44.161799602361043</v>
      </c>
      <c r="AT122">
        <f t="shared" si="105"/>
        <v>26.943492536589062</v>
      </c>
      <c r="AU122">
        <f t="shared" si="106"/>
        <v>35.345155938281756</v>
      </c>
      <c r="AV122">
        <f t="shared" si="107"/>
        <v>32.412460059586294</v>
      </c>
      <c r="AW122">
        <f t="shared" si="108"/>
        <v>34.296740356683124</v>
      </c>
      <c r="AX122">
        <f t="shared" si="109"/>
        <v>21.67779786569583</v>
      </c>
      <c r="AY122">
        <f t="shared" si="110"/>
        <v>39.181192997904127</v>
      </c>
      <c r="AZ122">
        <f t="shared" si="111"/>
        <v>47.123172978863707</v>
      </c>
      <c r="BA122">
        <f t="shared" si="112"/>
        <v>23.411943027213766</v>
      </c>
      <c r="BB122">
        <f t="shared" si="113"/>
        <v>33.45581490627778</v>
      </c>
      <c r="BC122" s="2">
        <f t="shared" si="83"/>
        <v>34.433042816849117</v>
      </c>
      <c r="BD122">
        <f t="shared" si="84"/>
        <v>59.312857722527191</v>
      </c>
      <c r="BE122">
        <f t="shared" si="85"/>
        <v>7.7014841246689061</v>
      </c>
      <c r="BF122" s="12">
        <f t="shared" si="86"/>
        <v>34.841342996263279</v>
      </c>
      <c r="BG122">
        <f t="shared" si="87"/>
        <v>-0.4083001794141623</v>
      </c>
      <c r="BH122">
        <f t="shared" si="88"/>
        <v>0.16670903650963712</v>
      </c>
    </row>
    <row r="123" spans="1:60" x14ac:dyDescent="0.25">
      <c r="A123" s="7">
        <v>112</v>
      </c>
      <c r="B123" s="9">
        <f t="shared" si="82"/>
        <v>35.42039392105071</v>
      </c>
      <c r="C123">
        <v>-0.85277871028778951</v>
      </c>
      <c r="D123">
        <v>-0.5637073885311441</v>
      </c>
      <c r="E123">
        <v>-3.4150212103640887E-2</v>
      </c>
      <c r="F123">
        <v>0.15097506637775804</v>
      </c>
      <c r="G123">
        <v>-0.61711478011413923</v>
      </c>
      <c r="H123">
        <v>2.7466658528396692E-4</v>
      </c>
      <c r="I123">
        <v>-0.81615649891659292</v>
      </c>
      <c r="J123">
        <v>-0.40079958494827117</v>
      </c>
      <c r="K123">
        <v>0.23526718955046233</v>
      </c>
      <c r="L123">
        <v>0.33988464003418084</v>
      </c>
      <c r="M123">
        <v>1.0223700674458991E-2</v>
      </c>
      <c r="N123">
        <v>-2.0477919858394089E-2</v>
      </c>
      <c r="O123">
        <v>-0.66734824671163062</v>
      </c>
      <c r="P123">
        <v>-0.11636707663197732</v>
      </c>
      <c r="Q123">
        <v>0.21866512039551989</v>
      </c>
      <c r="R123">
        <v>0.79210791344950704</v>
      </c>
      <c r="S123">
        <v>0.71044038209173865</v>
      </c>
      <c r="T123">
        <v>-8.2796716208380361E-2</v>
      </c>
      <c r="U123">
        <v>0.77758110293893257</v>
      </c>
      <c r="V123">
        <v>-0.34403515732291634</v>
      </c>
      <c r="W123">
        <v>0.93816949980162967</v>
      </c>
      <c r="X123">
        <v>-0.54850917081209749</v>
      </c>
      <c r="Y123">
        <v>-0.50505081331827761</v>
      </c>
      <c r="Z123">
        <v>-0.37528611102633747</v>
      </c>
      <c r="AA123">
        <v>0.42265083773308509</v>
      </c>
      <c r="AC123" s="7">
        <v>112</v>
      </c>
      <c r="AD123">
        <f t="shared" si="89"/>
        <v>23.636050961834819</v>
      </c>
      <c r="AE123">
        <f t="shared" si="90"/>
        <v>27.63065771521466</v>
      </c>
      <c r="AF123">
        <f t="shared" si="91"/>
        <v>34.948480390958643</v>
      </c>
      <c r="AG123">
        <f t="shared" si="92"/>
        <v>37.506681886524746</v>
      </c>
      <c r="AH123">
        <f t="shared" si="93"/>
        <v>26.892633874588107</v>
      </c>
      <c r="AI123">
        <f t="shared" si="94"/>
        <v>35.424189472231078</v>
      </c>
      <c r="AJ123">
        <f t="shared" si="95"/>
        <v>24.142124452550171</v>
      </c>
      <c r="AK123">
        <f t="shared" si="96"/>
        <v>29.881841293080114</v>
      </c>
      <c r="AL123">
        <f t="shared" si="97"/>
        <v>38.671494370987915</v>
      </c>
      <c r="AM123">
        <f t="shared" si="98"/>
        <v>40.117177642798104</v>
      </c>
      <c r="AN123">
        <f t="shared" si="99"/>
        <v>35.561672770542081</v>
      </c>
      <c r="AO123">
        <f t="shared" si="100"/>
        <v>35.137414494159046</v>
      </c>
      <c r="AP123">
        <f t="shared" si="101"/>
        <v>26.198469736490214</v>
      </c>
      <c r="AQ123">
        <f t="shared" si="102"/>
        <v>33.812345404302683</v>
      </c>
      <c r="AR123">
        <f t="shared" si="103"/>
        <v>38.442074388530287</v>
      </c>
      <c r="AS123">
        <f t="shared" si="104"/>
        <v>46.366341797314831</v>
      </c>
      <c r="AT123">
        <f t="shared" si="105"/>
        <v>45.237797913019605</v>
      </c>
      <c r="AU123">
        <f t="shared" si="106"/>
        <v>34.276246104125086</v>
      </c>
      <c r="AV123">
        <f t="shared" si="107"/>
        <v>46.165599312664412</v>
      </c>
      <c r="AW123">
        <f t="shared" si="108"/>
        <v>30.666255203688912</v>
      </c>
      <c r="AX123">
        <f t="shared" si="109"/>
        <v>48.384731569451233</v>
      </c>
      <c r="AY123">
        <f t="shared" si="110"/>
        <v>27.84067821386153</v>
      </c>
      <c r="AZ123">
        <f t="shared" si="111"/>
        <v>28.441218756177079</v>
      </c>
      <c r="BA123">
        <f t="shared" si="112"/>
        <v>30.234405824945142</v>
      </c>
      <c r="BB123">
        <f t="shared" si="113"/>
        <v>41.2609037318148</v>
      </c>
      <c r="BC123" s="2">
        <f t="shared" si="83"/>
        <v>34.67509949127421</v>
      </c>
      <c r="BD123">
        <f t="shared" si="84"/>
        <v>51.713891374425657</v>
      </c>
      <c r="BE123">
        <f t="shared" si="85"/>
        <v>7.1912371240577002</v>
      </c>
      <c r="BF123" s="12">
        <f t="shared" si="86"/>
        <v>35.12944521456069</v>
      </c>
      <c r="BG123">
        <f t="shared" si="87"/>
        <v>-0.4543457232864796</v>
      </c>
      <c r="BH123">
        <f t="shared" si="88"/>
        <v>0.20643003626871428</v>
      </c>
    </row>
    <row r="124" spans="1:60" x14ac:dyDescent="0.25">
      <c r="A124" s="7">
        <v>113</v>
      </c>
      <c r="B124" s="9">
        <f t="shared" si="82"/>
        <v>35.711978321100467</v>
      </c>
      <c r="C124">
        <v>-0.43614001892147591</v>
      </c>
      <c r="D124">
        <v>-0.75475325785088654</v>
      </c>
      <c r="E124">
        <v>0.7559739982299265</v>
      </c>
      <c r="F124">
        <v>-5.0752281258583332E-2</v>
      </c>
      <c r="G124">
        <v>2.438428907132173E-2</v>
      </c>
      <c r="H124">
        <v>-0.65947447126682335</v>
      </c>
      <c r="I124">
        <v>0.24710837122714935</v>
      </c>
      <c r="J124">
        <v>-0.4761803033539842</v>
      </c>
      <c r="K124">
        <v>-0.98052919095431379</v>
      </c>
      <c r="L124">
        <v>-0.391155735953856</v>
      </c>
      <c r="M124">
        <v>0.45084994048890659</v>
      </c>
      <c r="N124">
        <v>-0.42191839350566118</v>
      </c>
      <c r="O124">
        <v>-0.21372112186040837</v>
      </c>
      <c r="P124">
        <v>-0.2576677755058443</v>
      </c>
      <c r="Q124">
        <v>-0.91924802392651139</v>
      </c>
      <c r="R124">
        <v>-0.39927365947447124</v>
      </c>
      <c r="S124">
        <v>0.96911526841029083</v>
      </c>
      <c r="T124">
        <v>-0.5229956968901639</v>
      </c>
      <c r="U124">
        <v>0.92217780083620715</v>
      </c>
      <c r="V124">
        <v>0.2568132572405164</v>
      </c>
      <c r="W124">
        <v>0.51127658925138086</v>
      </c>
      <c r="X124">
        <v>0.16727195043794052</v>
      </c>
      <c r="Y124">
        <v>-0.64183477278969692</v>
      </c>
      <c r="Z124">
        <v>5.7771538438062597E-2</v>
      </c>
      <c r="AA124">
        <v>-0.10519730216376233</v>
      </c>
      <c r="AC124" s="7">
        <v>113</v>
      </c>
      <c r="AD124">
        <f t="shared" si="89"/>
        <v>29.685064774589559</v>
      </c>
      <c r="AE124">
        <f t="shared" si="90"/>
        <v>25.282225405365999</v>
      </c>
      <c r="AF124">
        <f t="shared" si="91"/>
        <v>46.158600353192114</v>
      </c>
      <c r="AG124">
        <f t="shared" si="92"/>
        <v>35.010644808550779</v>
      </c>
      <c r="AH124">
        <f t="shared" si="93"/>
        <v>36.048938920335104</v>
      </c>
      <c r="AI124">
        <f t="shared" si="94"/>
        <v>26.59885993704377</v>
      </c>
      <c r="AJ124">
        <f t="shared" si="95"/>
        <v>39.126709199702304</v>
      </c>
      <c r="AK124">
        <f t="shared" si="96"/>
        <v>29.131757758074109</v>
      </c>
      <c r="AL124">
        <f t="shared" si="97"/>
        <v>22.162282335105857</v>
      </c>
      <c r="AM124">
        <f t="shared" si="98"/>
        <v>30.306691712351583</v>
      </c>
      <c r="AN124">
        <f t="shared" si="99"/>
        <v>41.942164719715379</v>
      </c>
      <c r="AO124">
        <f t="shared" si="100"/>
        <v>29.881589980150686</v>
      </c>
      <c r="AP124">
        <f t="shared" si="101"/>
        <v>32.75861777486746</v>
      </c>
      <c r="AQ124">
        <f t="shared" si="102"/>
        <v>32.151329586009041</v>
      </c>
      <c r="AR124">
        <f t="shared" si="103"/>
        <v>23.009111976236213</v>
      </c>
      <c r="AS124">
        <f t="shared" si="104"/>
        <v>30.194512088576346</v>
      </c>
      <c r="AT124">
        <f t="shared" si="105"/>
        <v>49.103948069155464</v>
      </c>
      <c r="AU124">
        <f t="shared" si="106"/>
        <v>28.484827145776315</v>
      </c>
      <c r="AV124">
        <f t="shared" si="107"/>
        <v>48.455330545221955</v>
      </c>
      <c r="AW124">
        <f t="shared" si="108"/>
        <v>39.26081867474187</v>
      </c>
      <c r="AX124">
        <f t="shared" si="109"/>
        <v>42.777185979395703</v>
      </c>
      <c r="AY124">
        <f t="shared" si="110"/>
        <v>38.023468989942835</v>
      </c>
      <c r="AZ124">
        <f t="shared" si="111"/>
        <v>26.842618668405002</v>
      </c>
      <c r="BA124">
        <f t="shared" si="112"/>
        <v>36.510309252703934</v>
      </c>
      <c r="BB124">
        <f t="shared" si="113"/>
        <v>34.258282219020622</v>
      </c>
      <c r="BC124" s="2">
        <f t="shared" si="83"/>
        <v>34.126635634969197</v>
      </c>
      <c r="BD124">
        <f t="shared" si="84"/>
        <v>57.170105912415998</v>
      </c>
      <c r="BE124">
        <f t="shared" si="85"/>
        <v>7.561091582067764</v>
      </c>
      <c r="BF124" s="12">
        <f t="shared" si="86"/>
        <v>35.4175474328581</v>
      </c>
      <c r="BG124">
        <f t="shared" si="87"/>
        <v>-1.2909117978889029</v>
      </c>
      <c r="BH124">
        <f t="shared" si="88"/>
        <v>1.6664532699287595</v>
      </c>
    </row>
    <row r="125" spans="1:60" x14ac:dyDescent="0.25">
      <c r="A125" s="7">
        <v>114</v>
      </c>
      <c r="B125" s="9">
        <f t="shared" si="82"/>
        <v>36.003562721150224</v>
      </c>
      <c r="C125">
        <v>-0.68279061250648521</v>
      </c>
      <c r="D125">
        <v>-0.9744865260780663</v>
      </c>
      <c r="E125">
        <v>0.64513077181310474</v>
      </c>
      <c r="F125">
        <v>0.54008606219672228</v>
      </c>
      <c r="G125">
        <v>0.63206884975737787</v>
      </c>
      <c r="H125">
        <v>-8.8534195989867892E-2</v>
      </c>
      <c r="I125">
        <v>-0.25034333323160496</v>
      </c>
      <c r="J125">
        <v>-0.82232123783074429</v>
      </c>
      <c r="K125">
        <v>-0.84917752616962194</v>
      </c>
      <c r="L125">
        <v>0.20456556901760914</v>
      </c>
      <c r="M125">
        <v>-0.11136204107791381</v>
      </c>
      <c r="N125">
        <v>6.6225165562914245E-3</v>
      </c>
      <c r="O125">
        <v>2.4079103976561766E-2</v>
      </c>
      <c r="P125">
        <v>0.21195104831080047</v>
      </c>
      <c r="Q125">
        <v>-0.13553270058290356</v>
      </c>
      <c r="R125">
        <v>0.44883571886349061</v>
      </c>
      <c r="S125">
        <v>0.49845881527146219</v>
      </c>
      <c r="T125">
        <v>0.65526291695913574</v>
      </c>
      <c r="U125">
        <v>-0.87389751884517963</v>
      </c>
      <c r="V125">
        <v>0.31473738822595898</v>
      </c>
      <c r="W125">
        <v>-0.32895901364177371</v>
      </c>
      <c r="X125">
        <v>-0.34141056550798055</v>
      </c>
      <c r="Y125">
        <v>5.6367687002166766E-2</v>
      </c>
      <c r="Z125">
        <v>-0.80889309366130557</v>
      </c>
      <c r="AA125">
        <v>-0.42466505935850096</v>
      </c>
      <c r="AC125" s="7">
        <v>114</v>
      </c>
      <c r="AD125">
        <f t="shared" si="89"/>
        <v>26.568244214671424</v>
      </c>
      <c r="AE125">
        <f t="shared" si="90"/>
        <v>22.537368861123646</v>
      </c>
      <c r="AF125">
        <f t="shared" si="91"/>
        <v>44.918468988010076</v>
      </c>
      <c r="AG125">
        <f t="shared" si="92"/>
        <v>43.466881525474875</v>
      </c>
      <c r="AH125">
        <f t="shared" si="93"/>
        <v>44.737969442988266</v>
      </c>
      <c r="AI125">
        <f t="shared" si="94"/>
        <v>34.780130057345865</v>
      </c>
      <c r="AJ125">
        <f t="shared" si="95"/>
        <v>32.544128684201866</v>
      </c>
      <c r="AK125">
        <f t="shared" si="96"/>
        <v>24.640104215045934</v>
      </c>
      <c r="AL125">
        <f t="shared" si="97"/>
        <v>24.268983655188009</v>
      </c>
      <c r="AM125">
        <f t="shared" si="98"/>
        <v>38.830404894704394</v>
      </c>
      <c r="AN125">
        <f t="shared" si="99"/>
        <v>34.464677581466624</v>
      </c>
      <c r="AO125">
        <f t="shared" si="100"/>
        <v>36.09507767738792</v>
      </c>
      <c r="AP125">
        <f t="shared" si="101"/>
        <v>36.336306041295565</v>
      </c>
      <c r="AQ125">
        <f t="shared" si="102"/>
        <v>38.932463048665319</v>
      </c>
      <c r="AR125">
        <f t="shared" si="103"/>
        <v>34.13066907759449</v>
      </c>
      <c r="AS125">
        <f t="shared" si="104"/>
        <v>42.205915077775785</v>
      </c>
      <c r="AT125">
        <f t="shared" si="105"/>
        <v>42.891644657695089</v>
      </c>
      <c r="AU125">
        <f t="shared" si="106"/>
        <v>45.058482653774654</v>
      </c>
      <c r="AV125">
        <f t="shared" si="107"/>
        <v>23.927384048955147</v>
      </c>
      <c r="AW125">
        <f t="shared" si="108"/>
        <v>40.352842645939745</v>
      </c>
      <c r="AX125">
        <f t="shared" si="109"/>
        <v>31.457757590799581</v>
      </c>
      <c r="AY125">
        <f t="shared" si="110"/>
        <v>31.28569260395636</v>
      </c>
      <c r="AZ125">
        <f t="shared" si="111"/>
        <v>36.782494168942932</v>
      </c>
      <c r="BA125">
        <f t="shared" si="112"/>
        <v>24.825664494974895</v>
      </c>
      <c r="BB125">
        <f t="shared" si="113"/>
        <v>30.135218868396791</v>
      </c>
      <c r="BC125" s="2">
        <f t="shared" si="83"/>
        <v>34.646998991055007</v>
      </c>
      <c r="BD125">
        <f t="shared" si="84"/>
        <v>53.093750499857379</v>
      </c>
      <c r="BE125">
        <f t="shared" si="85"/>
        <v>7.2865458551948592</v>
      </c>
      <c r="BF125" s="12">
        <f t="shared" si="86"/>
        <v>35.705649651155511</v>
      </c>
      <c r="BG125">
        <f t="shared" si="87"/>
        <v>-1.0586506601005041</v>
      </c>
      <c r="BH125">
        <f t="shared" si="88"/>
        <v>1.1207412201312332</v>
      </c>
    </row>
    <row r="126" spans="1:60" x14ac:dyDescent="0.25">
      <c r="A126" s="7">
        <v>115</v>
      </c>
      <c r="B126" s="9">
        <f t="shared" si="82"/>
        <v>36.295147121199989</v>
      </c>
      <c r="C126">
        <v>-0.26029236732078009</v>
      </c>
      <c r="D126">
        <v>0.24765770439771728</v>
      </c>
      <c r="E126">
        <v>-0.13565477462080755</v>
      </c>
      <c r="F126">
        <v>0.16202276680806915</v>
      </c>
      <c r="G126">
        <v>-0.88225959044160285</v>
      </c>
      <c r="H126">
        <v>-0.17166661580248421</v>
      </c>
      <c r="I126">
        <v>0.59099093600268571</v>
      </c>
      <c r="J126">
        <v>-0.26340525528733172</v>
      </c>
      <c r="K126">
        <v>0.6504409924619281</v>
      </c>
      <c r="L126">
        <v>-9.7567674794763026E-2</v>
      </c>
      <c r="M126">
        <v>2.8534806360057452E-2</v>
      </c>
      <c r="N126">
        <v>-0.58299508651997434</v>
      </c>
      <c r="O126">
        <v>0.7117221594897305</v>
      </c>
      <c r="P126">
        <v>-0.83495590075380721</v>
      </c>
      <c r="Q126">
        <v>-0.3605151524399548</v>
      </c>
      <c r="R126">
        <v>-0.82744834742271189</v>
      </c>
      <c r="S126">
        <v>-0.67577135532700583</v>
      </c>
      <c r="T126">
        <v>0.75634022034363846</v>
      </c>
      <c r="U126">
        <v>-0.62034974211859495</v>
      </c>
      <c r="V126">
        <v>7.9042939542832702E-3</v>
      </c>
      <c r="W126">
        <v>-0.14218573564867087</v>
      </c>
      <c r="X126">
        <v>0.4157536545915097</v>
      </c>
      <c r="Y126">
        <v>-0.51542710654011659</v>
      </c>
      <c r="Z126">
        <v>-0.14603106784264652</v>
      </c>
      <c r="AA126">
        <v>-0.39347514267403183</v>
      </c>
      <c r="AC126" s="7">
        <v>115</v>
      </c>
      <c r="AD126">
        <f t="shared" si="89"/>
        <v>32.698229785940626</v>
      </c>
      <c r="AE126">
        <f t="shared" si="90"/>
        <v>39.717469102162553</v>
      </c>
      <c r="AF126">
        <f t="shared" si="91"/>
        <v>34.420566566008539</v>
      </c>
      <c r="AG126">
        <f t="shared" si="92"/>
        <v>38.53410058970649</v>
      </c>
      <c r="AH126">
        <f t="shared" si="93"/>
        <v>24.10341500195824</v>
      </c>
      <c r="AI126">
        <f t="shared" si="94"/>
        <v>33.92292763347178</v>
      </c>
      <c r="AJ126">
        <f t="shared" si="95"/>
        <v>44.461908077618979</v>
      </c>
      <c r="AK126">
        <f t="shared" si="96"/>
        <v>32.65521353922982</v>
      </c>
      <c r="AL126">
        <f t="shared" si="97"/>
        <v>45.283434044213564</v>
      </c>
      <c r="AM126">
        <f t="shared" si="98"/>
        <v>34.946882996352507</v>
      </c>
      <c r="AN126">
        <f t="shared" si="99"/>
        <v>36.689462716049036</v>
      </c>
      <c r="AO126">
        <f t="shared" si="100"/>
        <v>28.23887887692052</v>
      </c>
      <c r="AP126">
        <f t="shared" si="101"/>
        <v>46.13026368534392</v>
      </c>
      <c r="AQ126">
        <f t="shared" si="102"/>
        <v>24.7570932607989</v>
      </c>
      <c r="AR126">
        <f t="shared" si="103"/>
        <v>31.313275333016282</v>
      </c>
      <c r="AS126">
        <f t="shared" si="104"/>
        <v>24.860838326395548</v>
      </c>
      <c r="AT126">
        <f t="shared" si="105"/>
        <v>26.956826033774963</v>
      </c>
      <c r="AU126">
        <f t="shared" si="106"/>
        <v>46.746829888198789</v>
      </c>
      <c r="AV126">
        <f t="shared" si="107"/>
        <v>27.722683916390864</v>
      </c>
      <c r="AW126">
        <f t="shared" si="108"/>
        <v>36.40437464961272</v>
      </c>
      <c r="AX126">
        <f t="shared" si="109"/>
        <v>34.330316793497637</v>
      </c>
      <c r="AY126">
        <f t="shared" si="110"/>
        <v>42.040346424546016</v>
      </c>
      <c r="AZ126">
        <f t="shared" si="111"/>
        <v>29.172584467290342</v>
      </c>
      <c r="BA126">
        <f t="shared" si="112"/>
        <v>34.277179076972523</v>
      </c>
      <c r="BB126">
        <f t="shared" si="113"/>
        <v>30.857809191372464</v>
      </c>
      <c r="BC126" s="2">
        <f t="shared" si="83"/>
        <v>34.449716399073743</v>
      </c>
      <c r="BD126">
        <f t="shared" si="84"/>
        <v>46.104536309382944</v>
      </c>
      <c r="BE126">
        <f t="shared" si="85"/>
        <v>6.790032128744528</v>
      </c>
      <c r="BF126" s="12">
        <f t="shared" si="86"/>
        <v>35.993751869452915</v>
      </c>
      <c r="BG126">
        <f t="shared" si="87"/>
        <v>-1.5440354703791712</v>
      </c>
      <c r="BH126">
        <f t="shared" si="88"/>
        <v>2.3840455337890285</v>
      </c>
    </row>
    <row r="127" spans="1:60" x14ac:dyDescent="0.25">
      <c r="A127" s="7">
        <v>116</v>
      </c>
      <c r="B127" s="9">
        <f t="shared" si="82"/>
        <v>36.586731521249746</v>
      </c>
      <c r="C127">
        <v>3.0518509475996325E-5</v>
      </c>
      <c r="D127">
        <v>0.16617328409680465</v>
      </c>
      <c r="E127">
        <v>-0.27164525284585106</v>
      </c>
      <c r="F127">
        <v>-0.4421826837977233</v>
      </c>
      <c r="G127">
        <v>-0.57316812646870319</v>
      </c>
      <c r="H127">
        <v>3.195287942136904E-2</v>
      </c>
      <c r="I127">
        <v>-0.27237769707327497</v>
      </c>
      <c r="J127">
        <v>0.66508987701040678</v>
      </c>
      <c r="K127">
        <v>-0.89349040192876983</v>
      </c>
      <c r="L127">
        <v>-0.9608752708517716</v>
      </c>
      <c r="M127">
        <v>-0.58568071535386212</v>
      </c>
      <c r="N127">
        <v>0.93670461134678185</v>
      </c>
      <c r="O127">
        <v>-7.498397778252508E-2</v>
      </c>
      <c r="P127">
        <v>0.79705191198461867</v>
      </c>
      <c r="Q127">
        <v>0.16122928556169325</v>
      </c>
      <c r="R127">
        <v>0.65428632465590386</v>
      </c>
      <c r="S127">
        <v>0.83935056611835068</v>
      </c>
      <c r="T127">
        <v>2.8778954435865423E-2</v>
      </c>
      <c r="U127">
        <v>1.4374217963194713E-2</v>
      </c>
      <c r="V127">
        <v>3.1769768364513062E-2</v>
      </c>
      <c r="W127">
        <v>-0.85015411847285383</v>
      </c>
      <c r="X127">
        <v>6.4394054994354466E-3</v>
      </c>
      <c r="Y127">
        <v>0.63908810693685725</v>
      </c>
      <c r="Z127">
        <v>0.62913907284768222</v>
      </c>
      <c r="AA127">
        <v>-0.49015778069399085</v>
      </c>
      <c r="AC127" s="7">
        <v>116</v>
      </c>
      <c r="AD127">
        <f t="shared" si="89"/>
        <v>36.587153249158675</v>
      </c>
      <c r="AE127">
        <f t="shared" si="90"/>
        <v>38.883039985370651</v>
      </c>
      <c r="AF127">
        <f t="shared" si="91"/>
        <v>32.832931403868628</v>
      </c>
      <c r="AG127">
        <f t="shared" si="92"/>
        <v>30.476315848770803</v>
      </c>
      <c r="AH127">
        <f t="shared" si="93"/>
        <v>28.666259663645565</v>
      </c>
      <c r="AI127">
        <f t="shared" si="94"/>
        <v>37.028280641898888</v>
      </c>
      <c r="AJ127">
        <f t="shared" si="95"/>
        <v>32.82280993405432</v>
      </c>
      <c r="AK127">
        <f t="shared" si="96"/>
        <v>45.777447840549463</v>
      </c>
      <c r="AL127">
        <f t="shared" si="97"/>
        <v>24.239803531521954</v>
      </c>
      <c r="AM127">
        <f t="shared" si="98"/>
        <v>23.308628308605705</v>
      </c>
      <c r="AN127">
        <f t="shared" si="99"/>
        <v>28.493351220984486</v>
      </c>
      <c r="AO127">
        <f t="shared" si="100"/>
        <v>49.530826230021653</v>
      </c>
      <c r="AP127">
        <f t="shared" si="101"/>
        <v>35.550546049010066</v>
      </c>
      <c r="AQ127">
        <f t="shared" si="102"/>
        <v>47.600999318760444</v>
      </c>
      <c r="AR127">
        <f t="shared" si="103"/>
        <v>38.814720064124081</v>
      </c>
      <c r="AS127">
        <f t="shared" si="104"/>
        <v>45.628156160788436</v>
      </c>
      <c r="AT127">
        <f t="shared" si="105"/>
        <v>48.185514200536673</v>
      </c>
      <c r="AU127">
        <f t="shared" si="106"/>
        <v>36.984420939370224</v>
      </c>
      <c r="AV127">
        <f t="shared" si="107"/>
        <v>36.785365366355521</v>
      </c>
      <c r="AW127">
        <f t="shared" si="108"/>
        <v>37.025750274445315</v>
      </c>
      <c r="AX127">
        <f t="shared" si="109"/>
        <v>24.838657162201784</v>
      </c>
      <c r="AY127">
        <f t="shared" si="110"/>
        <v>36.675716110033861</v>
      </c>
      <c r="AZ127">
        <f t="shared" si="111"/>
        <v>45.418135662141566</v>
      </c>
      <c r="BA127">
        <f t="shared" si="112"/>
        <v>45.280652363830555</v>
      </c>
      <c r="BB127">
        <f t="shared" si="113"/>
        <v>29.813359575933696</v>
      </c>
      <c r="BC127" s="2">
        <f t="shared" si="83"/>
        <v>36.689953644239317</v>
      </c>
      <c r="BD127">
        <f t="shared" si="84"/>
        <v>60.887916290823341</v>
      </c>
      <c r="BE127">
        <f t="shared" si="85"/>
        <v>7.8030709525688247</v>
      </c>
      <c r="BF127" s="12">
        <f t="shared" si="86"/>
        <v>36.281854087750325</v>
      </c>
      <c r="BG127">
        <f t="shared" si="87"/>
        <v>0.40809955648899177</v>
      </c>
      <c r="BH127">
        <f t="shared" si="88"/>
        <v>0.16654524800651177</v>
      </c>
    </row>
    <row r="128" spans="1:60" x14ac:dyDescent="0.25">
      <c r="A128" s="7">
        <v>117</v>
      </c>
      <c r="B128" s="9">
        <f t="shared" si="82"/>
        <v>36.87831592129951</v>
      </c>
      <c r="C128">
        <v>-0.22910245063631096</v>
      </c>
      <c r="D128">
        <v>0.9097872859889522</v>
      </c>
      <c r="E128">
        <v>0.83178197576830337</v>
      </c>
      <c r="F128">
        <v>0.73668630024109616</v>
      </c>
      <c r="G128">
        <v>-5.0508133182775361E-2</v>
      </c>
      <c r="H128">
        <v>0.70720542008728304</v>
      </c>
      <c r="I128">
        <v>0.70940275276955478</v>
      </c>
      <c r="J128">
        <v>0.48545793023468731</v>
      </c>
      <c r="K128">
        <v>0.9838251899777215</v>
      </c>
      <c r="L128">
        <v>-0.51499984740745264</v>
      </c>
      <c r="M128">
        <v>0.56596575823236783</v>
      </c>
      <c r="N128">
        <v>0.84936063722647792</v>
      </c>
      <c r="O128">
        <v>0.57994323557237459</v>
      </c>
      <c r="P128">
        <v>-0.83135471663563953</v>
      </c>
      <c r="Q128">
        <v>0.49363689077425454</v>
      </c>
      <c r="R128">
        <v>0.9472640156254768</v>
      </c>
      <c r="S128">
        <v>0.19437238685262614</v>
      </c>
      <c r="T128">
        <v>-5.1789910580767207E-2</v>
      </c>
      <c r="U128">
        <v>-0.75695059053315839</v>
      </c>
      <c r="V128">
        <v>-0.43687246314889983</v>
      </c>
      <c r="W128">
        <v>-0.63292336802270577</v>
      </c>
      <c r="X128">
        <v>0.52903836176641139</v>
      </c>
      <c r="Y128">
        <v>-0.27701651051362652</v>
      </c>
      <c r="Z128">
        <v>-0.10214545121616259</v>
      </c>
      <c r="AA128">
        <v>-0.28495132297738579</v>
      </c>
      <c r="AC128" s="7">
        <v>117</v>
      </c>
      <c r="AD128">
        <f t="shared" si="89"/>
        <v>33.712404508966053</v>
      </c>
      <c r="AE128">
        <f t="shared" si="90"/>
        <v>49.450446614395631</v>
      </c>
      <c r="AF128">
        <f t="shared" si="91"/>
        <v>48.372510079171931</v>
      </c>
      <c r="AG128">
        <f t="shared" si="92"/>
        <v>47.058405914947741</v>
      </c>
      <c r="AH128">
        <f t="shared" si="93"/>
        <v>36.180356232021254</v>
      </c>
      <c r="AI128">
        <f t="shared" si="94"/>
        <v>46.651016754921883</v>
      </c>
      <c r="AJ128">
        <f t="shared" si="95"/>
        <v>46.681381164364801</v>
      </c>
      <c r="AK128">
        <f t="shared" si="96"/>
        <v>43.586741768640422</v>
      </c>
      <c r="AL128">
        <f t="shared" si="97"/>
        <v>50.4735585214585</v>
      </c>
      <c r="AM128">
        <f t="shared" si="98"/>
        <v>29.761657458114875</v>
      </c>
      <c r="AN128">
        <f t="shared" si="99"/>
        <v>44.699259992396335</v>
      </c>
      <c r="AO128">
        <f t="shared" si="100"/>
        <v>48.615425354715306</v>
      </c>
      <c r="AP128">
        <f t="shared" si="101"/>
        <v>44.892411374686034</v>
      </c>
      <c r="AQ128">
        <f t="shared" si="102"/>
        <v>25.390025954152097</v>
      </c>
      <c r="AR128">
        <f t="shared" si="103"/>
        <v>43.699764848233521</v>
      </c>
      <c r="AS128">
        <f t="shared" si="104"/>
        <v>49.968328486561006</v>
      </c>
      <c r="AT128">
        <f t="shared" si="105"/>
        <v>39.564300973271237</v>
      </c>
      <c r="AU128">
        <f t="shared" si="106"/>
        <v>36.162643659846218</v>
      </c>
      <c r="AV128">
        <f t="shared" si="107"/>
        <v>26.418198596122121</v>
      </c>
      <c r="AW128">
        <f t="shared" si="108"/>
        <v>30.841280904974294</v>
      </c>
      <c r="AX128">
        <f t="shared" si="109"/>
        <v>28.132100818011445</v>
      </c>
      <c r="AY128">
        <f t="shared" si="110"/>
        <v>44.188969222591695</v>
      </c>
      <c r="AZ128">
        <f t="shared" si="111"/>
        <v>33.050291691946803</v>
      </c>
      <c r="BA128">
        <f t="shared" si="112"/>
        <v>35.466792610112606</v>
      </c>
      <c r="BB128">
        <f t="shared" si="113"/>
        <v>32.940642435625143</v>
      </c>
      <c r="BC128" s="2">
        <f t="shared" si="83"/>
        <v>39.838356637609962</v>
      </c>
      <c r="BD128">
        <f t="shared" si="84"/>
        <v>66.085561020476845</v>
      </c>
      <c r="BE128">
        <f t="shared" si="85"/>
        <v>8.1293026158752912</v>
      </c>
      <c r="BF128" s="12">
        <f t="shared" si="86"/>
        <v>36.569956306047736</v>
      </c>
      <c r="BG128">
        <f t="shared" si="87"/>
        <v>3.2684003315622263</v>
      </c>
      <c r="BH128">
        <f t="shared" si="88"/>
        <v>10.68244072735607</v>
      </c>
    </row>
    <row r="129" spans="1:60" x14ac:dyDescent="0.25">
      <c r="A129" s="7">
        <v>118</v>
      </c>
      <c r="B129" s="9">
        <f t="shared" si="82"/>
        <v>37.169900321349267</v>
      </c>
      <c r="C129">
        <v>-0.59886471144749298</v>
      </c>
      <c r="D129">
        <v>-0.5594958342234565</v>
      </c>
      <c r="E129">
        <v>-0.50254829554124569</v>
      </c>
      <c r="F129">
        <v>-0.60191656239509261</v>
      </c>
      <c r="G129">
        <v>0.6914578691976685</v>
      </c>
      <c r="H129">
        <v>-0.80419324320200203</v>
      </c>
      <c r="I129">
        <v>-0.5807367168187505</v>
      </c>
      <c r="J129">
        <v>-0.12967314676351205</v>
      </c>
      <c r="K129">
        <v>-0.84026612140263068</v>
      </c>
      <c r="L129">
        <v>0.34330271309549243</v>
      </c>
      <c r="M129">
        <v>-0.30112613299966429</v>
      </c>
      <c r="N129">
        <v>-0.27115695669423501</v>
      </c>
      <c r="O129">
        <v>-9.7811822870570997E-2</v>
      </c>
      <c r="P129">
        <v>-6.8819238868373711E-2</v>
      </c>
      <c r="Q129">
        <v>-0.81939146092104864</v>
      </c>
      <c r="R129">
        <v>-0.52702414014099552</v>
      </c>
      <c r="S129">
        <v>-0.67571031830805384</v>
      </c>
      <c r="T129">
        <v>3.3173619800408893E-2</v>
      </c>
      <c r="U129">
        <v>0.77361369670705282</v>
      </c>
      <c r="V129">
        <v>-1.4130069887386743E-2</v>
      </c>
      <c r="W129">
        <v>0.94586016418958097</v>
      </c>
      <c r="X129">
        <v>0.58330027161473441</v>
      </c>
      <c r="Y129">
        <v>0.19602038636432995</v>
      </c>
      <c r="Z129">
        <v>0.5511337626270334</v>
      </c>
      <c r="AA129">
        <v>0.60002441480758084</v>
      </c>
      <c r="AC129" s="7">
        <v>118</v>
      </c>
      <c r="AD129">
        <f t="shared" si="89"/>
        <v>28.894333564426478</v>
      </c>
      <c r="AE129">
        <f t="shared" si="90"/>
        <v>29.438362566945482</v>
      </c>
      <c r="AF129">
        <f t="shared" si="91"/>
        <v>30.225306845007857</v>
      </c>
      <c r="AG129">
        <f t="shared" si="92"/>
        <v>28.852160773533534</v>
      </c>
      <c r="AH129">
        <f t="shared" si="93"/>
        <v>46.724989553964036</v>
      </c>
      <c r="AI129">
        <f t="shared" si="94"/>
        <v>26.056948193149076</v>
      </c>
      <c r="AJ129">
        <f t="shared" si="95"/>
        <v>29.144839942330577</v>
      </c>
      <c r="AK129">
        <f t="shared" si="96"/>
        <v>35.377978436307991</v>
      </c>
      <c r="AL129">
        <f t="shared" si="97"/>
        <v>25.558465804794452</v>
      </c>
      <c r="AM129">
        <f t="shared" si="98"/>
        <v>41.913917568896757</v>
      </c>
      <c r="AN129">
        <f t="shared" si="99"/>
        <v>33.008711043942291</v>
      </c>
      <c r="AO129">
        <f t="shared" si="100"/>
        <v>33.422847850511019</v>
      </c>
      <c r="AP129">
        <f t="shared" si="101"/>
        <v>35.818262373230347</v>
      </c>
      <c r="AQ129">
        <f t="shared" si="102"/>
        <v>36.218903886713335</v>
      </c>
      <c r="AR129">
        <f t="shared" si="103"/>
        <v>25.846927694502206</v>
      </c>
      <c r="AS129">
        <f t="shared" si="104"/>
        <v>29.887081062046427</v>
      </c>
      <c r="AT129">
        <f t="shared" si="105"/>
        <v>27.832422689742099</v>
      </c>
      <c r="AU129">
        <f t="shared" si="106"/>
        <v>37.628318558355588</v>
      </c>
      <c r="AV129">
        <f t="shared" si="107"/>
        <v>47.860281084802139</v>
      </c>
      <c r="AW129">
        <f t="shared" si="108"/>
        <v>36.974640299514924</v>
      </c>
      <c r="AX129">
        <f t="shared" si="109"/>
        <v>50.240513402800012</v>
      </c>
      <c r="AY129">
        <f t="shared" si="110"/>
        <v>45.230385844718029</v>
      </c>
      <c r="AZ129">
        <f t="shared" si="111"/>
        <v>39.878658680403184</v>
      </c>
      <c r="BA129">
        <f t="shared" si="112"/>
        <v>44.785884628706384</v>
      </c>
      <c r="BB129">
        <f t="shared" si="113"/>
        <v>45.461492738811373</v>
      </c>
      <c r="BC129" s="2">
        <f t="shared" si="83"/>
        <v>35.691305403526229</v>
      </c>
      <c r="BD129">
        <f t="shared" si="84"/>
        <v>59.071655643452686</v>
      </c>
      <c r="BE129">
        <f t="shared" si="85"/>
        <v>7.6858087175945702</v>
      </c>
      <c r="BF129" s="12">
        <f t="shared" si="86"/>
        <v>36.858058524345147</v>
      </c>
      <c r="BG129">
        <f t="shared" si="87"/>
        <v>-1.1667531208189175</v>
      </c>
      <c r="BH129">
        <f t="shared" si="88"/>
        <v>1.3613128449406835</v>
      </c>
    </row>
    <row r="130" spans="1:60" x14ac:dyDescent="0.25">
      <c r="A130" s="7">
        <v>119</v>
      </c>
      <c r="B130" s="9">
        <f t="shared" si="82"/>
        <v>37.461484721399025</v>
      </c>
      <c r="C130">
        <v>2.7680288094729555E-2</v>
      </c>
      <c r="D130">
        <v>-0.72954496902371291</v>
      </c>
      <c r="E130">
        <v>-0.78234199041718799</v>
      </c>
      <c r="F130">
        <v>0.59050263985106977</v>
      </c>
      <c r="G130">
        <v>-0.89477217932676167</v>
      </c>
      <c r="H130">
        <v>-0.16763817255165259</v>
      </c>
      <c r="I130">
        <v>-0.67577135532700583</v>
      </c>
      <c r="J130">
        <v>-0.63304544206060975</v>
      </c>
      <c r="K130">
        <v>6.9307535019989652E-2</v>
      </c>
      <c r="L130">
        <v>-0.68608661152989292</v>
      </c>
      <c r="M130">
        <v>0.9967040009765924</v>
      </c>
      <c r="N130">
        <v>0.28336436048463387</v>
      </c>
      <c r="O130">
        <v>0.66356395153660697</v>
      </c>
      <c r="P130">
        <v>6.7110202337717917E-2</v>
      </c>
      <c r="Q130">
        <v>-0.56968901638843961</v>
      </c>
      <c r="R130">
        <v>5.7985168004393017E-4</v>
      </c>
      <c r="S130">
        <v>-0.83574938200018312</v>
      </c>
      <c r="T130">
        <v>-0.51353495895260481</v>
      </c>
      <c r="U130">
        <v>0.7704397717215492</v>
      </c>
      <c r="V130">
        <v>9.5858638264107121E-2</v>
      </c>
      <c r="W130">
        <v>-0.19833979308450578</v>
      </c>
      <c r="X130">
        <v>0.99615466780602446</v>
      </c>
      <c r="Y130">
        <v>-0.59801019318216497</v>
      </c>
      <c r="Z130">
        <v>0.44212164677877142</v>
      </c>
      <c r="AA130">
        <v>0.87200537125766786</v>
      </c>
      <c r="AC130" s="7">
        <v>119</v>
      </c>
      <c r="AD130">
        <f t="shared" si="89"/>
        <v>37.843991934798048</v>
      </c>
      <c r="AE130">
        <f t="shared" si="90"/>
        <v>27.380079058440288</v>
      </c>
      <c r="AF130">
        <f t="shared" si="91"/>
        <v>26.650489775992327</v>
      </c>
      <c r="AG130">
        <f t="shared" si="92"/>
        <v>45.621498031275138</v>
      </c>
      <c r="AH130">
        <f t="shared" si="93"/>
        <v>25.096844159496193</v>
      </c>
      <c r="AI130">
        <f t="shared" si="94"/>
        <v>35.144933317649503</v>
      </c>
      <c r="AJ130">
        <f t="shared" si="95"/>
        <v>28.123163633973999</v>
      </c>
      <c r="AK130">
        <f t="shared" si="96"/>
        <v>28.713582706475243</v>
      </c>
      <c r="AL130">
        <f t="shared" si="97"/>
        <v>38.419228802577827</v>
      </c>
      <c r="AM130">
        <f t="shared" si="98"/>
        <v>27.980619600755841</v>
      </c>
      <c r="AN130">
        <f t="shared" si="99"/>
        <v>51.234696499126251</v>
      </c>
      <c r="AO130">
        <f t="shared" si="100"/>
        <v>41.377228355809059</v>
      </c>
      <c r="AP130">
        <f t="shared" si="101"/>
        <v>46.631114645252268</v>
      </c>
      <c r="AQ130">
        <f t="shared" si="102"/>
        <v>38.388864393134909</v>
      </c>
      <c r="AR130">
        <f t="shared" si="103"/>
        <v>29.589089845412801</v>
      </c>
      <c r="AS130">
        <f t="shared" si="104"/>
        <v>37.469497551668681</v>
      </c>
      <c r="AT130">
        <f t="shared" si="105"/>
        <v>25.91246593536577</v>
      </c>
      <c r="AU130">
        <f t="shared" si="106"/>
        <v>30.365069197843006</v>
      </c>
      <c r="AV130">
        <f t="shared" si="107"/>
        <v>48.108005782323232</v>
      </c>
      <c r="AW130">
        <f t="shared" si="108"/>
        <v>38.786132083346459</v>
      </c>
      <c r="AX130">
        <f t="shared" si="109"/>
        <v>34.720675041266468</v>
      </c>
      <c r="AY130">
        <f t="shared" si="110"/>
        <v>51.227105396765523</v>
      </c>
      <c r="AZ130">
        <f t="shared" si="111"/>
        <v>29.197726345926263</v>
      </c>
      <c r="BA130">
        <f t="shared" si="112"/>
        <v>43.57105693806011</v>
      </c>
      <c r="BB130">
        <f t="shared" si="113"/>
        <v>49.51151626324048</v>
      </c>
      <c r="BC130" s="2">
        <f t="shared" si="83"/>
        <v>36.682587011839026</v>
      </c>
      <c r="BD130">
        <f t="shared" si="84"/>
        <v>74.228322969994224</v>
      </c>
      <c r="BE130">
        <f t="shared" si="85"/>
        <v>8.6155860491317835</v>
      </c>
      <c r="BF130" s="12">
        <f t="shared" si="86"/>
        <v>37.146160742642557</v>
      </c>
      <c r="BG130">
        <f t="shared" si="87"/>
        <v>-0.4635737308035317</v>
      </c>
      <c r="BH130">
        <f t="shared" si="88"/>
        <v>0.21490060389110527</v>
      </c>
    </row>
    <row r="131" spans="1:60" x14ac:dyDescent="0.25">
      <c r="A131" s="7">
        <v>120</v>
      </c>
      <c r="B131" s="9">
        <f t="shared" si="82"/>
        <v>37.753069121448789</v>
      </c>
      <c r="C131">
        <v>0.96185186315500348</v>
      </c>
      <c r="D131">
        <v>-0.53685110019226667</v>
      </c>
      <c r="E131">
        <v>-8.1026642658772574E-2</v>
      </c>
      <c r="F131">
        <v>0.8544877468184453</v>
      </c>
      <c r="G131">
        <v>-0.40836817529831848</v>
      </c>
      <c r="H131">
        <v>0.39316995757927176</v>
      </c>
      <c r="I131">
        <v>-0.98132267220068969</v>
      </c>
      <c r="J131">
        <v>0.84374523148289438</v>
      </c>
      <c r="K131">
        <v>0.88750877407147444</v>
      </c>
      <c r="L131">
        <v>-0.67229224524674214</v>
      </c>
      <c r="M131">
        <v>-9.1341898861659554E-2</v>
      </c>
      <c r="N131">
        <v>0.61204870754112362</v>
      </c>
      <c r="O131">
        <v>-0.29032258064516125</v>
      </c>
      <c r="P131">
        <v>0.15567491683706169</v>
      </c>
      <c r="Q131">
        <v>0.51377910702841278</v>
      </c>
      <c r="R131">
        <v>0.61198767052217162</v>
      </c>
      <c r="S131">
        <v>-0.98242133854182567</v>
      </c>
      <c r="T131">
        <v>4.6784875026703698E-2</v>
      </c>
      <c r="U131">
        <v>0.18088320566423532</v>
      </c>
      <c r="V131">
        <v>-0.7661061433759575</v>
      </c>
      <c r="W131">
        <v>-0.65172276985992006</v>
      </c>
      <c r="X131">
        <v>-0.73412274544511247</v>
      </c>
      <c r="Y131">
        <v>-0.51255836664937282</v>
      </c>
      <c r="Z131">
        <v>-0.37070833460493791</v>
      </c>
      <c r="AA131">
        <v>-0.40397350993377479</v>
      </c>
      <c r="AC131" s="7">
        <v>120</v>
      </c>
      <c r="AD131">
        <f t="shared" si="89"/>
        <v>51.044667627178569</v>
      </c>
      <c r="AE131">
        <f t="shared" si="90"/>
        <v>30.33445347547066</v>
      </c>
      <c r="AF131">
        <f t="shared" si="91"/>
        <v>36.63338152324107</v>
      </c>
      <c r="AG131">
        <f t="shared" si="92"/>
        <v>49.561028843564728</v>
      </c>
      <c r="AH131">
        <f t="shared" si="93"/>
        <v>32.109927972063687</v>
      </c>
      <c r="AI131">
        <f t="shared" si="94"/>
        <v>43.186189772187021</v>
      </c>
      <c r="AJ131">
        <f t="shared" si="95"/>
        <v>24.192408209822013</v>
      </c>
      <c r="AK131">
        <f t="shared" si="96"/>
        <v>49.412580619621565</v>
      </c>
      <c r="AL131">
        <f t="shared" si="97"/>
        <v>50.017338441026411</v>
      </c>
      <c r="AM131">
        <f t="shared" si="98"/>
        <v>28.46282501564172</v>
      </c>
      <c r="AN131">
        <f t="shared" si="99"/>
        <v>36.490837490022919</v>
      </c>
      <c r="AO131">
        <f t="shared" si="100"/>
        <v>46.2108223350291</v>
      </c>
      <c r="AP131">
        <f t="shared" si="101"/>
        <v>33.741171523802841</v>
      </c>
      <c r="AQ131">
        <f t="shared" si="102"/>
        <v>39.904303184897962</v>
      </c>
      <c r="AR131">
        <f t="shared" si="103"/>
        <v>44.852858468276246</v>
      </c>
      <c r="AS131">
        <f t="shared" si="104"/>
        <v>46.209978879211242</v>
      </c>
      <c r="AT131">
        <f t="shared" si="105"/>
        <v>24.17722600510055</v>
      </c>
      <c r="AU131">
        <f t="shared" si="106"/>
        <v>38.399578005837654</v>
      </c>
      <c r="AV131">
        <f t="shared" si="107"/>
        <v>40.252650437673694</v>
      </c>
      <c r="AW131">
        <f t="shared" si="108"/>
        <v>27.166433423592562</v>
      </c>
      <c r="AX131">
        <f t="shared" si="109"/>
        <v>28.747069626260178</v>
      </c>
      <c r="AY131">
        <f t="shared" si="110"/>
        <v>27.608404272150636</v>
      </c>
      <c r="AZ131">
        <f t="shared" si="111"/>
        <v>30.670148890978513</v>
      </c>
      <c r="BA131">
        <f t="shared" si="112"/>
        <v>32.630340211682643</v>
      </c>
      <c r="BB131">
        <f t="shared" si="113"/>
        <v>32.170656790949529</v>
      </c>
      <c r="BC131" s="2">
        <f t="shared" si="83"/>
        <v>36.967491241811352</v>
      </c>
      <c r="BD131">
        <f t="shared" si="84"/>
        <v>74.387270041021111</v>
      </c>
      <c r="BE131">
        <f t="shared" si="85"/>
        <v>8.6248055074315211</v>
      </c>
      <c r="BF131" s="12">
        <f t="shared" si="86"/>
        <v>37.434262960939961</v>
      </c>
      <c r="BG131">
        <f t="shared" si="87"/>
        <v>-0.46677171912860871</v>
      </c>
      <c r="BH131">
        <f t="shared" si="88"/>
        <v>0.21787583777827677</v>
      </c>
    </row>
    <row r="132" spans="1:60" x14ac:dyDescent="0.25">
      <c r="A132" s="7">
        <v>121</v>
      </c>
      <c r="B132" s="9">
        <f t="shared" si="82"/>
        <v>38.044653521498546</v>
      </c>
      <c r="C132">
        <v>-0.91564683980834372</v>
      </c>
      <c r="D132">
        <v>-0.24259163182470167</v>
      </c>
      <c r="E132">
        <v>-0.58690145573290198</v>
      </c>
      <c r="F132">
        <v>-0.84484389782403024</v>
      </c>
      <c r="G132">
        <v>-0.3987853633228553</v>
      </c>
      <c r="H132">
        <v>0.84667500839259002</v>
      </c>
      <c r="I132">
        <v>-0.44242683187353127</v>
      </c>
      <c r="J132">
        <v>0.48875392925809513</v>
      </c>
      <c r="K132">
        <v>0.28775902584917756</v>
      </c>
      <c r="L132">
        <v>0.76055177465132595</v>
      </c>
      <c r="M132">
        <v>-0.20993682668538471</v>
      </c>
      <c r="N132">
        <v>0.18533890804773101</v>
      </c>
      <c r="O132">
        <v>-0.93340861232337413</v>
      </c>
      <c r="P132">
        <v>-0.33433027130954929</v>
      </c>
      <c r="Q132">
        <v>0.8069399090548417</v>
      </c>
      <c r="R132">
        <v>-0.43314920499282816</v>
      </c>
      <c r="S132">
        <v>0.73882259590441612</v>
      </c>
      <c r="T132">
        <v>-0.14102603228858301</v>
      </c>
      <c r="U132">
        <v>0.61680959501937926</v>
      </c>
      <c r="V132">
        <v>0.90929898983733626</v>
      </c>
      <c r="W132">
        <v>0.57109286782433544</v>
      </c>
      <c r="X132">
        <v>0.25620288705099648</v>
      </c>
      <c r="Y132">
        <v>-0.6751609851374859</v>
      </c>
      <c r="Z132">
        <v>0.33951841792046866</v>
      </c>
      <c r="AA132">
        <v>-0.14450514236884671</v>
      </c>
      <c r="AC132" s="7">
        <v>121</v>
      </c>
      <c r="AD132">
        <f t="shared" si="89"/>
        <v>25.391551069887967</v>
      </c>
      <c r="AE132">
        <f t="shared" si="90"/>
        <v>34.692338373418274</v>
      </c>
      <c r="AF132">
        <f t="shared" si="91"/>
        <v>29.934404104876108</v>
      </c>
      <c r="AG132">
        <f t="shared" si="92"/>
        <v>26.369959818604315</v>
      </c>
      <c r="AH132">
        <f t="shared" si="93"/>
        <v>32.533934935517294</v>
      </c>
      <c r="AI132">
        <f t="shared" si="94"/>
        <v>49.744650898928548</v>
      </c>
      <c r="AJ132">
        <f t="shared" si="95"/>
        <v>31.930864025748168</v>
      </c>
      <c r="AK132">
        <f t="shared" si="96"/>
        <v>44.798625983003845</v>
      </c>
      <c r="AL132">
        <f t="shared" si="97"/>
        <v>42.021125974794423</v>
      </c>
      <c r="AM132">
        <f t="shared" si="98"/>
        <v>48.554534739929608</v>
      </c>
      <c r="AN132">
        <f t="shared" si="99"/>
        <v>35.143587235972795</v>
      </c>
      <c r="AO132">
        <f t="shared" si="100"/>
        <v>40.605807112427158</v>
      </c>
      <c r="AP132">
        <f t="shared" si="101"/>
        <v>25.146105426891019</v>
      </c>
      <c r="AQ132">
        <f t="shared" si="102"/>
        <v>33.424624279176314</v>
      </c>
      <c r="AR132">
        <f t="shared" si="103"/>
        <v>49.19556116150239</v>
      </c>
      <c r="AS132">
        <f t="shared" si="104"/>
        <v>32.059069310062725</v>
      </c>
      <c r="AT132">
        <f t="shared" si="105"/>
        <v>48.254264468771837</v>
      </c>
      <c r="AU132">
        <f t="shared" si="106"/>
        <v>36.095848854335514</v>
      </c>
      <c r="AV132">
        <f t="shared" si="107"/>
        <v>46.56819628887186</v>
      </c>
      <c r="AW132">
        <f t="shared" si="108"/>
        <v>50.610036568051797</v>
      </c>
      <c r="AX132">
        <f t="shared" si="109"/>
        <v>45.936447881295521</v>
      </c>
      <c r="AY132">
        <f t="shared" si="110"/>
        <v>41.585059316961363</v>
      </c>
      <c r="AZ132">
        <f t="shared" si="111"/>
        <v>28.714766992252109</v>
      </c>
      <c r="BA132">
        <f t="shared" si="112"/>
        <v>42.736376508338786</v>
      </c>
      <c r="BB132">
        <f t="shared" si="113"/>
        <v>36.047771872717554</v>
      </c>
      <c r="BC132" s="2">
        <f t="shared" si="83"/>
        <v>38.323820528093485</v>
      </c>
      <c r="BD132">
        <f t="shared" si="84"/>
        <v>68.220237950195042</v>
      </c>
      <c r="BE132">
        <f t="shared" si="85"/>
        <v>8.2595543433162923</v>
      </c>
      <c r="BF132" s="12">
        <f t="shared" si="86"/>
        <v>37.722365179237372</v>
      </c>
      <c r="BG132">
        <f t="shared" si="87"/>
        <v>0.6014553488561134</v>
      </c>
      <c r="BH132">
        <f t="shared" si="88"/>
        <v>0.36174853666762907</v>
      </c>
    </row>
    <row r="133" spans="1:60" x14ac:dyDescent="0.25">
      <c r="A133" s="7">
        <v>122</v>
      </c>
      <c r="B133" s="9">
        <f t="shared" si="82"/>
        <v>38.33623792154831</v>
      </c>
      <c r="C133">
        <v>0.96270638142033138</v>
      </c>
      <c r="D133">
        <v>-0.32889797662282172</v>
      </c>
      <c r="E133">
        <v>-0.52958769493697933</v>
      </c>
      <c r="F133">
        <v>-0.74553666798913543</v>
      </c>
      <c r="G133">
        <v>0.488021485030671</v>
      </c>
      <c r="H133">
        <v>-0.3647877437665944</v>
      </c>
      <c r="I133">
        <v>0.83660390026551101</v>
      </c>
      <c r="J133">
        <v>0.74358348338267155</v>
      </c>
      <c r="K133">
        <v>-0.83153782769249551</v>
      </c>
      <c r="L133">
        <v>0.42027039399395738</v>
      </c>
      <c r="M133">
        <v>-0.80669576097903373</v>
      </c>
      <c r="N133">
        <v>-3.6103396710104652E-2</v>
      </c>
      <c r="O133">
        <v>-0.64128543961912898</v>
      </c>
      <c r="P133">
        <v>0.1274758140812402</v>
      </c>
      <c r="Q133">
        <v>-0.2585222937711722</v>
      </c>
      <c r="R133">
        <v>-0.20200201422162545</v>
      </c>
      <c r="S133">
        <v>-4.4709616382335837E-2</v>
      </c>
      <c r="T133">
        <v>0.43552964873195599</v>
      </c>
      <c r="U133">
        <v>-0.65910824915311128</v>
      </c>
      <c r="V133">
        <v>0.98028504287850571</v>
      </c>
      <c r="W133">
        <v>-0.18515579699087492</v>
      </c>
      <c r="X133">
        <v>0.59550767540513316</v>
      </c>
      <c r="Y133">
        <v>-0.22598956266975923</v>
      </c>
      <c r="Z133">
        <v>0.55491805780205694</v>
      </c>
      <c r="AA133">
        <v>-0.37058626056703392</v>
      </c>
      <c r="AC133" s="7">
        <v>122</v>
      </c>
      <c r="AD133">
        <f t="shared" si="89"/>
        <v>51.639644808728114</v>
      </c>
      <c r="AE133">
        <f t="shared" si="90"/>
        <v>33.791276247015524</v>
      </c>
      <c r="AF133">
        <f t="shared" si="91"/>
        <v>31.017993517895395</v>
      </c>
      <c r="AG133">
        <f t="shared" si="92"/>
        <v>28.033846834310538</v>
      </c>
      <c r="AH133">
        <f t="shared" si="93"/>
        <v>45.080088913239301</v>
      </c>
      <c r="AI133">
        <f t="shared" si="94"/>
        <v>33.295324226114481</v>
      </c>
      <c r="AJ133">
        <f t="shared" si="95"/>
        <v>49.897065089031585</v>
      </c>
      <c r="AK133">
        <f t="shared" si="96"/>
        <v>48.611638422614597</v>
      </c>
      <c r="AL133">
        <f t="shared" si="97"/>
        <v>26.84541758694732</v>
      </c>
      <c r="AM133">
        <f t="shared" si="98"/>
        <v>44.143852955415902</v>
      </c>
      <c r="AN133">
        <f t="shared" si="99"/>
        <v>27.188704104815905</v>
      </c>
      <c r="AO133">
        <f t="shared" si="100"/>
        <v>37.837333805284757</v>
      </c>
      <c r="AP133">
        <f t="shared" si="101"/>
        <v>29.474469371213573</v>
      </c>
      <c r="AQ133">
        <f t="shared" si="102"/>
        <v>40.097795397146662</v>
      </c>
      <c r="AR133">
        <f t="shared" si="103"/>
        <v>34.76378080500686</v>
      </c>
      <c r="AS133">
        <f t="shared" si="104"/>
        <v>35.544820892344219</v>
      </c>
      <c r="AT133">
        <f t="shared" si="105"/>
        <v>37.718406534966654</v>
      </c>
      <c r="AU133">
        <f t="shared" si="106"/>
        <v>44.354716909880629</v>
      </c>
      <c r="AV133">
        <f t="shared" si="107"/>
        <v>29.22818027239877</v>
      </c>
      <c r="AW133">
        <f t="shared" si="108"/>
        <v>51.882560084271482</v>
      </c>
      <c r="AX133">
        <f t="shared" si="109"/>
        <v>35.777614698073279</v>
      </c>
      <c r="AY133">
        <f t="shared" si="110"/>
        <v>46.565414608488858</v>
      </c>
      <c r="AZ133">
        <f t="shared" si="111"/>
        <v>35.213342755925659</v>
      </c>
      <c r="BA133">
        <f t="shared" si="112"/>
        <v>46.004516489612676</v>
      </c>
      <c r="BB133">
        <f t="shared" si="113"/>
        <v>33.21519592341788</v>
      </c>
      <c r="BC133" s="2">
        <f t="shared" si="83"/>
        <v>38.288920050166418</v>
      </c>
      <c r="BD133">
        <f t="shared" si="84"/>
        <v>63.832740389986611</v>
      </c>
      <c r="BE133">
        <f t="shared" si="85"/>
        <v>7.9895394354109435</v>
      </c>
      <c r="BF133" s="12">
        <f t="shared" si="86"/>
        <v>38.010467397534782</v>
      </c>
      <c r="BG133">
        <f t="shared" si="87"/>
        <v>0.27845265263163554</v>
      </c>
      <c r="BH133">
        <f t="shared" si="88"/>
        <v>7.7535879757594295E-2</v>
      </c>
    </row>
    <row r="134" spans="1:60" x14ac:dyDescent="0.25">
      <c r="A134" s="7">
        <v>123</v>
      </c>
      <c r="B134" s="9">
        <f t="shared" si="82"/>
        <v>38.627822321598067</v>
      </c>
      <c r="C134">
        <v>5.5696279793694847E-2</v>
      </c>
      <c r="D134">
        <v>-0.87701040681173126</v>
      </c>
      <c r="E134">
        <v>-5.1576281014434899E-3</v>
      </c>
      <c r="F134">
        <v>0.82134464552751241</v>
      </c>
      <c r="G134">
        <v>2.6825769829401436E-2</v>
      </c>
      <c r="H134">
        <v>0.3230994598223822</v>
      </c>
      <c r="I134">
        <v>-0.20755638294625689</v>
      </c>
      <c r="J134">
        <v>-0.98022400585955383</v>
      </c>
      <c r="K134">
        <v>-0.69823297830133968</v>
      </c>
      <c r="L134">
        <v>0.95361186559648425</v>
      </c>
      <c r="M134">
        <v>0.33597827082125309</v>
      </c>
      <c r="N134">
        <v>0.68242439039277314</v>
      </c>
      <c r="O134">
        <v>0.64165166173284094</v>
      </c>
      <c r="P134">
        <v>-0.67021698660237439</v>
      </c>
      <c r="Q134">
        <v>-0.11685537278359326</v>
      </c>
      <c r="R134">
        <v>0.423444318979461</v>
      </c>
      <c r="S134">
        <v>-0.95953245643482776</v>
      </c>
      <c r="T134">
        <v>0.95873897518845186</v>
      </c>
      <c r="U134">
        <v>-0.55455183568834499</v>
      </c>
      <c r="V134">
        <v>-0.38828699606311223</v>
      </c>
      <c r="W134">
        <v>0.18185979796746721</v>
      </c>
      <c r="X134">
        <v>0.41990417188024542</v>
      </c>
      <c r="Y134">
        <v>-0.60521256141850033</v>
      </c>
      <c r="Z134">
        <v>-0.19931638538773766</v>
      </c>
      <c r="AA134">
        <v>0.39872432630390331</v>
      </c>
      <c r="AC134" s="7">
        <v>123</v>
      </c>
      <c r="AD134">
        <f t="shared" si="89"/>
        <v>39.397475755394332</v>
      </c>
      <c r="AE134">
        <f t="shared" si="90"/>
        <v>26.508627402692184</v>
      </c>
      <c r="AF134">
        <f t="shared" si="91"/>
        <v>38.556550304988988</v>
      </c>
      <c r="AG134">
        <f t="shared" si="92"/>
        <v>49.977785534616615</v>
      </c>
      <c r="AH134">
        <f t="shared" si="93"/>
        <v>38.99852115354706</v>
      </c>
      <c r="AI134">
        <f t="shared" si="94"/>
        <v>43.092655693434253</v>
      </c>
      <c r="AJ134">
        <f t="shared" si="95"/>
        <v>35.759650812968815</v>
      </c>
      <c r="AK134">
        <f t="shared" si="96"/>
        <v>25.082343614692753</v>
      </c>
      <c r="AL134">
        <f t="shared" si="97"/>
        <v>28.979109493200959</v>
      </c>
      <c r="AM134">
        <f t="shared" si="98"/>
        <v>51.805554291916891</v>
      </c>
      <c r="AN134">
        <f t="shared" si="99"/>
        <v>43.270624871002489</v>
      </c>
      <c r="AO134">
        <f t="shared" si="100"/>
        <v>48.058080093169714</v>
      </c>
      <c r="AP134">
        <f t="shared" si="101"/>
        <v>47.494651606839959</v>
      </c>
      <c r="AQ134">
        <f t="shared" si="102"/>
        <v>29.3662557135982</v>
      </c>
      <c r="AR134">
        <f t="shared" si="103"/>
        <v>37.013026158307163</v>
      </c>
      <c r="AS134">
        <f t="shared" si="104"/>
        <v>44.479297057994323</v>
      </c>
      <c r="AT134">
        <f t="shared" si="105"/>
        <v>25.368275136946924</v>
      </c>
      <c r="AU134">
        <f t="shared" si="106"/>
        <v>51.876404580617049</v>
      </c>
      <c r="AV134">
        <f t="shared" si="107"/>
        <v>30.964604488440855</v>
      </c>
      <c r="AW134">
        <f t="shared" si="108"/>
        <v>33.262178136288554</v>
      </c>
      <c r="AX134">
        <f t="shared" si="109"/>
        <v>41.140898930908719</v>
      </c>
      <c r="AY134">
        <f t="shared" si="110"/>
        <v>44.430376620558505</v>
      </c>
      <c r="AZ134">
        <f t="shared" si="111"/>
        <v>30.264536159617954</v>
      </c>
      <c r="BA134">
        <f t="shared" si="112"/>
        <v>35.873517348379764</v>
      </c>
      <c r="BB134">
        <f t="shared" si="113"/>
        <v>44.137697451761461</v>
      </c>
      <c r="BC134" s="2">
        <f t="shared" si="83"/>
        <v>38.606347936475387</v>
      </c>
      <c r="BD134">
        <f t="shared" si="84"/>
        <v>68.886313124334563</v>
      </c>
      <c r="BE134">
        <f t="shared" si="85"/>
        <v>8.2997778960846027</v>
      </c>
      <c r="BF134" s="12">
        <f t="shared" si="86"/>
        <v>38.298569615832193</v>
      </c>
      <c r="BG134">
        <f t="shared" si="87"/>
        <v>0.30777832064319455</v>
      </c>
      <c r="BH134">
        <f t="shared" si="88"/>
        <v>9.4727494657945069E-2</v>
      </c>
    </row>
    <row r="135" spans="1:60" x14ac:dyDescent="0.25">
      <c r="A135" s="7">
        <v>124</v>
      </c>
      <c r="B135" s="9">
        <f t="shared" si="82"/>
        <v>38.919406721647825</v>
      </c>
      <c r="C135">
        <v>0.7346720786156804</v>
      </c>
      <c r="D135">
        <v>-0.39481795709097567</v>
      </c>
      <c r="E135">
        <v>-0.44737083040864289</v>
      </c>
      <c r="F135">
        <v>0.45023957029938666</v>
      </c>
      <c r="G135">
        <v>-0.71324808496353032</v>
      </c>
      <c r="H135">
        <v>-5.7527390362254738E-2</v>
      </c>
      <c r="I135">
        <v>0.22049623096407966</v>
      </c>
      <c r="J135">
        <v>0.42722861415448476</v>
      </c>
      <c r="K135">
        <v>0.3553270058290352</v>
      </c>
      <c r="L135">
        <v>0.91375469222083194</v>
      </c>
      <c r="M135">
        <v>-0.75139622180852683</v>
      </c>
      <c r="N135">
        <v>9.9215674306466939E-2</v>
      </c>
      <c r="O135">
        <v>-0.67571031830805384</v>
      </c>
      <c r="P135">
        <v>-0.71019623401593068</v>
      </c>
      <c r="Q135">
        <v>0.55589465010528882</v>
      </c>
      <c r="R135">
        <v>1.5106662190618625E-2</v>
      </c>
      <c r="S135">
        <v>0.6301767021698661</v>
      </c>
      <c r="T135">
        <v>0.5128635517441329</v>
      </c>
      <c r="U135">
        <v>0.56340220343638414</v>
      </c>
      <c r="V135">
        <v>-0.32956938383129364</v>
      </c>
      <c r="W135">
        <v>0.50968962675862906</v>
      </c>
      <c r="X135">
        <v>0.70091860713522758</v>
      </c>
      <c r="Y135">
        <v>-0.57109286782433544</v>
      </c>
      <c r="Z135">
        <v>5.3559984130375105E-2</v>
      </c>
      <c r="AA135">
        <v>0.61210974456007561</v>
      </c>
      <c r="AC135" s="7">
        <v>124</v>
      </c>
      <c r="AD135">
        <f t="shared" si="89"/>
        <v>49.071662673306705</v>
      </c>
      <c r="AE135">
        <f t="shared" si="90"/>
        <v>33.463512763827403</v>
      </c>
      <c r="AF135">
        <f t="shared" si="91"/>
        <v>32.737297304650873</v>
      </c>
      <c r="AG135">
        <f t="shared" si="92"/>
        <v>45.141158562084144</v>
      </c>
      <c r="AH135">
        <f t="shared" si="93"/>
        <v>29.063203762057423</v>
      </c>
      <c r="AI135">
        <f t="shared" si="94"/>
        <v>38.12444961331579</v>
      </c>
      <c r="AJ135">
        <f t="shared" si="95"/>
        <v>41.966390863663172</v>
      </c>
      <c r="AK135">
        <f t="shared" si="96"/>
        <v>44.82317571875133</v>
      </c>
      <c r="AL135">
        <f t="shared" si="97"/>
        <v>43.82958476531352</v>
      </c>
      <c r="AM135">
        <f t="shared" si="98"/>
        <v>51.546362042904775</v>
      </c>
      <c r="AN135">
        <f t="shared" si="99"/>
        <v>28.536043875895597</v>
      </c>
      <c r="AO135">
        <f t="shared" si="100"/>
        <v>40.290444153577496</v>
      </c>
      <c r="AP135">
        <f t="shared" si="101"/>
        <v>29.581929090040656</v>
      </c>
      <c r="AQ135">
        <f t="shared" si="102"/>
        <v>29.105376552950368</v>
      </c>
      <c r="AR135">
        <f t="shared" si="103"/>
        <v>46.60118058279793</v>
      </c>
      <c r="AS135">
        <f t="shared" si="104"/>
        <v>39.128162036567907</v>
      </c>
      <c r="AT135">
        <f t="shared" si="105"/>
        <v>47.627666313132238</v>
      </c>
      <c r="AU135">
        <f t="shared" si="106"/>
        <v>46.0065442312074</v>
      </c>
      <c r="AV135">
        <f t="shared" si="107"/>
        <v>46.704925648394578</v>
      </c>
      <c r="AW135">
        <f t="shared" si="108"/>
        <v>34.365167033118588</v>
      </c>
      <c r="AX135">
        <f t="shared" si="109"/>
        <v>45.962684528678729</v>
      </c>
      <c r="AY135">
        <f t="shared" si="110"/>
        <v>48.605231606030728</v>
      </c>
      <c r="AZ135">
        <f t="shared" si="111"/>
        <v>31.027612361850846</v>
      </c>
      <c r="BA135">
        <f t="shared" si="112"/>
        <v>39.65953920181903</v>
      </c>
      <c r="BB135">
        <f t="shared" si="113"/>
        <v>47.378003391045993</v>
      </c>
      <c r="BC135" s="2">
        <f t="shared" si="83"/>
        <v>40.413892347079333</v>
      </c>
      <c r="BD135">
        <f t="shared" si="84"/>
        <v>54.869097158631426</v>
      </c>
      <c r="BE135">
        <f t="shared" si="85"/>
        <v>7.4073677618052303</v>
      </c>
      <c r="BF135" s="12">
        <f t="shared" si="86"/>
        <v>38.586671834129604</v>
      </c>
      <c r="BG135">
        <f t="shared" si="87"/>
        <v>1.8272205129497294</v>
      </c>
      <c r="BH135">
        <f t="shared" si="88"/>
        <v>3.3387348029442725</v>
      </c>
    </row>
    <row r="136" spans="1:60" x14ac:dyDescent="0.25">
      <c r="A136" s="7">
        <v>125</v>
      </c>
      <c r="B136" s="9">
        <f t="shared" si="82"/>
        <v>39.210991121697589</v>
      </c>
      <c r="C136">
        <v>6.399731437116607E-2</v>
      </c>
      <c r="D136">
        <v>5.1362651448103369E-2</v>
      </c>
      <c r="E136">
        <v>0.88329721976378672</v>
      </c>
      <c r="F136">
        <v>-0.46397289956358534</v>
      </c>
      <c r="G136">
        <v>0.54148991363261811</v>
      </c>
      <c r="H136">
        <v>0.40653706472975859</v>
      </c>
      <c r="I136">
        <v>-0.14993743705557416</v>
      </c>
      <c r="J136">
        <v>0.3553270058290352</v>
      </c>
      <c r="K136">
        <v>-0.52482680745872368</v>
      </c>
      <c r="L136">
        <v>-0.2219611194189276</v>
      </c>
      <c r="M136">
        <v>0.1742301705984679</v>
      </c>
      <c r="N136">
        <v>-0.80462050233466598</v>
      </c>
      <c r="O136">
        <v>0.13052766502884006</v>
      </c>
      <c r="P136">
        <v>0.44523453474532304</v>
      </c>
      <c r="Q136">
        <v>-0.20761741996520888</v>
      </c>
      <c r="R136">
        <v>0.92303231910153505</v>
      </c>
      <c r="S136">
        <v>0.87713248084963524</v>
      </c>
      <c r="T136">
        <v>-0.60985137485885188</v>
      </c>
      <c r="U136">
        <v>0.48594622638630325</v>
      </c>
      <c r="V136">
        <v>-0.98840296639912106</v>
      </c>
      <c r="W136">
        <v>-0.15775017548142944</v>
      </c>
      <c r="X136">
        <v>-0.41300698873867003</v>
      </c>
      <c r="Y136">
        <v>0.26273384807885991</v>
      </c>
      <c r="Z136">
        <v>-0.35483870967741937</v>
      </c>
      <c r="AA136">
        <v>0.85003204443494984</v>
      </c>
      <c r="AC136" s="7">
        <v>125</v>
      </c>
      <c r="AD136">
        <f t="shared" si="89"/>
        <v>40.095354546722668</v>
      </c>
      <c r="AE136">
        <f t="shared" si="90"/>
        <v>39.920759192425869</v>
      </c>
      <c r="AF136">
        <f t="shared" si="91"/>
        <v>51.417061989842942</v>
      </c>
      <c r="AG136">
        <f t="shared" si="92"/>
        <v>32.799461722243009</v>
      </c>
      <c r="AH136">
        <f t="shared" si="93"/>
        <v>46.693709409832991</v>
      </c>
      <c r="AI136">
        <f t="shared" si="94"/>
        <v>44.82882859654692</v>
      </c>
      <c r="AJ136">
        <f t="shared" si="95"/>
        <v>37.139041905127151</v>
      </c>
      <c r="AK136">
        <f t="shared" si="96"/>
        <v>44.121169165363284</v>
      </c>
      <c r="AL136">
        <f t="shared" si="97"/>
        <v>31.958536271837673</v>
      </c>
      <c r="AM136">
        <f t="shared" si="98"/>
        <v>36.143764040053625</v>
      </c>
      <c r="AN136">
        <f t="shared" si="99"/>
        <v>41.618635753775877</v>
      </c>
      <c r="AO136">
        <f t="shared" si="100"/>
        <v>28.092134802772385</v>
      </c>
      <c r="AP136">
        <f t="shared" si="101"/>
        <v>41.014721388188889</v>
      </c>
      <c r="AQ136">
        <f t="shared" si="102"/>
        <v>45.363579585069473</v>
      </c>
      <c r="AR136">
        <f t="shared" si="103"/>
        <v>36.341976157250471</v>
      </c>
      <c r="AS136">
        <f t="shared" si="104"/>
        <v>51.966151727269093</v>
      </c>
      <c r="AT136">
        <f t="shared" si="105"/>
        <v>51.331872952239188</v>
      </c>
      <c r="AU136">
        <f t="shared" si="106"/>
        <v>30.783602317560195</v>
      </c>
      <c r="AV136">
        <f t="shared" si="107"/>
        <v>45.926164615581378</v>
      </c>
      <c r="AW136">
        <f t="shared" si="108"/>
        <v>25.552489335199176</v>
      </c>
      <c r="AX136">
        <f t="shared" si="109"/>
        <v>37.031079560441214</v>
      </c>
      <c r="AY136">
        <f t="shared" si="110"/>
        <v>33.503747330155207</v>
      </c>
      <c r="AZ136">
        <f t="shared" si="111"/>
        <v>42.841646689671308</v>
      </c>
      <c r="BA136">
        <f t="shared" si="112"/>
        <v>34.307560724574763</v>
      </c>
      <c r="BB136">
        <f t="shared" si="113"/>
        <v>50.957378569109828</v>
      </c>
      <c r="BC136" s="2">
        <f t="shared" si="83"/>
        <v>40.070017133954174</v>
      </c>
      <c r="BD136">
        <f t="shared" si="84"/>
        <v>56.436037163115238</v>
      </c>
      <c r="BE136">
        <f t="shared" si="85"/>
        <v>7.5123922397006959</v>
      </c>
      <c r="BF136" s="12">
        <f t="shared" si="86"/>
        <v>38.874774052427014</v>
      </c>
      <c r="BG136">
        <f t="shared" si="87"/>
        <v>1.1952430815271597</v>
      </c>
      <c r="BH136">
        <f t="shared" si="88"/>
        <v>1.4286060239385407</v>
      </c>
    </row>
    <row r="137" spans="1:60" x14ac:dyDescent="0.25">
      <c r="A137" s="7">
        <v>126</v>
      </c>
      <c r="B137" s="9">
        <f t="shared" si="82"/>
        <v>39.502575521747346</v>
      </c>
      <c r="C137">
        <v>-0.56401257362590407</v>
      </c>
      <c r="D137">
        <v>-0.6938993499557482</v>
      </c>
      <c r="E137">
        <v>-0.87719351786858724</v>
      </c>
      <c r="F137">
        <v>-0.54283272804956206</v>
      </c>
      <c r="G137">
        <v>-9.5736564226203247E-2</v>
      </c>
      <c r="H137">
        <v>0.80175176244392232</v>
      </c>
      <c r="I137">
        <v>0.62657551805169831</v>
      </c>
      <c r="J137">
        <v>0.90014343699453714</v>
      </c>
      <c r="K137">
        <v>-6.4058351390118062E-2</v>
      </c>
      <c r="L137">
        <v>0.95684682760093986</v>
      </c>
      <c r="M137">
        <v>-0.58531449324015017</v>
      </c>
      <c r="N137">
        <v>0.76390881069368577</v>
      </c>
      <c r="O137">
        <v>-0.30484939115573595</v>
      </c>
      <c r="P137">
        <v>-0.47752311777092804</v>
      </c>
      <c r="Q137">
        <v>0.50419629505294972</v>
      </c>
      <c r="R137">
        <v>0.18637653736991489</v>
      </c>
      <c r="S137">
        <v>0.2024292733542894</v>
      </c>
      <c r="T137">
        <v>-0.86675618762779627</v>
      </c>
      <c r="U137">
        <v>-9.7140415662099078E-2</v>
      </c>
      <c r="V137">
        <v>0.41062654499954232</v>
      </c>
      <c r="W137">
        <v>0.92907498397778254</v>
      </c>
      <c r="X137">
        <v>0.77477340006714068</v>
      </c>
      <c r="Y137">
        <v>-0.54441969054231398</v>
      </c>
      <c r="Z137">
        <v>0.49674977874080639</v>
      </c>
      <c r="AA137">
        <v>-8.9510788293099774E-2</v>
      </c>
      <c r="AC137" s="7">
        <v>126</v>
      </c>
      <c r="AD137">
        <f t="shared" si="89"/>
        <v>31.708622036822</v>
      </c>
      <c r="AE137">
        <f t="shared" si="90"/>
        <v>29.913748056418221</v>
      </c>
      <c r="AF137">
        <f t="shared" si="91"/>
        <v>27.380850235387886</v>
      </c>
      <c r="AG137">
        <f t="shared" si="92"/>
        <v>32.001301205619043</v>
      </c>
      <c r="AH137">
        <f t="shared" si="93"/>
        <v>38.179615071435627</v>
      </c>
      <c r="AI137">
        <f t="shared" si="94"/>
        <v>50.581789417233182</v>
      </c>
      <c r="AJ137">
        <f t="shared" si="95"/>
        <v>48.161071219978083</v>
      </c>
      <c r="AK137">
        <f t="shared" si="96"/>
        <v>51.941440195621759</v>
      </c>
      <c r="AL137">
        <f t="shared" si="97"/>
        <v>38.617368640904409</v>
      </c>
      <c r="AM137">
        <f t="shared" si="98"/>
        <v>52.725010650412699</v>
      </c>
      <c r="AN137">
        <f t="shared" si="99"/>
        <v>31.414255956389241</v>
      </c>
      <c r="AO137">
        <f t="shared" si="100"/>
        <v>50.058846810160652</v>
      </c>
      <c r="AP137">
        <f t="shared" si="101"/>
        <v>35.289935439450971</v>
      </c>
      <c r="AQ137">
        <f t="shared" si="102"/>
        <v>32.903798930728087</v>
      </c>
      <c r="AR137">
        <f t="shared" si="103"/>
        <v>46.469942305170953</v>
      </c>
      <c r="AS137">
        <f t="shared" si="104"/>
        <v>42.078067861579555</v>
      </c>
      <c r="AT137">
        <f t="shared" si="105"/>
        <v>42.299896741676456</v>
      </c>
      <c r="AU137">
        <f t="shared" si="106"/>
        <v>27.525081180241763</v>
      </c>
      <c r="AV137">
        <f t="shared" si="107"/>
        <v>38.160215587624876</v>
      </c>
      <c r="AW137">
        <f t="shared" si="108"/>
        <v>45.17692453639323</v>
      </c>
      <c r="AX137">
        <f t="shared" si="109"/>
        <v>52.341238253286889</v>
      </c>
      <c r="AY137">
        <f t="shared" si="110"/>
        <v>50.208981945739538</v>
      </c>
      <c r="AZ137">
        <f t="shared" si="111"/>
        <v>31.979371354354711</v>
      </c>
      <c r="BA137">
        <f t="shared" si="112"/>
        <v>46.367040695392163</v>
      </c>
      <c r="BB137">
        <f t="shared" si="113"/>
        <v>38.26564756485724</v>
      </c>
      <c r="BC137" s="2">
        <f t="shared" si="83"/>
        <v>40.470002475715162</v>
      </c>
      <c r="BD137">
        <f t="shared" si="84"/>
        <v>71.901084285310091</v>
      </c>
      <c r="BE137">
        <f t="shared" si="85"/>
        <v>8.4794507065794118</v>
      </c>
      <c r="BF137" s="12">
        <f t="shared" si="86"/>
        <v>39.162876270724418</v>
      </c>
      <c r="BG137">
        <f t="shared" si="87"/>
        <v>1.3071262049907446</v>
      </c>
      <c r="BH137">
        <f t="shared" si="88"/>
        <v>1.7085789157735061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D389-03BF-4188-9573-C4562F8DA89D}">
  <dimension ref="A1:CT138"/>
  <sheetViews>
    <sheetView tabSelected="1" topLeftCell="BM1" zoomScale="85" zoomScaleNormal="85" workbookViewId="0">
      <selection activeCell="CR13" sqref="CR13:CR138"/>
    </sheetView>
  </sheetViews>
  <sheetFormatPr defaultRowHeight="15" x14ac:dyDescent="0.25"/>
  <cols>
    <col min="2" max="2" width="9.5703125" bestFit="1" customWidth="1"/>
    <col min="60" max="60" width="10.28515625" customWidth="1"/>
  </cols>
  <sheetData>
    <row r="1" spans="1:98" x14ac:dyDescent="0.25">
      <c r="A1" s="1" t="s">
        <v>0</v>
      </c>
    </row>
    <row r="3" spans="1:98" x14ac:dyDescent="0.25">
      <c r="A3" s="3">
        <v>1</v>
      </c>
      <c r="B3" s="5" t="s">
        <v>1</v>
      </c>
      <c r="C3" s="4"/>
      <c r="D3" s="4"/>
      <c r="E3" s="4"/>
      <c r="F3" s="2"/>
      <c r="G3" s="2"/>
      <c r="H3" s="2"/>
      <c r="I3" s="2"/>
      <c r="J3" s="2"/>
      <c r="L3" s="3">
        <v>5</v>
      </c>
      <c r="M3" t="s">
        <v>10</v>
      </c>
      <c r="BK3" s="3">
        <v>6</v>
      </c>
      <c r="BL3" s="2" t="s">
        <v>23</v>
      </c>
      <c r="BM3" s="2"/>
      <c r="BN3" s="2"/>
      <c r="BO3" s="2"/>
    </row>
    <row r="4" spans="1:98" x14ac:dyDescent="0.25">
      <c r="A4" t="s">
        <v>4</v>
      </c>
      <c r="F4" t="s">
        <v>5</v>
      </c>
      <c r="O4" s="13">
        <v>1</v>
      </c>
      <c r="P4" s="13">
        <v>2</v>
      </c>
      <c r="Q4" s="13">
        <v>3</v>
      </c>
      <c r="R4" s="13">
        <v>4</v>
      </c>
      <c r="S4" s="13">
        <v>5</v>
      </c>
      <c r="T4" s="13">
        <v>6</v>
      </c>
      <c r="U4" s="13">
        <v>7</v>
      </c>
      <c r="V4" s="13">
        <v>8</v>
      </c>
      <c r="W4" s="13">
        <v>9</v>
      </c>
      <c r="X4" s="13">
        <v>10</v>
      </c>
      <c r="Y4" s="13">
        <v>11</v>
      </c>
      <c r="Z4" s="13">
        <v>12</v>
      </c>
      <c r="AA4" s="13">
        <v>13</v>
      </c>
      <c r="AB4" s="13">
        <v>14</v>
      </c>
      <c r="AC4" s="13">
        <v>15</v>
      </c>
      <c r="AD4" s="13">
        <v>16</v>
      </c>
      <c r="AE4" s="13">
        <v>17</v>
      </c>
      <c r="AF4" s="13">
        <v>18</v>
      </c>
      <c r="AG4" s="13">
        <v>19</v>
      </c>
      <c r="AH4" s="13">
        <v>20</v>
      </c>
      <c r="AI4" s="13">
        <v>21</v>
      </c>
      <c r="AJ4" s="13">
        <v>22</v>
      </c>
      <c r="AK4" s="13">
        <v>23</v>
      </c>
      <c r="AL4" s="13">
        <v>24</v>
      </c>
      <c r="AM4" s="13">
        <v>25</v>
      </c>
      <c r="BJ4" t="s">
        <v>24</v>
      </c>
      <c r="BK4">
        <f>AVERAGE(O5)</f>
        <v>1.1337256380317535</v>
      </c>
      <c r="BL4">
        <f>AVERAGE($O$5:P5)</f>
        <v>2.1007489861272801</v>
      </c>
      <c r="BM4">
        <f>AVERAGE($O$5:Q5)</f>
        <v>1.7452060787480279</v>
      </c>
      <c r="BN4">
        <f>AVERAGE($O$5:R5)</f>
        <v>3.2664217638401589</v>
      </c>
      <c r="BO4">
        <f>AVERAGE($O$5:S5)</f>
        <v>3.5259204224394614</v>
      </c>
      <c r="BP4">
        <f>AVERAGE($O$5:T5)</f>
        <v>3.5115964628103211</v>
      </c>
      <c r="BQ4">
        <f>AVERAGE($O$5:U5)</f>
        <v>3.2820572472539595</v>
      </c>
      <c r="BR4">
        <f>AVERAGE($O$5:V5)</f>
        <v>3.2613022175697703</v>
      </c>
      <c r="BS4">
        <f>AVERAGE($O$5:W5)</f>
        <v>2.8989353045064625</v>
      </c>
      <c r="BT4">
        <f>AVERAGE($O$5:X5)</f>
        <v>2.9999722807479157</v>
      </c>
      <c r="BU4">
        <f>AVERAGE($O$5:Y5)</f>
        <v>3.1394098993200283</v>
      </c>
      <c r="BV4">
        <f>AVERAGE($O$5:Z5)</f>
        <v>3.0725006275587661</v>
      </c>
      <c r="BW4">
        <f>AVERAGE($O$5:AA5)</f>
        <v>2.8361544254388611</v>
      </c>
      <c r="BX4">
        <f>AVERAGE($O$5:AB5)</f>
        <v>2.9900263333645851</v>
      </c>
      <c r="BY4">
        <f>AVERAGE($O$5:AC5)</f>
        <v>2.8862644218479239</v>
      </c>
      <c r="BZ4">
        <f>AVERAGE($O$5:AD5)</f>
        <v>3.1353548770714221</v>
      </c>
      <c r="CA4">
        <f>AVERAGE($O$5:AE5)</f>
        <v>3.061087814943857</v>
      </c>
      <c r="CB4">
        <f>AVERAGE($O$5:AF5)</f>
        <v>2.9691246636272828</v>
      </c>
      <c r="CC4">
        <f>AVERAGE($O$5:AG5)</f>
        <v>3.002736836889575</v>
      </c>
      <c r="CD4">
        <f>AVERAGE($O$5:AH5)</f>
        <v>2.9556118154186182</v>
      </c>
      <c r="CE4">
        <f>AVERAGE($O$5:AI5)</f>
        <v>2.9068756734743229</v>
      </c>
      <c r="CF4">
        <f>AVERAGE($O$5:AJ5)</f>
        <v>2.8613894951173058</v>
      </c>
      <c r="CG4">
        <f>AVERAGE($O$5:AK5)</f>
        <v>2.9863009083277321</v>
      </c>
      <c r="CH4">
        <f>AVERAGE($O$5:AL5)</f>
        <v>2.9808012976402813</v>
      </c>
      <c r="CI4">
        <f>AVERAGE($O$5:AM5)</f>
        <v>2.9840205111864844</v>
      </c>
    </row>
    <row r="5" spans="1:98" x14ac:dyDescent="0.25">
      <c r="A5" t="s">
        <v>2</v>
      </c>
      <c r="B5" s="6">
        <v>24.560075685903499</v>
      </c>
      <c r="F5" t="s">
        <v>6</v>
      </c>
      <c r="G5">
        <v>2.762941115477588</v>
      </c>
      <c r="L5" t="s">
        <v>6</v>
      </c>
      <c r="M5">
        <v>2.8619967652508356</v>
      </c>
      <c r="N5" t="s">
        <v>6</v>
      </c>
      <c r="O5">
        <v>1.1337256380317535</v>
      </c>
      <c r="P5">
        <v>3.0677723342228065</v>
      </c>
      <c r="Q5">
        <v>1.0341202639895231</v>
      </c>
      <c r="R5">
        <v>7.8300688191165522</v>
      </c>
      <c r="S5">
        <v>4.5639150568366729</v>
      </c>
      <c r="T5">
        <v>3.4399766646646208</v>
      </c>
      <c r="U5">
        <v>1.9048219539157907</v>
      </c>
      <c r="V5">
        <v>3.1160170097804469</v>
      </c>
      <c r="W5">
        <v>0</v>
      </c>
      <c r="X5">
        <v>3.909305066920993</v>
      </c>
      <c r="Y5">
        <v>4.5337860850411529</v>
      </c>
      <c r="Z5">
        <v>2.3364986381848873</v>
      </c>
      <c r="AA5">
        <v>0</v>
      </c>
      <c r="AB5">
        <v>4.990361136398997</v>
      </c>
      <c r="AC5">
        <v>1.4335976606146652</v>
      </c>
      <c r="AD5">
        <v>6.8717117054238983</v>
      </c>
      <c r="AE5">
        <v>1.872814820902813</v>
      </c>
      <c r="AF5">
        <v>1.4057510912455298</v>
      </c>
      <c r="AG5">
        <v>3.6077559556108354</v>
      </c>
      <c r="AH5">
        <v>2.0602364074704305</v>
      </c>
      <c r="AI5">
        <v>1.9321528345884202</v>
      </c>
      <c r="AJ5">
        <v>1.906179749619942</v>
      </c>
      <c r="AK5">
        <v>5.7343519989571226</v>
      </c>
      <c r="AL5">
        <v>2.8543102518289021</v>
      </c>
      <c r="AM5">
        <v>3.0612816362953605</v>
      </c>
      <c r="AO5" t="s">
        <v>32</v>
      </c>
      <c r="AP5">
        <f>AVERAGE(O5:AM5)</f>
        <v>2.9840205111864844</v>
      </c>
      <c r="AR5" t="s">
        <v>26</v>
      </c>
      <c r="AS5">
        <f>_xlfn.STDEV.S(O5:AM5)</f>
        <v>1.9627329787512311</v>
      </c>
      <c r="AU5">
        <f>CORREL(O5:AM5,O6:AM6)</f>
        <v>-0.81865821905080238</v>
      </c>
      <c r="BJ5" t="s">
        <v>25</v>
      </c>
      <c r="BK5">
        <f>AVERAGE(O6)</f>
        <v>0.32817761449226762</v>
      </c>
      <c r="BL5">
        <f>AVERAGE($O$6:P6)</f>
        <v>0.31785369912259664</v>
      </c>
      <c r="BM5">
        <f>AVERAGE($O$6:Q6)</f>
        <v>0.30982527468148197</v>
      </c>
      <c r="BN5">
        <f>AVERAGE($O$6:R6)</f>
        <v>0.26364971853795849</v>
      </c>
      <c r="BO5">
        <f>AVERAGE($O$6:S6)</f>
        <v>0.25873883502239509</v>
      </c>
      <c r="BP5">
        <f>AVERAGE($O$6:T6)</f>
        <v>0.25912402838751797</v>
      </c>
      <c r="BQ5">
        <f>AVERAGE($O$6:U6)</f>
        <v>0.26080146214481192</v>
      </c>
      <c r="BR5">
        <f>AVERAGE($O$6:V6)</f>
        <v>0.26134880322028731</v>
      </c>
      <c r="BS5">
        <f>AVERAGE($O$6:W6)</f>
        <v>0.27187842925858441</v>
      </c>
      <c r="BT5">
        <f>AVERAGE($O$6:X6)</f>
        <v>0.26855505048671968</v>
      </c>
      <c r="BU5">
        <f>AVERAGE($O$6:Y6)</f>
        <v>0.27106458905562009</v>
      </c>
      <c r="BV5">
        <f>AVERAGE($O$6:Z6)</f>
        <v>0.27353586287205389</v>
      </c>
      <c r="BW5">
        <f>AVERAGE($O$6:AA6)</f>
        <v>0.27840269006487045</v>
      </c>
      <c r="BX5">
        <f>AVERAGE($O$6:AB6)</f>
        <v>0.27938641332013237</v>
      </c>
      <c r="BY5">
        <f>AVERAGE($O$6:AC6)</f>
        <v>0.28084577598513172</v>
      </c>
      <c r="BZ5">
        <f>AVERAGE($O$6:AD6)</f>
        <v>0.27450415432996456</v>
      </c>
      <c r="CA5">
        <f>AVERAGE($O$6:AE6)</f>
        <v>0.2734318501600117</v>
      </c>
      <c r="CB5">
        <f>AVERAGE($O$6:AF6)</f>
        <v>0.27744536394438285</v>
      </c>
      <c r="CC5">
        <f>AVERAGE($O$6:AG6)</f>
        <v>0.2787206748174485</v>
      </c>
      <c r="CD5">
        <f>AVERAGE($O$6:AH6)</f>
        <v>0.27971817722949843</v>
      </c>
      <c r="CE5">
        <f>AVERAGE($O$6:AI6)</f>
        <v>0.28246603045564872</v>
      </c>
      <c r="CF5">
        <f>AVERAGE($O$6:AJ6)</f>
        <v>0.28434482982934844</v>
      </c>
      <c r="CG5">
        <f>AVERAGE($O$6:AK6)</f>
        <v>0.28353046842327079</v>
      </c>
      <c r="CH5">
        <f>AVERAGE($O$6:AL6)</f>
        <v>0.28488663047611779</v>
      </c>
      <c r="CI5">
        <f>AVERAGE($O$6:AM6)</f>
        <v>0.28460661362186168</v>
      </c>
    </row>
    <row r="6" spans="1:98" x14ac:dyDescent="0.25">
      <c r="A6" t="s">
        <v>3</v>
      </c>
      <c r="B6" s="6">
        <v>125.92852565080722</v>
      </c>
      <c r="F6" t="s">
        <v>7</v>
      </c>
      <c r="G6">
        <v>0.29158440004976</v>
      </c>
      <c r="L6" t="s">
        <v>7</v>
      </c>
      <c r="M6">
        <v>0.2881022182974094</v>
      </c>
      <c r="N6" t="s">
        <v>7</v>
      </c>
      <c r="O6">
        <v>0.32817761449226762</v>
      </c>
      <c r="P6">
        <v>0.30752978375292561</v>
      </c>
      <c r="Q6">
        <v>0.29376842579925255</v>
      </c>
      <c r="R6">
        <v>0.12512305010738811</v>
      </c>
      <c r="S6">
        <v>0.23909530096014162</v>
      </c>
      <c r="T6">
        <v>0.26104999521313238</v>
      </c>
      <c r="U6">
        <v>0.27086606468857533</v>
      </c>
      <c r="V6">
        <v>0.26518019074861532</v>
      </c>
      <c r="W6">
        <v>0.35611543756496133</v>
      </c>
      <c r="X6">
        <v>0.23864464153993717</v>
      </c>
      <c r="Y6">
        <v>0.29615997474462424</v>
      </c>
      <c r="Z6">
        <v>0.3007198748528257</v>
      </c>
      <c r="AA6">
        <v>0.33680461637866871</v>
      </c>
      <c r="AB6">
        <v>0.29217481563853781</v>
      </c>
      <c r="AC6">
        <v>0.30127685329512294</v>
      </c>
      <c r="AD6">
        <v>0.17937982950245646</v>
      </c>
      <c r="AE6">
        <v>0.25627498344076582</v>
      </c>
      <c r="AF6">
        <v>0.34567509827869281</v>
      </c>
      <c r="AG6">
        <v>0.30167627053263063</v>
      </c>
      <c r="AH6">
        <v>0.29867072305844672</v>
      </c>
      <c r="AI6">
        <v>0.33742309497865441</v>
      </c>
      <c r="AJ6">
        <v>0.32379961667704249</v>
      </c>
      <c r="AK6">
        <v>0.26561451748956261</v>
      </c>
      <c r="AL6">
        <v>0.31607835769159842</v>
      </c>
      <c r="AM6">
        <v>0.27788620911971607</v>
      </c>
      <c r="AO6" t="s">
        <v>33</v>
      </c>
      <c r="AP6">
        <f>AVERAGE(O6:AM6)</f>
        <v>0.28460661362186168</v>
      </c>
      <c r="AR6" t="s">
        <v>27</v>
      </c>
      <c r="AS6">
        <f>_xlfn.STDEV.S(O6:AM6)</f>
        <v>5.1490317159414503E-2</v>
      </c>
      <c r="AU6">
        <f>CORREL(O6:AM6,O5:AM5)</f>
        <v>-0.81865821905080238</v>
      </c>
      <c r="BJ6" t="s">
        <v>26</v>
      </c>
      <c r="BK6">
        <v>0</v>
      </c>
      <c r="BL6">
        <f>_xlfn.STDEV.S($O$5:P5)</f>
        <v>1.3675775340081318</v>
      </c>
      <c r="BM6">
        <f>_xlfn.STDEV.S($O$5:Q5)</f>
        <v>1.1464582123762541</v>
      </c>
      <c r="BN6">
        <f>_xlfn.STDEV.S($O$5:R5)</f>
        <v>3.183179688733357</v>
      </c>
      <c r="BO6">
        <f>_xlfn.STDEV.S($O$5:S5)</f>
        <v>2.8171213085608566</v>
      </c>
      <c r="BP6">
        <f>_xlfn.STDEV.S($O$5:T5)</f>
        <v>2.5199541719314764</v>
      </c>
      <c r="BQ6">
        <f>_xlfn.STDEV.S($O$5:U5)</f>
        <v>2.3792068603234124</v>
      </c>
      <c r="BR6">
        <f>_xlfn.STDEV.S($O$5:V5)</f>
        <v>2.2034996481461895</v>
      </c>
      <c r="BS6">
        <f>_xlfn.STDEV.S($O$5:W5)</f>
        <v>2.3302944833443502</v>
      </c>
      <c r="BT6">
        <f>_xlfn.STDEV.S($O$5:X5)</f>
        <v>2.2201336642434222</v>
      </c>
      <c r="BU6">
        <f>_xlfn.STDEV.S($O$5:Y5)</f>
        <v>2.1563778617394291</v>
      </c>
      <c r="BV6">
        <f>_xlfn.STDEV.S($O$5:Z5)</f>
        <v>2.0690489495392739</v>
      </c>
      <c r="BW6">
        <f>_xlfn.STDEV.S($O$5:AA5)</f>
        <v>2.156476396105071</v>
      </c>
      <c r="BX6">
        <f>_xlfn.STDEV.S($O$5:AB5)</f>
        <v>2.1503813618905907</v>
      </c>
      <c r="BY6">
        <f>_xlfn.STDEV.S($O$5:AC5)</f>
        <v>2.1107681780320409</v>
      </c>
      <c r="BZ6">
        <f>_xlfn.STDEV.S($O$5:AD5)</f>
        <v>2.2695938754400644</v>
      </c>
      <c r="CA6">
        <f>_xlfn.STDEV.S($O$5:AE5)</f>
        <v>2.2187565161054459</v>
      </c>
      <c r="CB6">
        <f>_xlfn.STDEV.S($O$5:AF5)</f>
        <v>2.1875852565757494</v>
      </c>
      <c r="CC6">
        <f>_xlfn.STDEV.S($O$5:AG5)</f>
        <v>2.1309932670112719</v>
      </c>
      <c r="CD6">
        <f>_xlfn.STDEV.S($O$5:AH5)</f>
        <v>2.084835891299174</v>
      </c>
      <c r="CE6">
        <f>_xlfn.STDEV.S($O$5:AI5)</f>
        <v>2.0442830286265803</v>
      </c>
      <c r="CF6">
        <f>_xlfn.STDEV.S($O$5:AJ5)</f>
        <v>2.0063914127151437</v>
      </c>
      <c r="CG6">
        <f>_xlfn.STDEV.S($O$5:AK5)</f>
        <v>2.0497536910052574</v>
      </c>
      <c r="CH6">
        <f>_xlfn.STDEV.S($O$5:AL5)</f>
        <v>2.0048796982183972</v>
      </c>
      <c r="CI6">
        <f>_xlfn.STDEV.S($O$5:AM5)</f>
        <v>1.9627329787512311</v>
      </c>
    </row>
    <row r="7" spans="1:98" x14ac:dyDescent="0.25">
      <c r="F7" t="s">
        <v>8</v>
      </c>
      <c r="G7">
        <v>13.818758391891606</v>
      </c>
      <c r="L7" t="s">
        <v>11</v>
      </c>
      <c r="M7">
        <f>SUM(BH12:BH74)</f>
        <v>152.61176384844308</v>
      </c>
      <c r="N7" t="s">
        <v>11</v>
      </c>
      <c r="O7">
        <f>SUM(BK13:BK74)</f>
        <v>3835.6880626875191</v>
      </c>
      <c r="P7">
        <f t="shared" ref="P7:AM7" si="0">SUM(BL13:BL74)</f>
        <v>3508.8424665866914</v>
      </c>
      <c r="Q7">
        <f t="shared" si="0"/>
        <v>4183.2011154991787</v>
      </c>
      <c r="R7">
        <f t="shared" si="0"/>
        <v>4353.817616585362</v>
      </c>
      <c r="S7">
        <f t="shared" si="0"/>
        <v>3430.2825637809474</v>
      </c>
      <c r="T7">
        <f t="shared" si="0"/>
        <v>4165.0335176660519</v>
      </c>
      <c r="U7">
        <f t="shared" si="0"/>
        <v>3642.6787497137739</v>
      </c>
      <c r="V7">
        <f t="shared" si="0"/>
        <v>3919.6749827656163</v>
      </c>
      <c r="W7">
        <f t="shared" si="0"/>
        <v>4654.6123728416533</v>
      </c>
      <c r="X7">
        <f t="shared" si="0"/>
        <v>3648.4164856339935</v>
      </c>
      <c r="Y7">
        <f t="shared" si="0"/>
        <v>3547.9892588282723</v>
      </c>
      <c r="Z7">
        <f t="shared" si="0"/>
        <v>4330.1608232996832</v>
      </c>
      <c r="AA7">
        <f t="shared" si="0"/>
        <v>3932.0609378606387</v>
      </c>
      <c r="AB7">
        <f t="shared" si="0"/>
        <v>4032.598581847516</v>
      </c>
      <c r="AC7">
        <f t="shared" si="0"/>
        <v>2938.4729935488685</v>
      </c>
      <c r="AD7">
        <f t="shared" si="0"/>
        <v>3770.7173169438674</v>
      </c>
      <c r="AE7">
        <f t="shared" si="0"/>
        <v>4384.2147393463865</v>
      </c>
      <c r="AF7">
        <f t="shared" si="0"/>
        <v>3918.1673883197514</v>
      </c>
      <c r="AG7">
        <f t="shared" si="0"/>
        <v>4457.6992247553289</v>
      </c>
      <c r="AH7">
        <f t="shared" si="0"/>
        <v>4051.5794282887323</v>
      </c>
      <c r="AI7">
        <f t="shared" si="0"/>
        <v>3846.0625136539707</v>
      </c>
      <c r="AJ7">
        <f t="shared" si="0"/>
        <v>3674.9773273579435</v>
      </c>
      <c r="AK7">
        <f t="shared" si="0"/>
        <v>3503.1839361607367</v>
      </c>
      <c r="AL7">
        <f t="shared" si="0"/>
        <v>4300.5340884861034</v>
      </c>
      <c r="AM7">
        <f t="shared" si="0"/>
        <v>3249.5658665724081</v>
      </c>
      <c r="BJ7" t="s">
        <v>27</v>
      </c>
      <c r="BK7">
        <v>0</v>
      </c>
      <c r="BL7">
        <f>_xlfn.STDEV.S($O$6:P6)</f>
        <v>1.460022113258078E-2</v>
      </c>
      <c r="BM7">
        <f>_xlfn.STDEV.S($O$6:Q6)</f>
        <v>1.7319065378368206E-2</v>
      </c>
      <c r="BN7">
        <f>_xlfn.STDEV.S($O$6:R6)</f>
        <v>9.342748323900664E-2</v>
      </c>
      <c r="BO7">
        <f>_xlfn.STDEV.S($O$6:S6)</f>
        <v>8.1652341379768928E-2</v>
      </c>
      <c r="BP7">
        <f>_xlfn.STDEV.S($O$6:T6)</f>
        <v>7.3038168965342057E-2</v>
      </c>
      <c r="BQ7">
        <f>_xlfn.STDEV.S($O$6:U6)</f>
        <v>6.6821964399781261E-2</v>
      </c>
      <c r="BR7">
        <f>_xlfn.STDEV.S($O$6:V6)</f>
        <v>6.188448474333498E-2</v>
      </c>
      <c r="BS7">
        <f>_xlfn.STDEV.S($O$6:W6)</f>
        <v>6.5945701080601396E-2</v>
      </c>
      <c r="BT7">
        <f>_xlfn.STDEV.S($O$6:X6)</f>
        <v>6.3056165536599762E-2</v>
      </c>
      <c r="BU7">
        <f>_xlfn.STDEV.S($O$6:Y6)</f>
        <v>6.03965862700694E-2</v>
      </c>
      <c r="BV7">
        <f>_xlfn.STDEV.S($O$6:Z6)</f>
        <v>5.8218730175077789E-2</v>
      </c>
      <c r="BW7">
        <f>_xlfn.STDEV.S($O$6:AA6)</f>
        <v>5.8437033816637937E-2</v>
      </c>
      <c r="BX7">
        <f>_xlfn.STDEV.S($O$6:AB6)</f>
        <v>5.6265009305591772E-2</v>
      </c>
      <c r="BY7">
        <f>_xlfn.STDEV.S($O$6:AC6)</f>
        <v>5.4512129586999303E-2</v>
      </c>
      <c r="BZ7">
        <f>_xlfn.STDEV.S($O$6:AD6)</f>
        <v>5.8454478848465538E-2</v>
      </c>
      <c r="CA7">
        <f>_xlfn.STDEV.S($O$6:AE6)</f>
        <v>5.6770726896126861E-2</v>
      </c>
      <c r="CB7">
        <f>_xlfn.STDEV.S($O$6:AF6)</f>
        <v>5.7647909274685022E-2</v>
      </c>
      <c r="CC7">
        <f>_xlfn.STDEV.S($O$6:AG6)</f>
        <v>5.6298815578162596E-2</v>
      </c>
      <c r="CD7">
        <f>_xlfn.STDEV.S($O$6:AH6)</f>
        <v>5.4978523865735096E-2</v>
      </c>
      <c r="CE7">
        <f>_xlfn.STDEV.S($O$6:AI6)</f>
        <v>5.5046079120444007E-2</v>
      </c>
      <c r="CF7">
        <f>_xlfn.STDEV.S($O$6:AJ6)</f>
        <v>5.4437480245340827E-2</v>
      </c>
      <c r="CG7">
        <f>_xlfn.STDEV.S($O$6:AK6)</f>
        <v>5.3329079446546059E-2</v>
      </c>
      <c r="CH7">
        <f>_xlfn.STDEV.S($O$6:AL6)</f>
        <v>5.2578314510273977E-2</v>
      </c>
      <c r="CI7">
        <f>_xlfn.STDEV.S($O$6:AM6)</f>
        <v>5.1490317159414503E-2</v>
      </c>
      <c r="CK7" s="3">
        <v>7</v>
      </c>
      <c r="CL7" s="2" t="s">
        <v>34</v>
      </c>
      <c r="CM7" s="2"/>
      <c r="CN7" s="2"/>
      <c r="CO7" s="2"/>
      <c r="CP7" s="2"/>
    </row>
    <row r="8" spans="1:98" x14ac:dyDescent="0.25">
      <c r="BJ8" t="s">
        <v>28</v>
      </c>
      <c r="BK8" t="e">
        <f>CORREL(BK4,BK5)</f>
        <v>#DIV/0!</v>
      </c>
      <c r="BL8">
        <f>CORREL(BK4:BL4,BK5:BL5)</f>
        <v>-1</v>
      </c>
      <c r="BM8">
        <f>CORREL($BK$4:BM4,$BK$5:BM5)</f>
        <v>-0.67967514826543585</v>
      </c>
      <c r="BN8">
        <f>CORREL($BK$4:BN4,$BK$5:BN5)</f>
        <v>-0.94352906135934811</v>
      </c>
      <c r="BO8">
        <f>CORREL($BK$4:BO4,$BK$5:BO5)</f>
        <v>-0.96686957957554143</v>
      </c>
      <c r="BP8">
        <f>CORREL($BK$4:BP4,$BK$5:BP5)</f>
        <v>-0.97390049490016284</v>
      </c>
      <c r="BQ8">
        <f>CORREL($BK$4:BQ4,$BK$5:BQ5)</f>
        <v>-0.97450480314310339</v>
      </c>
      <c r="BR8">
        <f>CORREL($BK$4:BR4,$BK$5:BR5)</f>
        <v>-0.97494043468772851</v>
      </c>
      <c r="BS8">
        <f>CORREL($BK$4:BS4,$BK$5:BS5)</f>
        <v>-0.9735127374671414</v>
      </c>
      <c r="BT8">
        <f>CORREL($BK$4:BT4,$BK$5:BT5)</f>
        <v>-0.9726415616477152</v>
      </c>
      <c r="BU8">
        <f>CORREL($BK$4:BU4,$BK$5:BU5)</f>
        <v>-0.97237454870972373</v>
      </c>
      <c r="BV8">
        <f>CORREL($BK$4:BV4,$BK$5:BV5)</f>
        <v>-0.9719188128797176</v>
      </c>
      <c r="BW8">
        <f>CORREL($BK$4:BW4,$BK$5:BW5)</f>
        <v>-0.971918978403706</v>
      </c>
      <c r="BX8">
        <f>CORREL($BK$4:BX4,$BK$5:BX5)</f>
        <v>-0.96952767848305021</v>
      </c>
      <c r="BY8">
        <f>CORREL($BK$4:BY4,$BK$5:BY5)</f>
        <v>-0.9686467196599795</v>
      </c>
      <c r="BZ8">
        <f>CORREL($BK$4:BZ4,$BK$5:BZ5)</f>
        <v>-0.96704503957359578</v>
      </c>
      <c r="CA8">
        <f>CORREL($BK$4:CA4,$BK$5:CA5)</f>
        <v>-0.9670786688939903</v>
      </c>
      <c r="CB8">
        <f>CORREL($BK$4:CB4,$BK$5:CB5)</f>
        <v>-0.96674859825217996</v>
      </c>
      <c r="CC8">
        <f>CORREL($BK$4:CC4,$BK$5:CC5)</f>
        <v>-0.96538346069733094</v>
      </c>
      <c r="CD8">
        <f>CORREL($BK$4:CD4,$BK$5:CD5)</f>
        <v>-0.96443686543391971</v>
      </c>
      <c r="CE8">
        <f>CORREL($BK$4:CE4,$BK$5:CE5)</f>
        <v>-0.96294490950776301</v>
      </c>
      <c r="CF8">
        <f>CORREL($BK$4:CF4,$BK$5:CF5)</f>
        <v>-0.96138800933585911</v>
      </c>
      <c r="CG8">
        <f>CORREL($BK$4:CG4,$BK$5:CG5)</f>
        <v>-0.9571423102765062</v>
      </c>
      <c r="CH8">
        <f>CORREL($BK$4:CH4,$BK$5:CH5)</f>
        <v>-0.95198675018780921</v>
      </c>
      <c r="CI8">
        <f>CORREL($BK$4:CI4,$BK$5:CI5)</f>
        <v>-0.94746312764283425</v>
      </c>
      <c r="CK8" s="11" t="s">
        <v>35</v>
      </c>
      <c r="CL8" s="11"/>
      <c r="CM8" s="11"/>
      <c r="CN8" s="11"/>
      <c r="CO8" s="11"/>
      <c r="CP8" s="11"/>
    </row>
    <row r="9" spans="1:98" x14ac:dyDescent="0.25">
      <c r="A9" s="3">
        <v>2</v>
      </c>
      <c r="B9" s="2" t="s">
        <v>9</v>
      </c>
      <c r="C9" s="2"/>
      <c r="D9" s="2"/>
      <c r="AC9" s="3">
        <v>3</v>
      </c>
      <c r="AD9" s="2" t="s">
        <v>13</v>
      </c>
      <c r="AE9" s="2"/>
      <c r="BC9" s="3">
        <v>4</v>
      </c>
      <c r="BD9" s="2" t="s">
        <v>16</v>
      </c>
      <c r="BE9" s="2"/>
      <c r="BF9" s="2"/>
      <c r="BJ9" t="s">
        <v>29</v>
      </c>
      <c r="BK9">
        <f>BK4+BK5*$BJ$138</f>
        <v>42.484105064057474</v>
      </c>
      <c r="BL9">
        <f t="shared" ref="BL9:CI9" si="1">BL4+BL5*$BJ$138</f>
        <v>42.150315075574454</v>
      </c>
      <c r="BM9">
        <f t="shared" si="1"/>
        <v>40.783190688614752</v>
      </c>
      <c r="BN9">
        <f t="shared" si="1"/>
        <v>36.486286299622925</v>
      </c>
      <c r="BO9">
        <f t="shared" si="1"/>
        <v>36.127013635261243</v>
      </c>
      <c r="BP9">
        <f t="shared" si="1"/>
        <v>36.161224039637588</v>
      </c>
      <c r="BQ9">
        <f t="shared" si="1"/>
        <v>36.143041477500262</v>
      </c>
      <c r="BR9">
        <f t="shared" si="1"/>
        <v>36.191251423325973</v>
      </c>
      <c r="BS9">
        <f t="shared" si="1"/>
        <v>37.1556173910881</v>
      </c>
      <c r="BT9">
        <f t="shared" si="1"/>
        <v>36.837908642074602</v>
      </c>
      <c r="BU9">
        <f t="shared" si="1"/>
        <v>37.293548120328161</v>
      </c>
      <c r="BV9">
        <f t="shared" si="1"/>
        <v>37.538019349437555</v>
      </c>
      <c r="BW9">
        <f t="shared" si="1"/>
        <v>37.914893373612543</v>
      </c>
      <c r="BX9">
        <f t="shared" si="1"/>
        <v>38.19271441170126</v>
      </c>
      <c r="BY9">
        <f t="shared" si="1"/>
        <v>38.272832195974523</v>
      </c>
      <c r="BZ9">
        <f t="shared" si="1"/>
        <v>37.722878322646956</v>
      </c>
      <c r="CA9">
        <f t="shared" si="1"/>
        <v>37.513500935105327</v>
      </c>
      <c r="CB9">
        <f t="shared" si="1"/>
        <v>37.92724052061952</v>
      </c>
      <c r="CC9">
        <f t="shared" si="1"/>
        <v>38.121541863888083</v>
      </c>
      <c r="CD9">
        <f t="shared" si="1"/>
        <v>38.200102146335425</v>
      </c>
      <c r="CE9">
        <f t="shared" si="1"/>
        <v>38.497595510886065</v>
      </c>
      <c r="CF9">
        <f t="shared" si="1"/>
        <v>38.688838053615214</v>
      </c>
      <c r="CG9">
        <f t="shared" si="1"/>
        <v>38.711139929659851</v>
      </c>
      <c r="CH9">
        <f t="shared" si="1"/>
        <v>38.876516737631121</v>
      </c>
      <c r="CI9">
        <f t="shared" si="1"/>
        <v>38.844453827541059</v>
      </c>
    </row>
    <row r="10" spans="1:98" x14ac:dyDescent="0.25">
      <c r="C10" s="8" t="s">
        <v>2</v>
      </c>
      <c r="AD10" s="8" t="s">
        <v>2</v>
      </c>
      <c r="BJ10" t="s">
        <v>30</v>
      </c>
      <c r="BL10">
        <f>BL9 - SQRT(BL6^2+2*BL6*BL7*BL8*$BJ$138+BL7^2*$BJ$138^2)*3</f>
        <v>40.734164089483315</v>
      </c>
      <c r="BM10">
        <f t="shared" ref="BM10:CI10" si="2">BM9 - SQRT(BM6^2+2*BM6*BM7*BM8*$BJ$138+BM7^2*$BJ$138^2)*3</f>
        <v>35.876062279396734</v>
      </c>
      <c r="BN10">
        <f t="shared" si="2"/>
        <v>9.9914058842790041</v>
      </c>
      <c r="BO10">
        <f t="shared" si="2"/>
        <v>13.331477273053096</v>
      </c>
      <c r="BP10">
        <f t="shared" si="2"/>
        <v>15.84276600019318</v>
      </c>
      <c r="BQ10">
        <f t="shared" si="2"/>
        <v>17.770058094795864</v>
      </c>
      <c r="BR10">
        <f t="shared" si="2"/>
        <v>19.180072706120363</v>
      </c>
      <c r="BS10">
        <f t="shared" si="2"/>
        <v>18.963505743874627</v>
      </c>
      <c r="BT10">
        <f t="shared" si="2"/>
        <v>19.41203146768833</v>
      </c>
      <c r="BU10">
        <f t="shared" si="2"/>
        <v>20.685267556197992</v>
      </c>
      <c r="BV10">
        <f t="shared" si="2"/>
        <v>21.497540709593313</v>
      </c>
      <c r="BW10">
        <f t="shared" si="2"/>
        <v>22.040290660612026</v>
      </c>
      <c r="BX10">
        <f t="shared" si="2"/>
        <v>23.096151453734347</v>
      </c>
      <c r="BY10">
        <f t="shared" si="2"/>
        <v>23.715753524051681</v>
      </c>
      <c r="BZ10">
        <f t="shared" si="2"/>
        <v>22.114913585702865</v>
      </c>
      <c r="CA10">
        <f t="shared" si="2"/>
        <v>22.396105406726154</v>
      </c>
      <c r="CB10">
        <f t="shared" si="2"/>
        <v>22.389958485182383</v>
      </c>
      <c r="CC10">
        <f t="shared" si="2"/>
        <v>22.920528904202985</v>
      </c>
      <c r="CD10">
        <f t="shared" si="2"/>
        <v>23.357944984161946</v>
      </c>
      <c r="CE10">
        <f t="shared" si="2"/>
        <v>23.50426106028597</v>
      </c>
      <c r="CF10">
        <f t="shared" si="2"/>
        <v>23.805765164786877</v>
      </c>
      <c r="CG10">
        <f t="shared" si="2"/>
        <v>24.327782832758839</v>
      </c>
      <c r="CH10">
        <f t="shared" si="2"/>
        <v>24.608459193253132</v>
      </c>
      <c r="CI10">
        <f t="shared" si="2"/>
        <v>24.832804208009982</v>
      </c>
      <c r="CK10" t="s">
        <v>36</v>
      </c>
      <c r="CM10" s="15" t="s">
        <v>40</v>
      </c>
      <c r="CN10" s="15" t="s">
        <v>41</v>
      </c>
      <c r="CO10" s="14">
        <v>2</v>
      </c>
      <c r="CP10" s="15" t="s">
        <v>40</v>
      </c>
      <c r="CQ10" s="15" t="s">
        <v>41</v>
      </c>
      <c r="CR10" s="14">
        <v>3</v>
      </c>
      <c r="CS10" s="15" t="s">
        <v>40</v>
      </c>
      <c r="CT10" s="15" t="s">
        <v>41</v>
      </c>
    </row>
    <row r="11" spans="1:98" x14ac:dyDescent="0.25">
      <c r="A11" s="7" t="s">
        <v>15</v>
      </c>
      <c r="B11" s="9" t="s">
        <v>12</v>
      </c>
      <c r="C11" s="8">
        <v>1</v>
      </c>
      <c r="D11" s="8">
        <v>2</v>
      </c>
      <c r="E11" s="8">
        <v>3</v>
      </c>
      <c r="F11" s="8">
        <v>4</v>
      </c>
      <c r="G11" s="8">
        <v>5</v>
      </c>
      <c r="H11" s="8">
        <v>6</v>
      </c>
      <c r="I11" s="8">
        <v>7</v>
      </c>
      <c r="J11" s="8">
        <v>8</v>
      </c>
      <c r="K11" s="8">
        <v>9</v>
      </c>
      <c r="L11" s="8">
        <v>10</v>
      </c>
      <c r="M11" s="8">
        <v>11</v>
      </c>
      <c r="N11" s="8">
        <v>12</v>
      </c>
      <c r="O11" s="8">
        <v>13</v>
      </c>
      <c r="P11" s="8">
        <v>14</v>
      </c>
      <c r="Q11" s="8">
        <v>15</v>
      </c>
      <c r="R11" s="8">
        <v>16</v>
      </c>
      <c r="S11" s="8">
        <v>17</v>
      </c>
      <c r="T11" s="8">
        <v>18</v>
      </c>
      <c r="U11" s="8">
        <v>19</v>
      </c>
      <c r="V11" s="8">
        <v>20</v>
      </c>
      <c r="W11" s="8">
        <v>21</v>
      </c>
      <c r="X11" s="8">
        <v>22</v>
      </c>
      <c r="Y11" s="8">
        <v>23</v>
      </c>
      <c r="Z11" s="8">
        <v>24</v>
      </c>
      <c r="AA11" s="8">
        <v>25</v>
      </c>
      <c r="AC11" s="7" t="s">
        <v>14</v>
      </c>
      <c r="AD11" s="8">
        <v>1</v>
      </c>
      <c r="AE11" s="8">
        <v>2</v>
      </c>
      <c r="AF11" s="8">
        <v>3</v>
      </c>
      <c r="AG11" s="8">
        <v>4</v>
      </c>
      <c r="AH11" s="8">
        <v>5</v>
      </c>
      <c r="AI11" s="8">
        <v>6</v>
      </c>
      <c r="AJ11" s="8">
        <v>7</v>
      </c>
      <c r="AK11" s="8">
        <v>8</v>
      </c>
      <c r="AL11" s="8">
        <v>9</v>
      </c>
      <c r="AM11" s="8">
        <v>10</v>
      </c>
      <c r="AN11" s="8">
        <v>11</v>
      </c>
      <c r="AO11" s="8">
        <v>12</v>
      </c>
      <c r="AP11" s="8">
        <v>13</v>
      </c>
      <c r="AQ11" s="8">
        <v>14</v>
      </c>
      <c r="AR11" s="8">
        <v>15</v>
      </c>
      <c r="AS11" s="8">
        <v>16</v>
      </c>
      <c r="AT11" s="8">
        <v>17</v>
      </c>
      <c r="AU11" s="8">
        <v>18</v>
      </c>
      <c r="AV11" s="8">
        <v>19</v>
      </c>
      <c r="AW11" s="8">
        <v>20</v>
      </c>
      <c r="AX11" s="8">
        <v>21</v>
      </c>
      <c r="AY11" s="8">
        <v>22</v>
      </c>
      <c r="AZ11" s="8">
        <v>23</v>
      </c>
      <c r="BA11" s="8">
        <v>24</v>
      </c>
      <c r="BB11" s="8">
        <v>25</v>
      </c>
      <c r="BC11" s="11" t="s">
        <v>17</v>
      </c>
      <c r="BD11" s="11" t="s">
        <v>18</v>
      </c>
      <c r="BE11" s="11" t="s">
        <v>19</v>
      </c>
      <c r="BF11" s="11" t="s">
        <v>22</v>
      </c>
      <c r="BG11" s="11" t="s">
        <v>20</v>
      </c>
      <c r="BH11" s="11" t="s">
        <v>21</v>
      </c>
      <c r="BJ11" t="s">
        <v>31</v>
      </c>
      <c r="BL11">
        <f>BL9 + SQRT(BL6^2+2*BL6*BL7*BL8*$BJ$138+BL7^2*$BJ$138^2)*3</f>
        <v>43.566466061665594</v>
      </c>
      <c r="BM11">
        <f t="shared" ref="BM11:CH11" si="3">BM9 + SQRT(BM6^2+2*BM6*BM7*BM8*$BJ$138+BM7^2*$BJ$138^2)*3</f>
        <v>45.69031909783277</v>
      </c>
      <c r="BN11">
        <f t="shared" si="3"/>
        <v>62.981166714966847</v>
      </c>
      <c r="BO11">
        <f t="shared" si="3"/>
        <v>58.922549997469389</v>
      </c>
      <c r="BP11">
        <f t="shared" si="3"/>
        <v>56.479682079081996</v>
      </c>
      <c r="BQ11">
        <f t="shared" si="3"/>
        <v>54.516024860204659</v>
      </c>
      <c r="BR11">
        <f t="shared" si="3"/>
        <v>53.202430140531582</v>
      </c>
      <c r="BS11">
        <f t="shared" si="3"/>
        <v>55.347729038301573</v>
      </c>
      <c r="BT11">
        <f t="shared" si="3"/>
        <v>54.263785816460874</v>
      </c>
      <c r="BU11">
        <f t="shared" si="3"/>
        <v>53.90182868445833</v>
      </c>
      <c r="BV11">
        <f t="shared" si="3"/>
        <v>53.5784979892818</v>
      </c>
      <c r="BW11">
        <f t="shared" si="3"/>
        <v>53.789496086613056</v>
      </c>
      <c r="BX11">
        <f t="shared" si="3"/>
        <v>53.28927736966817</v>
      </c>
      <c r="BY11">
        <f t="shared" si="3"/>
        <v>52.829910867897368</v>
      </c>
      <c r="BZ11">
        <f t="shared" si="3"/>
        <v>53.330843059591047</v>
      </c>
      <c r="CA11">
        <f t="shared" si="3"/>
        <v>52.630896463484504</v>
      </c>
      <c r="CB11">
        <f t="shared" si="3"/>
        <v>53.464522556056657</v>
      </c>
      <c r="CC11">
        <f t="shared" si="3"/>
        <v>53.322554823573185</v>
      </c>
      <c r="CD11">
        <f t="shared" si="3"/>
        <v>53.042259308508903</v>
      </c>
      <c r="CE11">
        <f t="shared" si="3"/>
        <v>53.49092996148616</v>
      </c>
      <c r="CF11">
        <f t="shared" si="3"/>
        <v>53.571910942443552</v>
      </c>
      <c r="CG11">
        <f t="shared" si="3"/>
        <v>53.094497026560859</v>
      </c>
      <c r="CH11">
        <f t="shared" si="3"/>
        <v>53.14457428200911</v>
      </c>
      <c r="CI11">
        <f>CI9 + SQRT(CI6^2+2*CI6*CI7*CI8*$BJ$138+CI7^2*$BJ$138^2)*3</f>
        <v>52.856103447072137</v>
      </c>
      <c r="CK11" t="s">
        <v>42</v>
      </c>
      <c r="CL11" t="s">
        <v>44</v>
      </c>
      <c r="CM11" s="15" t="s">
        <v>37</v>
      </c>
      <c r="CN11" s="15" t="s">
        <v>46</v>
      </c>
      <c r="CO11" t="s">
        <v>44</v>
      </c>
      <c r="CP11" s="15" t="s">
        <v>37</v>
      </c>
      <c r="CQ11" s="15" t="s">
        <v>47</v>
      </c>
      <c r="CR11" t="s">
        <v>19</v>
      </c>
      <c r="CS11" s="15" t="s">
        <v>37</v>
      </c>
      <c r="CT11" s="15" t="s">
        <v>48</v>
      </c>
    </row>
    <row r="12" spans="1:98" x14ac:dyDescent="0.25">
      <c r="A12" s="7">
        <v>1</v>
      </c>
      <c r="B12" s="9">
        <f>$G$5+$G$6*A12</f>
        <v>3.0545255155273479</v>
      </c>
      <c r="C12">
        <v>-0.43607898190252392</v>
      </c>
      <c r="D12">
        <v>0.58330027161473441</v>
      </c>
      <c r="E12">
        <v>-0.81920834986419266</v>
      </c>
      <c r="F12">
        <v>-1.3733329264198346E-3</v>
      </c>
      <c r="G12">
        <v>-1.7670216986602427E-2</v>
      </c>
      <c r="H12">
        <v>0.91448713644825586</v>
      </c>
      <c r="I12">
        <v>-0.1147801141392254</v>
      </c>
      <c r="J12">
        <v>-0.57994323557237459</v>
      </c>
      <c r="K12">
        <v>-0.7730033265175329</v>
      </c>
      <c r="L12">
        <v>0.31321146275215916</v>
      </c>
      <c r="M12">
        <v>-0.68968779564806049</v>
      </c>
      <c r="N12">
        <v>-0.77745902890102847</v>
      </c>
      <c r="O12">
        <v>0.76219977416302997</v>
      </c>
      <c r="P12">
        <v>-0.64738914151432847</v>
      </c>
      <c r="Q12">
        <v>-0.16110721152378915</v>
      </c>
      <c r="R12">
        <v>0.95013275551622067</v>
      </c>
      <c r="S12">
        <v>0.8782921842097231</v>
      </c>
      <c r="T12">
        <v>-0.60679952391125225</v>
      </c>
      <c r="U12">
        <v>-0.30448316904202399</v>
      </c>
      <c r="V12">
        <v>1.1810663167211022E-2</v>
      </c>
      <c r="W12">
        <v>9.9215674306466939E-2</v>
      </c>
      <c r="X12">
        <v>-0.39017914365062412</v>
      </c>
      <c r="Y12">
        <v>0.11410870693075359</v>
      </c>
      <c r="Z12">
        <v>-0.57029938657795953</v>
      </c>
      <c r="AA12">
        <v>0.1879024628437147</v>
      </c>
      <c r="AC12" s="7">
        <v>1</v>
      </c>
      <c r="AD12">
        <f t="shared" ref="AD12:AD43" si="4">$B12+$G$7*C12</f>
        <v>-2.9715445751657024</v>
      </c>
      <c r="AE12">
        <f t="shared" ref="AE12:AE43" si="5">$B12+$G$7*D12</f>
        <v>11.115011038896114</v>
      </c>
      <c r="AF12">
        <f t="shared" ref="AF12:AF43" si="6">$B12+$G$7*E12</f>
        <v>-8.2659167438661392</v>
      </c>
      <c r="AG12">
        <f t="shared" ref="AG12:AG43" si="7">$B12+$G$7*F12</f>
        <v>3.0355477596255227</v>
      </c>
      <c r="AH12">
        <f t="shared" ref="AH12:AH43" si="8">$B12+$G$7*G12</f>
        <v>2.8103450562571899</v>
      </c>
      <c r="AI12">
        <f t="shared" ref="AI12:AI43" si="9">$B12+$G$7*H12</f>
        <v>15.691602306598607</v>
      </c>
      <c r="AJ12">
        <f t="shared" ref="AJ12:AJ43" si="10">$B12+$G$7*I12</f>
        <v>1.4684068500436505</v>
      </c>
      <c r="AK12">
        <f t="shared" ref="AK12:AK43" si="11">$B12+$G$7*J12</f>
        <v>-4.9595699378591744</v>
      </c>
      <c r="AL12">
        <f t="shared" ref="AL12:AL43" si="12">$B12+$G$7*K12</f>
        <v>-7.6274206897469368</v>
      </c>
      <c r="AM12">
        <f t="shared" ref="AM12:AM43" si="13">$B12+$G$7*L12</f>
        <v>7.3827190448703925</v>
      </c>
      <c r="AN12">
        <f t="shared" ref="AN12:AN43" si="14">$B12+$G$7*M12</f>
        <v>-6.4761034983695103</v>
      </c>
      <c r="AO12">
        <f t="shared" ref="AO12:AO43" si="15">$B12+$G$7*N12</f>
        <v>-7.6889929644506383</v>
      </c>
      <c r="AP12">
        <f t="shared" ref="AP12:AP43" si="16">$B12+$G$7*O12</f>
        <v>13.587180041040604</v>
      </c>
      <c r="AQ12">
        <f t="shared" ref="AQ12:AQ43" si="17">$B12+$G$7*P12</f>
        <v>-5.8915886165932809</v>
      </c>
      <c r="AR12">
        <f t="shared" ref="AR12:AR43" si="18">$B12+$G$7*Q12</f>
        <v>0.82822388428873062</v>
      </c>
      <c r="AS12">
        <f t="shared" ref="AS12:AS43" si="19">$B12+$G$7*R12</f>
        <v>16.18418050422822</v>
      </c>
      <c r="AT12">
        <f t="shared" ref="AT12:AT43" si="20">$B12+$G$7*S12</f>
        <v>15.191433006608268</v>
      </c>
      <c r="AU12">
        <f t="shared" ref="AU12:AU43" si="21">$B12+$G$7*T12</f>
        <v>-5.330690497717101</v>
      </c>
      <c r="AV12">
        <f t="shared" ref="AV12:AV43" si="22">$B12+$G$7*U12</f>
        <v>-1.1530538318618717</v>
      </c>
      <c r="AW12">
        <f t="shared" ref="AW12:AW43" si="23">$B12+$G$7*V12</f>
        <v>3.2177342162830502</v>
      </c>
      <c r="AX12">
        <f t="shared" ref="AX12:AX43" si="24">$B12+$G$7*W12</f>
        <v>4.4255629474570224</v>
      </c>
      <c r="AY12">
        <f t="shared" ref="AY12:AY43" si="25">$B12+$G$7*X12</f>
        <v>-2.3372658001357944</v>
      </c>
      <c r="AZ12">
        <f t="shared" ref="AZ12:AZ43" si="26">$B12+$G$7*Y12</f>
        <v>4.6313661670145994</v>
      </c>
      <c r="BA12">
        <f t="shared" ref="BA12:BA43" si="27">$B12+$G$7*Z12</f>
        <v>-4.8263039186374659</v>
      </c>
      <c r="BB12">
        <f t="shared" ref="BB12:BB43" si="28">$B12+$G$7*AA12</f>
        <v>5.6511042508060312</v>
      </c>
      <c r="BC12" s="2">
        <f>AVERAGE(AD12:BB12)</f>
        <v>1.9076786399845755</v>
      </c>
      <c r="BD12">
        <f>_xlfn.VAR.S(AD12:BB12)</f>
        <v>61.170602488650673</v>
      </c>
      <c r="BE12">
        <f>_xlfn.STDEV.S(AD12:BB12)</f>
        <v>7.8211637553915638</v>
      </c>
      <c r="BF12" s="12">
        <f>$M$5+$M$6*AC12</f>
        <v>3.1500989835482449</v>
      </c>
      <c r="BG12">
        <f>BC12-BF12</f>
        <v>-1.2424203435636694</v>
      </c>
      <c r="BH12">
        <f>BG12*BG12</f>
        <v>1.5436083101008662</v>
      </c>
      <c r="BK12" s="13">
        <v>1</v>
      </c>
      <c r="BL12" s="13">
        <v>2</v>
      </c>
      <c r="BM12" s="13">
        <v>3</v>
      </c>
      <c r="BN12" s="13">
        <v>4</v>
      </c>
      <c r="BO12" s="13">
        <v>5</v>
      </c>
      <c r="BP12" s="13">
        <v>6</v>
      </c>
      <c r="BQ12" s="13">
        <v>7</v>
      </c>
      <c r="BR12" s="13">
        <v>8</v>
      </c>
      <c r="BS12" s="13">
        <v>9</v>
      </c>
      <c r="BT12" s="13">
        <v>10</v>
      </c>
      <c r="BU12" s="13">
        <v>11</v>
      </c>
      <c r="BV12" s="13">
        <v>12</v>
      </c>
      <c r="BW12" s="13">
        <v>13</v>
      </c>
      <c r="BX12" s="13">
        <v>14</v>
      </c>
      <c r="BY12" s="13">
        <v>15</v>
      </c>
      <c r="BZ12" s="13">
        <v>16</v>
      </c>
      <c r="CA12" s="13">
        <v>17</v>
      </c>
      <c r="CB12" s="13">
        <v>18</v>
      </c>
      <c r="CC12" s="13">
        <v>19</v>
      </c>
      <c r="CD12" s="13">
        <v>20</v>
      </c>
      <c r="CE12" s="13">
        <v>21</v>
      </c>
      <c r="CF12" s="13">
        <v>22</v>
      </c>
      <c r="CG12" s="13">
        <v>23</v>
      </c>
      <c r="CH12" s="13">
        <v>24</v>
      </c>
      <c r="CI12" s="13">
        <v>25</v>
      </c>
      <c r="CK12" t="s">
        <v>43</v>
      </c>
      <c r="CL12" t="s">
        <v>45</v>
      </c>
      <c r="CM12" s="15" t="s">
        <v>38</v>
      </c>
      <c r="CN12" s="15" t="s">
        <v>39</v>
      </c>
      <c r="CO12" t="s">
        <v>45</v>
      </c>
      <c r="CP12" s="15" t="s">
        <v>38</v>
      </c>
      <c r="CQ12" s="15" t="s">
        <v>39</v>
      </c>
      <c r="CR12" t="s">
        <v>45</v>
      </c>
      <c r="CS12" s="15" t="s">
        <v>38</v>
      </c>
      <c r="CT12" s="15" t="s">
        <v>39</v>
      </c>
    </row>
    <row r="13" spans="1:98" x14ac:dyDescent="0.25">
      <c r="A13" s="7">
        <v>2</v>
      </c>
      <c r="B13" s="9">
        <f t="shared" ref="B13:B76" si="29">$G$5+$G$6*A13</f>
        <v>3.3461099155771081</v>
      </c>
      <c r="C13">
        <v>-0.77330851161229286</v>
      </c>
      <c r="D13">
        <v>0.88378551591540266</v>
      </c>
      <c r="E13">
        <v>0.45060579241309862</v>
      </c>
      <c r="F13">
        <v>0.56120487075411241</v>
      </c>
      <c r="G13">
        <v>-0.47837763603625594</v>
      </c>
      <c r="H13">
        <v>0.58659627063814201</v>
      </c>
      <c r="I13">
        <v>-0.91674550614947969</v>
      </c>
      <c r="J13">
        <v>0.92803735465559867</v>
      </c>
      <c r="K13">
        <v>-0.83819086275826282</v>
      </c>
      <c r="L13">
        <v>0.83892330698568673</v>
      </c>
      <c r="M13">
        <v>0.62431714835047458</v>
      </c>
      <c r="N13">
        <v>-3.7751396221808564E-2</v>
      </c>
      <c r="O13">
        <v>-0.56511123996703994</v>
      </c>
      <c r="P13">
        <v>0.84917752616962194</v>
      </c>
      <c r="Q13">
        <v>-0.76586199530014953</v>
      </c>
      <c r="R13">
        <v>0.8239082003234961</v>
      </c>
      <c r="S13">
        <v>0.93652150028992587</v>
      </c>
      <c r="T13">
        <v>-0.39518417920468762</v>
      </c>
      <c r="U13">
        <v>0.62730796227912222</v>
      </c>
      <c r="V13">
        <v>-0.66057313760795922</v>
      </c>
      <c r="W13">
        <v>0.27750480666524258</v>
      </c>
      <c r="X13">
        <v>5.7985168004393017E-4</v>
      </c>
      <c r="Y13">
        <v>0.93737601855525376</v>
      </c>
      <c r="Z13">
        <v>-0.34415723136082033</v>
      </c>
      <c r="AA13">
        <v>0.37369914853358566</v>
      </c>
      <c r="AC13" s="7">
        <v>2</v>
      </c>
      <c r="AD13">
        <f t="shared" si="4"/>
        <v>-7.3400535687864714</v>
      </c>
      <c r="AE13">
        <f t="shared" si="5"/>
        <v>15.558928430265331</v>
      </c>
      <c r="AF13">
        <f t="shared" si="6"/>
        <v>9.5729224909205808</v>
      </c>
      <c r="AG13">
        <f t="shared" si="7"/>
        <v>11.101264432880944</v>
      </c>
      <c r="AH13">
        <f t="shared" si="8"/>
        <v>-3.2644750568921723</v>
      </c>
      <c r="AI13">
        <f t="shared" si="9"/>
        <v>11.452142053110252</v>
      </c>
      <c r="AJ13">
        <f t="shared" si="10"/>
        <v>-9.3221747407549334</v>
      </c>
      <c r="AK13">
        <f t="shared" si="11"/>
        <v>16.170433898213048</v>
      </c>
      <c r="AL13">
        <f t="shared" si="12"/>
        <v>-8.2366471031705029</v>
      </c>
      <c r="AM13">
        <f t="shared" si="13"/>
        <v>14.938988404139025</v>
      </c>
      <c r="AN13">
        <f t="shared" si="14"/>
        <v>11.973397748547065</v>
      </c>
      <c r="AO13">
        <f t="shared" si="15"/>
        <v>2.8244324922313657</v>
      </c>
      <c r="AP13">
        <f t="shared" si="16"/>
        <v>-4.4630257740696955</v>
      </c>
      <c r="AQ13">
        <f t="shared" si="17"/>
        <v>15.080688981539325</v>
      </c>
      <c r="AR13">
        <f t="shared" si="18"/>
        <v>-7.2371519590076829</v>
      </c>
      <c r="AS13">
        <f t="shared" si="19"/>
        <v>14.73149827294573</v>
      </c>
      <c r="AT13">
        <f t="shared" si="20"/>
        <v>16.287674256895439</v>
      </c>
      <c r="AU13">
        <f t="shared" si="21"/>
        <v>-2.114844777150465</v>
      </c>
      <c r="AV13">
        <f t="shared" si="22"/>
        <v>12.014727083622152</v>
      </c>
      <c r="AW13">
        <f t="shared" si="23"/>
        <v>-5.7821906732010468</v>
      </c>
      <c r="AX13">
        <f t="shared" si="24"/>
        <v>7.1808817914726868</v>
      </c>
      <c r="AY13">
        <f t="shared" si="25"/>
        <v>3.3541227458467677</v>
      </c>
      <c r="AZ13">
        <f t="shared" si="26"/>
        <v>16.299482638345463</v>
      </c>
      <c r="BA13">
        <f t="shared" si="27"/>
        <v>-1.4097157134204088</v>
      </c>
      <c r="BB13">
        <f t="shared" si="28"/>
        <v>8.5101681604183419</v>
      </c>
      <c r="BC13" s="2">
        <f t="shared" ref="BC13:BC76" si="30">AVERAGE(AD13:BB13)</f>
        <v>5.5152589805976051</v>
      </c>
      <c r="BD13">
        <f t="shared" ref="BD13:BD76" si="31">_xlfn.VAR.S(AD13:BB13)</f>
        <v>85.421634676577966</v>
      </c>
      <c r="BE13">
        <f t="shared" ref="BE13:BE76" si="32">_xlfn.STDEV.S(AD13:BB13)</f>
        <v>9.2423825216541413</v>
      </c>
      <c r="BF13" s="12">
        <f t="shared" ref="BF13:BF76" si="33">$M$5+$M$6*AC13</f>
        <v>3.4382012018456543</v>
      </c>
      <c r="BG13">
        <f t="shared" ref="BG13:BG76" si="34">BC13-BF13</f>
        <v>2.0770577787519509</v>
      </c>
      <c r="BH13">
        <f t="shared" ref="BH13:BH76" si="35">BG13*BG13</f>
        <v>4.3141690162739881</v>
      </c>
      <c r="BJ13" s="7">
        <v>1</v>
      </c>
      <c r="BK13">
        <f t="shared" ref="BK13:BK44" si="36">(AD12-(O$5+O$6*$BJ13))^2</f>
        <v>19.655459640846733</v>
      </c>
      <c r="BL13">
        <f t="shared" ref="BL13:BL44" si="37">(AE12-(P$5+P$6*$BJ13))^2</f>
        <v>59.903094180574541</v>
      </c>
      <c r="BM13">
        <f t="shared" ref="BM13:BM44" si="38">(AF12-(Q$5+Q$6*$BJ13))^2</f>
        <v>92.041102698826563</v>
      </c>
      <c r="BN13">
        <f t="shared" ref="BN13:BN44" si="39">(AG12-(R$5+R$6*$BJ13))^2</f>
        <v>24.202898165106404</v>
      </c>
      <c r="BO13">
        <f t="shared" ref="BO13:BO44" si="40">(AH12-(S$5+S$6*$BJ13))^2</f>
        <v>3.9707150039600045</v>
      </c>
      <c r="BP13">
        <f t="shared" ref="BP13:BP44" si="41">(AI12-(T$5+T$6*$BJ13))^2</f>
        <v>143.77390433973522</v>
      </c>
      <c r="BQ13">
        <f t="shared" ref="BQ13:BQ44" si="42">(AJ12-(U$5+U$6*$BJ13))^2</f>
        <v>0.50024665140061142</v>
      </c>
      <c r="BR13">
        <f t="shared" ref="BR13:BR44" si="43">(AK12-(V$5+V$6*$BJ13))^2</f>
        <v>69.568396456817112</v>
      </c>
      <c r="BS13">
        <f t="shared" ref="BS13:BS44" si="44">(AL12-(W$5+W$6*$BJ13))^2</f>
        <v>63.736849096094254</v>
      </c>
      <c r="BT13">
        <f t="shared" ref="BT13:BT44" si="45">(AM12-(X$5+X$6*$BJ13))^2</f>
        <v>10.463732659774912</v>
      </c>
      <c r="BU13">
        <f t="shared" ref="BU13:BU44" si="46">(AN12-(Y$5+Y$6*$BJ13))^2</f>
        <v>127.82675661146337</v>
      </c>
      <c r="BV13">
        <f t="shared" ref="BV13:BV44" si="47">(AO12-(Z$5+Z$6*$BJ13))^2</f>
        <v>106.63064347781217</v>
      </c>
      <c r="BW13">
        <f t="shared" ref="BW13:BW44" si="48">(AP12-(AA$5+AA$6*$BJ13))^2</f>
        <v>175.57244889448498</v>
      </c>
      <c r="BX13">
        <f t="shared" ref="BX13:BX44" si="49">(AQ12-(AB$5+AB$6*$BJ13))^2</f>
        <v>124.86105987527883</v>
      </c>
      <c r="BY13">
        <f t="shared" ref="BY13:BY44" si="50">(AR12-(AC$5+AC$6*$BJ13))^2</f>
        <v>0.82201536419225996</v>
      </c>
      <c r="BZ13">
        <f t="shared" ref="BZ13:BZ44" si="51">(AS12-(AD$5+AD$6*$BJ13))^2</f>
        <v>83.41331412118339</v>
      </c>
      <c r="CA13">
        <f t="shared" ref="CA13:CA44" si="52">(AT12-(AE$5+AE$6*$BJ13))^2</f>
        <v>170.62480993375053</v>
      </c>
      <c r="CB13">
        <f t="shared" ref="CB13:CB44" si="53">(AU12-(AF$5+AF$6*$BJ13))^2</f>
        <v>50.156376771702021</v>
      </c>
      <c r="CC13">
        <f t="shared" ref="CC13:CC44" si="54">(AV12-(AG$5+AG$6*$BJ13))^2</f>
        <v>25.628765087498419</v>
      </c>
      <c r="CD13">
        <f t="shared" ref="CD13:CD44" si="55">(AW12-(AH$5+AH$6*$BJ13))^2</f>
        <v>0.73758396322500541</v>
      </c>
      <c r="CE13">
        <f t="shared" ref="CE13:CE44" si="56">(AX12-(AI$5+AI$6*$BJ13))^2</f>
        <v>4.64828002130999</v>
      </c>
      <c r="CF13">
        <f t="shared" ref="CF13:CF44" si="57">(AY12-(AJ$5+AJ$6*$BJ13))^2</f>
        <v>20.859728410303578</v>
      </c>
      <c r="CG13">
        <f t="shared" ref="CG13:CG44" si="58">(AZ12-(AK$5+AK$6*$BJ13))^2</f>
        <v>1.8730669164656273</v>
      </c>
      <c r="CH13">
        <f t="shared" ref="CH13:CH44" si="59">(BA12-(AL$5+AL$6*$BJ13))^2</f>
        <v>63.947091389897452</v>
      </c>
      <c r="CI13">
        <f t="shared" ref="CI13:CI44" si="60">(BB12-(AM$5+AM$6*$BJ13))^2</f>
        <v>5.3450499425720492</v>
      </c>
      <c r="CJ13" s="7">
        <v>1</v>
      </c>
      <c r="CK13" s="13">
        <f>$AP$5+$AP$6*CJ13</f>
        <v>3.2686271248083463</v>
      </c>
      <c r="CL13">
        <f>SQRT($AS$5^2+2*$AS$5*$AS$6*$AU$5*CJ13+$AS$6^2*CJ13^2)</f>
        <v>1.9208076282178979</v>
      </c>
      <c r="CM13">
        <f>CK13-CL13</f>
        <v>1.3478194965904484</v>
      </c>
      <c r="CN13">
        <f>CK13+CL13</f>
        <v>5.1894347530262444</v>
      </c>
      <c r="CO13">
        <f>SQRT($AS$5^2+2*$AS$5*$AS$6*$AU$5*CJ13+$AS$6^2*CJ13^2)*2</f>
        <v>3.8416152564357957</v>
      </c>
      <c r="CP13">
        <f>CK13-CO13</f>
        <v>-0.57298813162744944</v>
      </c>
      <c r="CQ13">
        <f>CK13+CO13</f>
        <v>7.1102423812441415</v>
      </c>
      <c r="CR13">
        <f>SQRT($AS$5^2+2*$AS$5*$AS$6*$AU$5*CJ13+$AS$6^2*CJ13^2)*3</f>
        <v>5.7624228846536933</v>
      </c>
      <c r="CS13">
        <f>CK13-CR13</f>
        <v>-2.4937957598453471</v>
      </c>
      <c r="CT13">
        <f>CK13+CR13</f>
        <v>9.0310500094620387</v>
      </c>
    </row>
    <row r="14" spans="1:98" x14ac:dyDescent="0.25">
      <c r="A14" s="7">
        <v>3</v>
      </c>
      <c r="B14" s="9">
        <f t="shared" si="29"/>
        <v>3.637694315626868</v>
      </c>
      <c r="C14">
        <v>0.22013000885036771</v>
      </c>
      <c r="D14">
        <v>-0.17905209509567555</v>
      </c>
      <c r="E14">
        <v>-0.82085634937589647</v>
      </c>
      <c r="F14">
        <v>0.87914670247505122</v>
      </c>
      <c r="G14">
        <v>0.68492690816980506</v>
      </c>
      <c r="H14">
        <v>0.86236152226325258</v>
      </c>
      <c r="I14">
        <v>-0.38920255134739223</v>
      </c>
      <c r="J14">
        <v>0.32718894009216593</v>
      </c>
      <c r="K14">
        <v>-0.11844233527634507</v>
      </c>
      <c r="L14">
        <v>-0.6589251380962553</v>
      </c>
      <c r="M14">
        <v>-0.10592974639118624</v>
      </c>
      <c r="N14">
        <v>0.54118472853785815</v>
      </c>
      <c r="O14">
        <v>-0.61955626087221893</v>
      </c>
      <c r="P14">
        <v>0.42594683675649292</v>
      </c>
      <c r="Q14">
        <v>-0.1165501876888333</v>
      </c>
      <c r="R14">
        <v>0.87640003662221133</v>
      </c>
      <c r="S14">
        <v>-0.64140751365703297</v>
      </c>
      <c r="T14">
        <v>-0.14377269814142279</v>
      </c>
      <c r="U14">
        <v>0.54911954100161742</v>
      </c>
      <c r="V14">
        <v>0.85747856074709317</v>
      </c>
      <c r="W14">
        <v>0.9387188329721976</v>
      </c>
      <c r="X14">
        <v>0.1750846888637958</v>
      </c>
      <c r="Y14">
        <v>-0.47160252693258464</v>
      </c>
      <c r="Z14">
        <v>0.77202673421430101</v>
      </c>
      <c r="AA14">
        <v>0.65715506454664752</v>
      </c>
      <c r="AC14" s="7">
        <v>3</v>
      </c>
      <c r="AD14">
        <f t="shared" si="4"/>
        <v>6.6796177227350597</v>
      </c>
      <c r="AE14">
        <f t="shared" si="5"/>
        <v>1.1634166739377276</v>
      </c>
      <c r="AF14">
        <f t="shared" si="6"/>
        <v>-7.7055212508488093</v>
      </c>
      <c r="AG14">
        <f t="shared" si="7"/>
        <v>15.786410188157815</v>
      </c>
      <c r="AH14">
        <f t="shared" si="8"/>
        <v>13.102533775730734</v>
      </c>
      <c r="AI14">
        <f t="shared" si="9"/>
        <v>15.554459838246609</v>
      </c>
      <c r="AJ14">
        <f t="shared" si="10"/>
        <v>-1.7406017069505322</v>
      </c>
      <c r="AK14">
        <f t="shared" si="11"/>
        <v>8.1590392272596066</v>
      </c>
      <c r="AL14">
        <f t="shared" si="12"/>
        <v>2.0009683010716355</v>
      </c>
      <c r="AM14">
        <f t="shared" si="13"/>
        <v>-5.4678329660690945</v>
      </c>
      <c r="AN14">
        <f t="shared" si="14"/>
        <v>2.1738767437327136</v>
      </c>
      <c r="AO14">
        <f t="shared" si="15"/>
        <v>11.116195324672976</v>
      </c>
      <c r="AP14">
        <f t="shared" si="16"/>
        <v>-4.9238039635500925</v>
      </c>
      <c r="AQ14">
        <f t="shared" si="17"/>
        <v>9.5237507405553377</v>
      </c>
      <c r="AR14">
        <f t="shared" si="18"/>
        <v>2.0271154314252611</v>
      </c>
      <c r="AS14">
        <f t="shared" si="19"/>
        <v>15.748454676354163</v>
      </c>
      <c r="AT14">
        <f t="shared" si="20"/>
        <v>-5.2257611463435865</v>
      </c>
      <c r="AU14">
        <f t="shared" si="21"/>
        <v>1.6509341366601831</v>
      </c>
      <c r="AV14">
        <f t="shared" si="22"/>
        <v>11.225844580994636</v>
      </c>
      <c r="AW14">
        <f t="shared" si="23"/>
        <v>15.486983372817898</v>
      </c>
      <c r="AX14">
        <f t="shared" si="24"/>
        <v>16.609623066388117</v>
      </c>
      <c r="AY14">
        <f t="shared" si="25"/>
        <v>6.0571473291551765</v>
      </c>
      <c r="AZ14">
        <f t="shared" si="26"/>
        <v>-2.8792670610600735</v>
      </c>
      <c r="BA14">
        <f t="shared" si="27"/>
        <v>14.306145227815412</v>
      </c>
      <c r="BB14">
        <f t="shared" si="28"/>
        <v>12.718761378604924</v>
      </c>
      <c r="BC14" s="2">
        <f t="shared" si="30"/>
        <v>6.1259395856597507</v>
      </c>
      <c r="BD14">
        <f t="shared" si="31"/>
        <v>63.002193765707467</v>
      </c>
      <c r="BE14">
        <f t="shared" si="32"/>
        <v>7.9373921262406748</v>
      </c>
      <c r="BF14" s="12">
        <f t="shared" si="33"/>
        <v>3.726303420143064</v>
      </c>
      <c r="BG14">
        <f t="shared" si="34"/>
        <v>2.3996361655166867</v>
      </c>
      <c r="BH14">
        <f t="shared" si="35"/>
        <v>5.7582537268556271</v>
      </c>
      <c r="BJ14" s="7">
        <v>2</v>
      </c>
      <c r="BK14">
        <f t="shared" si="36"/>
        <v>83.359354815831367</v>
      </c>
      <c r="BL14">
        <f t="shared" si="37"/>
        <v>141.04166875512081</v>
      </c>
      <c r="BM14">
        <f t="shared" si="38"/>
        <v>63.222621068962326</v>
      </c>
      <c r="BN14">
        <f t="shared" si="39"/>
        <v>9.1261359634156562</v>
      </c>
      <c r="BO14">
        <f t="shared" si="40"/>
        <v>68.999283185593981</v>
      </c>
      <c r="BP14">
        <f t="shared" si="41"/>
        <v>56.101079666607006</v>
      </c>
      <c r="BQ14">
        <f t="shared" si="42"/>
        <v>138.50297813397526</v>
      </c>
      <c r="BR14">
        <f t="shared" si="43"/>
        <v>156.85199138891019</v>
      </c>
      <c r="BS14">
        <f t="shared" si="44"/>
        <v>80.082417070510303</v>
      </c>
      <c r="BT14">
        <f t="shared" si="45"/>
        <v>111.35302027381036</v>
      </c>
      <c r="BU14">
        <f t="shared" si="46"/>
        <v>46.885403816841247</v>
      </c>
      <c r="BV14">
        <f t="shared" si="47"/>
        <v>1.2883588349391071E-2</v>
      </c>
      <c r="BW14">
        <f t="shared" si="48"/>
        <v>26.385019193360957</v>
      </c>
      <c r="BX14">
        <f t="shared" si="49"/>
        <v>90.363621802442765</v>
      </c>
      <c r="BY14">
        <f t="shared" si="50"/>
        <v>85.994154579945572</v>
      </c>
      <c r="BZ14">
        <f t="shared" si="51"/>
        <v>56.265404682294886</v>
      </c>
      <c r="CA14">
        <f t="shared" si="52"/>
        <v>193.27420857493604</v>
      </c>
      <c r="CB14">
        <f t="shared" si="53"/>
        <v>17.740489654076267</v>
      </c>
      <c r="CC14">
        <f t="shared" si="54"/>
        <v>60.896463050529938</v>
      </c>
      <c r="CD14">
        <f t="shared" si="55"/>
        <v>71.22969278576754</v>
      </c>
      <c r="CE14">
        <f t="shared" si="56"/>
        <v>20.920403565591403</v>
      </c>
      <c r="CF14">
        <f t="shared" si="57"/>
        <v>0.64055013876929789</v>
      </c>
      <c r="CG14">
        <f t="shared" si="58"/>
        <v>100.67918140696584</v>
      </c>
      <c r="CH14">
        <f t="shared" si="59"/>
        <v>23.972604842125733</v>
      </c>
      <c r="CI14">
        <f t="shared" si="60"/>
        <v>23.942565653196571</v>
      </c>
      <c r="CJ14" s="7">
        <v>2</v>
      </c>
      <c r="CK14" s="13">
        <f t="shared" ref="CK14:CK77" si="61">$AP$5+$AP$6*CJ14</f>
        <v>3.5532337384302077</v>
      </c>
      <c r="CL14">
        <f t="shared" ref="CL14:CL77" si="62">SQRT($AS$5^2+2*$AS$5*$AS$6*$AU$5*CJ14+$AS$6^2*CJ14^2)</f>
        <v>1.8793577756469912</v>
      </c>
      <c r="CM14">
        <f t="shared" ref="CM14:CM77" si="63">CK14-CL14</f>
        <v>1.6738759627832165</v>
      </c>
      <c r="CN14">
        <f t="shared" ref="CN14:CN77" si="64">CK14+CL14</f>
        <v>5.432591514077199</v>
      </c>
      <c r="CO14">
        <f t="shared" ref="CO14:CO77" si="65">SQRT($AS$5^2+2*$AS$5*$AS$6*$AU$5*CJ14+$AS$6^2*CJ14^2)*2</f>
        <v>3.7587155512939825</v>
      </c>
      <c r="CP14">
        <f t="shared" ref="CP14:CP77" si="66">CK14-CO14</f>
        <v>-0.20548181286377476</v>
      </c>
      <c r="CQ14">
        <f t="shared" ref="CQ14:CQ77" si="67">CK14+CO14</f>
        <v>7.3119492897241898</v>
      </c>
      <c r="CR14">
        <f t="shared" ref="CR14:CR77" si="68">SQRT($AS$5^2+2*$AS$5*$AS$6*$AU$5*CJ14+$AS$6^2*CJ14^2)*3</f>
        <v>5.6380733269409742</v>
      </c>
      <c r="CS14">
        <f t="shared" ref="CS14:CS77" si="69">CK14-CR14</f>
        <v>-2.0848395885107665</v>
      </c>
      <c r="CT14">
        <f t="shared" ref="CT14:CT77" si="70">CK14+CR14</f>
        <v>9.1913070653711824</v>
      </c>
    </row>
    <row r="15" spans="1:98" x14ac:dyDescent="0.25">
      <c r="A15" s="7">
        <v>4</v>
      </c>
      <c r="B15" s="9">
        <f t="shared" si="29"/>
        <v>3.9292787156766282</v>
      </c>
      <c r="C15">
        <v>0.57506027405621518</v>
      </c>
      <c r="D15">
        <v>-0.16141239661854911</v>
      </c>
      <c r="E15">
        <v>0.78435621204260375</v>
      </c>
      <c r="F15">
        <v>-0.62651448103274632</v>
      </c>
      <c r="G15">
        <v>-0.58030945768608655</v>
      </c>
      <c r="H15">
        <v>0.56132694479201639</v>
      </c>
      <c r="I15">
        <v>0.131015961180456</v>
      </c>
      <c r="J15">
        <v>0.93383587145603819</v>
      </c>
      <c r="K15">
        <v>-0.49583422345652639</v>
      </c>
      <c r="L15">
        <v>-0.68749046296578875</v>
      </c>
      <c r="M15">
        <v>0.96093630787072359</v>
      </c>
      <c r="N15">
        <v>0.90026551103244112</v>
      </c>
      <c r="O15">
        <v>-0.88457899716177857</v>
      </c>
      <c r="P15">
        <v>-0.68950468459120451</v>
      </c>
      <c r="Q15">
        <v>0.38230536820581684</v>
      </c>
      <c r="R15">
        <v>0.65990173039948719</v>
      </c>
      <c r="S15">
        <v>0.9565416425061799</v>
      </c>
      <c r="T15">
        <v>0.85314493240150147</v>
      </c>
      <c r="U15">
        <v>-0.72051149021881766</v>
      </c>
      <c r="V15">
        <v>-0.77532273323770862</v>
      </c>
      <c r="W15">
        <v>-3.570665608691681E-3</v>
      </c>
      <c r="X15">
        <v>1.8707846308786191E-2</v>
      </c>
      <c r="Y15">
        <v>-0.5382549516281625</v>
      </c>
      <c r="Z15">
        <v>3.5431989501632843E-2</v>
      </c>
      <c r="AA15">
        <v>0.30832850123599953</v>
      </c>
      <c r="AC15" s="7">
        <v>4</v>
      </c>
      <c r="AD15">
        <f t="shared" si="4"/>
        <v>11.87589770363444</v>
      </c>
      <c r="AE15">
        <f t="shared" si="5"/>
        <v>1.6987598053487165</v>
      </c>
      <c r="AF15">
        <f t="shared" si="6"/>
        <v>14.768107703072673</v>
      </c>
      <c r="AG15">
        <f t="shared" si="7"/>
        <v>-4.7283735267362497</v>
      </c>
      <c r="AH15">
        <f t="shared" si="8"/>
        <v>-4.0898774726170464</v>
      </c>
      <c r="AI15">
        <f t="shared" si="9"/>
        <v>11.686120144616181</v>
      </c>
      <c r="AJ15">
        <f t="shared" si="10"/>
        <v>5.7397566287107997</v>
      </c>
      <c r="AK15">
        <f t="shared" si="11"/>
        <v>16.833731001009166</v>
      </c>
      <c r="AL15">
        <f t="shared" si="12"/>
        <v>-2.9225346207003033</v>
      </c>
      <c r="AM15">
        <f t="shared" si="13"/>
        <v>-5.5709858887773107</v>
      </c>
      <c r="AN15">
        <f t="shared" si="14"/>
        <v>17.208225384138526</v>
      </c>
      <c r="AO15">
        <f t="shared" si="15"/>
        <v>16.369830301186759</v>
      </c>
      <c r="AP15">
        <f t="shared" si="16"/>
        <v>-8.2945047246437618</v>
      </c>
      <c r="AQ15">
        <f t="shared" si="17"/>
        <v>-5.5988199307666546</v>
      </c>
      <c r="AR15">
        <f t="shared" si="18"/>
        <v>9.2122642308359701</v>
      </c>
      <c r="AS15">
        <f t="shared" si="19"/>
        <v>13.048301290458333</v>
      </c>
      <c r="AT15">
        <f t="shared" si="20"/>
        <v>17.147496565252684</v>
      </c>
      <c r="AU15">
        <f t="shared" si="21"/>
        <v>15.718682409799673</v>
      </c>
      <c r="AV15">
        <f t="shared" si="22"/>
        <v>-6.0272954862389847</v>
      </c>
      <c r="AW15">
        <f t="shared" si="23"/>
        <v>-6.7847188106762948</v>
      </c>
      <c r="AX15">
        <f t="shared" si="24"/>
        <v>3.8799365503318812</v>
      </c>
      <c r="AY15">
        <f t="shared" si="25"/>
        <v>4.1877979238503862</v>
      </c>
      <c r="AZ15">
        <f t="shared" si="26"/>
        <v>-3.5087364141122528</v>
      </c>
      <c r="BA15">
        <f t="shared" si="27"/>
        <v>4.4189048179437327</v>
      </c>
      <c r="BB15">
        <f t="shared" si="28"/>
        <v>8.1899957795909586</v>
      </c>
      <c r="BC15" s="2">
        <f t="shared" si="30"/>
        <v>4.9783184545804815</v>
      </c>
      <c r="BD15">
        <f t="shared" si="31"/>
        <v>81.179940820967104</v>
      </c>
      <c r="BE15">
        <f t="shared" si="32"/>
        <v>9.0099911665310248</v>
      </c>
      <c r="BF15" s="12">
        <f t="shared" si="33"/>
        <v>4.0144056384404729</v>
      </c>
      <c r="BG15">
        <f t="shared" si="34"/>
        <v>0.96391281614000857</v>
      </c>
      <c r="BH15">
        <f t="shared" si="35"/>
        <v>0.92912791711896192</v>
      </c>
      <c r="BJ15" s="7">
        <v>3</v>
      </c>
      <c r="BK15">
        <f t="shared" si="36"/>
        <v>20.805998127522422</v>
      </c>
      <c r="BL15">
        <f t="shared" si="37"/>
        <v>7.9916180982926912</v>
      </c>
      <c r="BM15">
        <f t="shared" si="38"/>
        <v>92.562617179037915</v>
      </c>
      <c r="BN15">
        <f t="shared" si="39"/>
        <v>57.471139780990775</v>
      </c>
      <c r="BO15">
        <f t="shared" si="40"/>
        <v>61.173247018851796</v>
      </c>
      <c r="BP15">
        <f t="shared" si="41"/>
        <v>128.39911181616924</v>
      </c>
      <c r="BQ15">
        <f t="shared" si="42"/>
        <v>19.87395885905179</v>
      </c>
      <c r="BR15">
        <f t="shared" si="43"/>
        <v>18.041100326593895</v>
      </c>
      <c r="BS15">
        <f t="shared" si="44"/>
        <v>0.86978377320380551</v>
      </c>
      <c r="BT15">
        <f t="shared" si="45"/>
        <v>101.87010154149132</v>
      </c>
      <c r="BU15">
        <f t="shared" si="46"/>
        <v>10.552032820490522</v>
      </c>
      <c r="BV15">
        <f t="shared" si="47"/>
        <v>62.055590162074623</v>
      </c>
      <c r="BW15">
        <f t="shared" si="48"/>
        <v>35.214941048400981</v>
      </c>
      <c r="BX15">
        <f t="shared" si="49"/>
        <v>13.372662778241246</v>
      </c>
      <c r="BY15">
        <f t="shared" si="50"/>
        <v>9.6294027063364693E-2</v>
      </c>
      <c r="BZ15">
        <f t="shared" si="51"/>
        <v>69.532308037075239</v>
      </c>
      <c r="CA15">
        <f t="shared" si="52"/>
        <v>61.895997197760771</v>
      </c>
      <c r="CB15">
        <f t="shared" si="53"/>
        <v>0.62701414796878263</v>
      </c>
      <c r="CC15">
        <f t="shared" si="54"/>
        <v>45.065172063467294</v>
      </c>
      <c r="CD15">
        <f t="shared" si="55"/>
        <v>157.0193145319989</v>
      </c>
      <c r="CE15">
        <f t="shared" si="56"/>
        <v>186.73771691816552</v>
      </c>
      <c r="CF15">
        <f t="shared" si="57"/>
        <v>10.109657305640361</v>
      </c>
      <c r="CG15">
        <f t="shared" si="58"/>
        <v>88.556806580994632</v>
      </c>
      <c r="CH15">
        <f t="shared" si="59"/>
        <v>110.32561092044698</v>
      </c>
      <c r="CI15">
        <f t="shared" si="60"/>
        <v>77.859819068644796</v>
      </c>
      <c r="CJ15" s="7">
        <v>3</v>
      </c>
      <c r="CK15" s="13">
        <f t="shared" si="61"/>
        <v>3.8378403520520692</v>
      </c>
      <c r="CL15">
        <f t="shared" si="62"/>
        <v>1.8384155837763942</v>
      </c>
      <c r="CM15">
        <f t="shared" si="63"/>
        <v>1.9994247682756749</v>
      </c>
      <c r="CN15">
        <f t="shared" si="64"/>
        <v>5.676255935828463</v>
      </c>
      <c r="CO15">
        <f t="shared" si="65"/>
        <v>3.6768311675527885</v>
      </c>
      <c r="CP15">
        <f t="shared" si="66"/>
        <v>0.1610091844992807</v>
      </c>
      <c r="CQ15">
        <f t="shared" si="67"/>
        <v>7.5146715196048577</v>
      </c>
      <c r="CR15">
        <f t="shared" si="68"/>
        <v>5.5152467513291832</v>
      </c>
      <c r="CS15">
        <f t="shared" si="69"/>
        <v>-1.677406399277114</v>
      </c>
      <c r="CT15">
        <f t="shared" si="70"/>
        <v>9.3530871033812524</v>
      </c>
    </row>
    <row r="16" spans="1:98" x14ac:dyDescent="0.25">
      <c r="A16" s="7">
        <v>5</v>
      </c>
      <c r="B16" s="9">
        <f t="shared" si="29"/>
        <v>4.2208631157263881</v>
      </c>
      <c r="C16">
        <v>0.40147099215674298</v>
      </c>
      <c r="D16">
        <v>-0.29398480178228092</v>
      </c>
      <c r="E16">
        <v>-0.91790520950956755</v>
      </c>
      <c r="F16">
        <v>-4.1718802453688197E-2</v>
      </c>
      <c r="G16">
        <v>0.69463179418317211</v>
      </c>
      <c r="H16">
        <v>0.25772881252479629</v>
      </c>
      <c r="I16">
        <v>-0.34672078615680413</v>
      </c>
      <c r="J16">
        <v>7.5991088595233069E-3</v>
      </c>
      <c r="K16">
        <v>-6.6011535996581938E-2</v>
      </c>
      <c r="L16">
        <v>0.35007782219916384</v>
      </c>
      <c r="M16">
        <v>2.6581621753593465E-2</v>
      </c>
      <c r="N16">
        <v>0.69078646198919635</v>
      </c>
      <c r="O16">
        <v>-0.78588213751640368</v>
      </c>
      <c r="P16">
        <v>0.30625324259163178</v>
      </c>
      <c r="Q16">
        <v>-0.586718344676046</v>
      </c>
      <c r="R16">
        <v>0.83165990173039939</v>
      </c>
      <c r="S16">
        <v>-0.31076998199407946</v>
      </c>
      <c r="T16">
        <v>0.78539384136478785</v>
      </c>
      <c r="U16">
        <v>0.46952726828821678</v>
      </c>
      <c r="V16">
        <v>-0.43943601794488352</v>
      </c>
      <c r="W16">
        <v>-0.32773827326273386</v>
      </c>
      <c r="X16">
        <v>0.7363200781273842</v>
      </c>
      <c r="Y16">
        <v>-0.31400494399853507</v>
      </c>
      <c r="Z16">
        <v>0.39487899410992777</v>
      </c>
      <c r="AA16">
        <v>0.64403210547196865</v>
      </c>
      <c r="AC16" s="7">
        <v>5</v>
      </c>
      <c r="AD16">
        <f t="shared" si="4"/>
        <v>9.7686937576934305</v>
      </c>
      <c r="AE16">
        <f t="shared" si="5"/>
        <v>0.15835816900890354</v>
      </c>
      <c r="AF16">
        <f t="shared" si="6"/>
        <v>-8.4634472011449713</v>
      </c>
      <c r="AG16">
        <f t="shared" si="7"/>
        <v>3.6443610642198161</v>
      </c>
      <c r="AH16">
        <f t="shared" si="8"/>
        <v>13.819812050869821</v>
      </c>
      <c r="AI16">
        <f t="shared" si="9"/>
        <v>7.7823553066356759</v>
      </c>
      <c r="AJ16">
        <f t="shared" si="10"/>
        <v>-0.57038765762120391</v>
      </c>
      <c r="AK16">
        <f t="shared" si="11"/>
        <v>4.3258733650498238</v>
      </c>
      <c r="AL16">
        <f t="shared" si="12"/>
        <v>3.3086656487119663</v>
      </c>
      <c r="AM16">
        <f t="shared" si="13"/>
        <v>9.0585039590562211</v>
      </c>
      <c r="AN16">
        <f t="shared" si="14"/>
        <v>4.5881881244039464</v>
      </c>
      <c r="AO16">
        <f t="shared" si="15"/>
        <v>13.766674334344707</v>
      </c>
      <c r="AP16">
        <f t="shared" si="16"/>
        <v>-6.6390522671161278</v>
      </c>
      <c r="AQ16">
        <f t="shared" si="17"/>
        <v>8.4529026818335158</v>
      </c>
      <c r="AR16">
        <f t="shared" si="18"/>
        <v>-3.8868559334424742</v>
      </c>
      <c r="AS16">
        <f t="shared" si="19"/>
        <v>15.713370361963094</v>
      </c>
      <c r="AT16">
        <f t="shared" si="20"/>
        <v>-7.3592180902300797E-2</v>
      </c>
      <c r="AU16">
        <f t="shared" si="21"/>
        <v>15.074030852026034</v>
      </c>
      <c r="AV16">
        <f t="shared" si="22"/>
        <v>10.709146994606126</v>
      </c>
      <c r="AW16">
        <f t="shared" si="23"/>
        <v>-1.8515970449489014</v>
      </c>
      <c r="AX16">
        <f t="shared" si="24"/>
        <v>-0.30807289826707951</v>
      </c>
      <c r="AY16">
        <f t="shared" si="25"/>
        <v>14.395892374467461</v>
      </c>
      <c r="AZ16">
        <f t="shared" si="26"/>
        <v>-0.11829533924882263</v>
      </c>
      <c r="BA16">
        <f t="shared" si="27"/>
        <v>9.6776005293646676</v>
      </c>
      <c r="BB16">
        <f t="shared" si="28"/>
        <v>13.120587177864774</v>
      </c>
      <c r="BC16" s="2">
        <f t="shared" si="30"/>
        <v>5.4181486491771249</v>
      </c>
      <c r="BD16">
        <f t="shared" si="31"/>
        <v>50.694641947785875</v>
      </c>
      <c r="BE16">
        <f t="shared" si="32"/>
        <v>7.1200169906950279</v>
      </c>
      <c r="BF16" s="12">
        <f t="shared" si="33"/>
        <v>4.3025078567378827</v>
      </c>
      <c r="BG16">
        <f t="shared" si="34"/>
        <v>1.1156407924392422</v>
      </c>
      <c r="BH16">
        <f t="shared" si="35"/>
        <v>1.2446543777544603</v>
      </c>
      <c r="BJ16" s="7">
        <v>4</v>
      </c>
      <c r="BK16">
        <f t="shared" si="36"/>
        <v>88.914746209836338</v>
      </c>
      <c r="BL16">
        <f t="shared" si="37"/>
        <v>6.7554854062137277</v>
      </c>
      <c r="BM16">
        <f t="shared" si="38"/>
        <v>157.72631422542958</v>
      </c>
      <c r="BN16">
        <f t="shared" si="39"/>
        <v>170.53577148408675</v>
      </c>
      <c r="BO16">
        <f t="shared" si="40"/>
        <v>92.355439184099424</v>
      </c>
      <c r="BP16">
        <f t="shared" si="41"/>
        <v>51.867990164214788</v>
      </c>
      <c r="BQ16">
        <f t="shared" si="42"/>
        <v>7.5705894503472262</v>
      </c>
      <c r="BR16">
        <f t="shared" si="43"/>
        <v>160.19947757956785</v>
      </c>
      <c r="BS16">
        <f t="shared" si="44"/>
        <v>18.896377449140701</v>
      </c>
      <c r="BT16">
        <f t="shared" si="45"/>
        <v>108.8865019382021</v>
      </c>
      <c r="BU16">
        <f t="shared" si="46"/>
        <v>132.01549025497209</v>
      </c>
      <c r="BV16">
        <f t="shared" si="47"/>
        <v>164.62050272218593</v>
      </c>
      <c r="BW16">
        <f t="shared" si="48"/>
        <v>92.962826075638986</v>
      </c>
      <c r="BX16">
        <f t="shared" si="49"/>
        <v>138.24774984801186</v>
      </c>
      <c r="BY16">
        <f t="shared" si="50"/>
        <v>43.211679991115133</v>
      </c>
      <c r="BZ16">
        <f t="shared" si="51"/>
        <v>29.801448180312139</v>
      </c>
      <c r="CA16">
        <f t="shared" si="52"/>
        <v>203.05058177660641</v>
      </c>
      <c r="CB16">
        <f t="shared" si="53"/>
        <v>167.1908717851887</v>
      </c>
      <c r="CC16">
        <f t="shared" si="54"/>
        <v>117.54368452527035</v>
      </c>
      <c r="CD16">
        <f t="shared" si="55"/>
        <v>100.79433338740478</v>
      </c>
      <c r="CE16">
        <f t="shared" si="56"/>
        <v>0.35771324599352999</v>
      </c>
      <c r="CF16">
        <f t="shared" si="57"/>
        <v>0.97302383938832904</v>
      </c>
      <c r="CG16">
        <f t="shared" si="58"/>
        <v>106.20428831384308</v>
      </c>
      <c r="CH16">
        <f t="shared" si="59"/>
        <v>9.0168760246146562E-2</v>
      </c>
      <c r="CI16">
        <f t="shared" si="60"/>
        <v>16.137649239630438</v>
      </c>
      <c r="CJ16" s="7">
        <v>4</v>
      </c>
      <c r="CK16" s="13">
        <f t="shared" si="61"/>
        <v>4.1224469656739311</v>
      </c>
      <c r="CL16">
        <f t="shared" si="62"/>
        <v>1.7980157324065185</v>
      </c>
      <c r="CM16">
        <f t="shared" si="63"/>
        <v>2.3244312332674126</v>
      </c>
      <c r="CN16">
        <f t="shared" si="64"/>
        <v>5.9204626980804491</v>
      </c>
      <c r="CO16">
        <f t="shared" si="65"/>
        <v>3.5960314648130369</v>
      </c>
      <c r="CP16">
        <f t="shared" si="66"/>
        <v>0.52641550086089417</v>
      </c>
      <c r="CQ16">
        <f t="shared" si="67"/>
        <v>7.718478430486968</v>
      </c>
      <c r="CR16">
        <f t="shared" si="68"/>
        <v>5.3940471972195549</v>
      </c>
      <c r="CS16">
        <f t="shared" si="69"/>
        <v>-1.2716002315456238</v>
      </c>
      <c r="CT16">
        <f t="shared" si="70"/>
        <v>9.5164941628934869</v>
      </c>
    </row>
    <row r="17" spans="1:98" x14ac:dyDescent="0.25">
      <c r="A17" s="7">
        <v>6</v>
      </c>
      <c r="B17" s="9">
        <f t="shared" si="29"/>
        <v>4.5124475157761479</v>
      </c>
      <c r="C17">
        <v>0.62010559404278687</v>
      </c>
      <c r="D17">
        <v>-3.0610065004425202E-2</v>
      </c>
      <c r="E17">
        <v>0.74443800164799945</v>
      </c>
      <c r="F17">
        <v>0.9846797082430494</v>
      </c>
      <c r="G17">
        <v>0.46531571398052929</v>
      </c>
      <c r="H17">
        <v>0.72734763634144106</v>
      </c>
      <c r="I17">
        <v>0.90673543504135257</v>
      </c>
      <c r="J17">
        <v>-0.75945310831019008</v>
      </c>
      <c r="K17">
        <v>-0.68291268654438919</v>
      </c>
      <c r="L17">
        <v>-0.22977385784478288</v>
      </c>
      <c r="M17">
        <v>-0.3885311441389202</v>
      </c>
      <c r="N17">
        <v>-0.261085848567156</v>
      </c>
      <c r="O17">
        <v>-0.35581530198065126</v>
      </c>
      <c r="P17">
        <v>0.3418988616595966</v>
      </c>
      <c r="Q17">
        <v>0.1794183172093875</v>
      </c>
      <c r="R17">
        <v>0.36246833704641856</v>
      </c>
      <c r="S17">
        <v>-0.73564867091891228</v>
      </c>
      <c r="T17">
        <v>-0.40897854548783841</v>
      </c>
      <c r="U17">
        <v>0.3563646351512193</v>
      </c>
      <c r="V17">
        <v>-0.70354319895016326</v>
      </c>
      <c r="W17">
        <v>0.35300759910885948</v>
      </c>
      <c r="X17">
        <v>-0.2023682363353374</v>
      </c>
      <c r="Y17">
        <v>-0.11429181798760946</v>
      </c>
      <c r="Z17">
        <v>0.56163212988677635</v>
      </c>
      <c r="AA17">
        <v>9.5248268074587195E-2</v>
      </c>
      <c r="AC17" s="7">
        <v>6</v>
      </c>
      <c r="AD17">
        <f t="shared" si="4"/>
        <v>13.081536897313839</v>
      </c>
      <c r="AE17">
        <f t="shared" si="5"/>
        <v>4.0894544231198999</v>
      </c>
      <c r="AF17">
        <f t="shared" si="6"/>
        <v>14.799656398292459</v>
      </c>
      <c r="AG17">
        <f t="shared" si="7"/>
        <v>18.119498497385166</v>
      </c>
      <c r="AH17">
        <f t="shared" si="8"/>
        <v>10.942532943223622</v>
      </c>
      <c r="AI17">
        <f t="shared" si="9"/>
        <v>14.563488769291961</v>
      </c>
      <c r="AJ17">
        <f t="shared" si="10"/>
        <v>17.042405417979325</v>
      </c>
      <c r="AK17">
        <f t="shared" si="11"/>
        <v>-5.9822514979334569</v>
      </c>
      <c r="AL17">
        <f t="shared" si="12"/>
        <v>-4.9245579023383721</v>
      </c>
      <c r="AM17">
        <f t="shared" si="13"/>
        <v>1.3372580894462454</v>
      </c>
      <c r="AN17">
        <f t="shared" si="14"/>
        <v>-0.8565704928048028</v>
      </c>
      <c r="AO17">
        <f t="shared" si="15"/>
        <v>0.90456525488461992</v>
      </c>
      <c r="AP17">
        <f t="shared" si="16"/>
        <v>-0.4044781744324224</v>
      </c>
      <c r="AQ17">
        <f t="shared" si="17"/>
        <v>9.2370652795128869</v>
      </c>
      <c r="AR17">
        <f t="shared" si="18"/>
        <v>6.991785892372441</v>
      </c>
      <c r="AS17">
        <f t="shared" si="19"/>
        <v>9.5213098901313398</v>
      </c>
      <c r="AT17">
        <f t="shared" si="20"/>
        <v>-5.6533037289684787</v>
      </c>
      <c r="AU17">
        <f t="shared" si="21"/>
        <v>-1.1391281917875418</v>
      </c>
      <c r="AV17">
        <f t="shared" si="22"/>
        <v>9.4369643083454502</v>
      </c>
      <c r="AW17">
        <f t="shared" si="23"/>
        <v>-5.2096459687746863</v>
      </c>
      <c r="AX17">
        <f t="shared" si="24"/>
        <v>9.3905742383632074</v>
      </c>
      <c r="AY17">
        <f t="shared" si="25"/>
        <v>1.7159697516649004</v>
      </c>
      <c r="AZ17">
        <f t="shared" si="26"/>
        <v>2.933076496835322</v>
      </c>
      <c r="BA17">
        <f t="shared" si="27"/>
        <v>12.273506223804995</v>
      </c>
      <c r="BB17">
        <f t="shared" si="28"/>
        <v>5.8286603195449906</v>
      </c>
      <c r="BC17" s="2">
        <f t="shared" si="30"/>
        <v>5.5215749253789159</v>
      </c>
      <c r="BD17">
        <f t="shared" si="31"/>
        <v>54.895097937143312</v>
      </c>
      <c r="BE17">
        <f t="shared" si="32"/>
        <v>7.4091226158799204</v>
      </c>
      <c r="BF17" s="12">
        <f t="shared" si="33"/>
        <v>4.5906100750352916</v>
      </c>
      <c r="BG17">
        <f t="shared" si="34"/>
        <v>0.93096485034362431</v>
      </c>
      <c r="BH17">
        <f t="shared" si="35"/>
        <v>0.86669555257532682</v>
      </c>
      <c r="BJ17" s="7">
        <v>5</v>
      </c>
      <c r="BK17">
        <f t="shared" si="36"/>
        <v>48.9171557066459</v>
      </c>
      <c r="BL17">
        <f t="shared" si="37"/>
        <v>19.776370072884642</v>
      </c>
      <c r="BM17">
        <f t="shared" si="38"/>
        <v>120.26213938624312</v>
      </c>
      <c r="BN17">
        <f t="shared" si="39"/>
        <v>23.148829062615352</v>
      </c>
      <c r="BO17">
        <f t="shared" si="40"/>
        <v>64.970378463238134</v>
      </c>
      <c r="BP17">
        <f t="shared" si="41"/>
        <v>9.2241505332642735</v>
      </c>
      <c r="BQ17">
        <f t="shared" si="42"/>
        <v>14.665376113605634</v>
      </c>
      <c r="BR17">
        <f t="shared" si="43"/>
        <v>1.3466348834922145E-2</v>
      </c>
      <c r="BS17">
        <f t="shared" si="44"/>
        <v>2.3350543442964886</v>
      </c>
      <c r="BT17">
        <f t="shared" si="45"/>
        <v>15.649743615845258</v>
      </c>
      <c r="BU17">
        <f t="shared" si="46"/>
        <v>2.0346107818678316</v>
      </c>
      <c r="BV17">
        <f t="shared" si="47"/>
        <v>98.536917474420193</v>
      </c>
      <c r="BW17">
        <f t="shared" si="48"/>
        <v>69.273583265289133</v>
      </c>
      <c r="BX17">
        <f t="shared" si="49"/>
        <v>4.0066726494143206</v>
      </c>
      <c r="BY17">
        <f t="shared" si="50"/>
        <v>46.605715174003429</v>
      </c>
      <c r="BZ17">
        <f t="shared" si="51"/>
        <v>63.119203656273548</v>
      </c>
      <c r="CA17">
        <f t="shared" si="52"/>
        <v>10.418576116681054</v>
      </c>
      <c r="CB17">
        <f t="shared" si="53"/>
        <v>142.56131396212689</v>
      </c>
      <c r="CC17">
        <f t="shared" si="54"/>
        <v>31.281757351405112</v>
      </c>
      <c r="CD17">
        <f t="shared" si="55"/>
        <v>29.216047236956356</v>
      </c>
      <c r="CE17">
        <f t="shared" si="56"/>
        <v>15.424008962081585</v>
      </c>
      <c r="CF17">
        <f t="shared" si="57"/>
        <v>118.17243464196007</v>
      </c>
      <c r="CG17">
        <f t="shared" si="58"/>
        <v>51.562738650680913</v>
      </c>
      <c r="CH17">
        <f t="shared" si="59"/>
        <v>27.487984566773996</v>
      </c>
      <c r="CI17">
        <f t="shared" si="60"/>
        <v>75.166723775885529</v>
      </c>
      <c r="CJ17" s="7">
        <v>5</v>
      </c>
      <c r="CK17" s="13">
        <f t="shared" si="61"/>
        <v>4.407053579295793</v>
      </c>
      <c r="CL17">
        <f t="shared" si="62"/>
        <v>1.7581956076651857</v>
      </c>
      <c r="CM17">
        <f t="shared" si="63"/>
        <v>2.6488579716306075</v>
      </c>
      <c r="CN17">
        <f t="shared" si="64"/>
        <v>6.1652491869609785</v>
      </c>
      <c r="CO17">
        <f t="shared" si="65"/>
        <v>3.5163912153303714</v>
      </c>
      <c r="CP17">
        <f t="shared" si="66"/>
        <v>0.89066236396542164</v>
      </c>
      <c r="CQ17">
        <f t="shared" si="67"/>
        <v>7.9234447946261639</v>
      </c>
      <c r="CR17">
        <f t="shared" si="68"/>
        <v>5.2745868229955573</v>
      </c>
      <c r="CS17">
        <f t="shared" si="69"/>
        <v>-0.86753324369976426</v>
      </c>
      <c r="CT17">
        <f t="shared" si="70"/>
        <v>9.6816404022913503</v>
      </c>
    </row>
    <row r="18" spans="1:98" x14ac:dyDescent="0.25">
      <c r="A18" s="7">
        <v>7</v>
      </c>
      <c r="B18" s="9">
        <f t="shared" si="29"/>
        <v>4.8040319158259077</v>
      </c>
      <c r="C18">
        <v>0.66472365489669483</v>
      </c>
      <c r="D18">
        <v>0.88195440534684288</v>
      </c>
      <c r="E18">
        <v>-0.85613574633014922</v>
      </c>
      <c r="F18">
        <v>0.5459456160161138</v>
      </c>
      <c r="G18">
        <v>-1.0223700674459102E-2</v>
      </c>
      <c r="H18">
        <v>-0.93316446424756616</v>
      </c>
      <c r="I18">
        <v>-0.46519363994262519</v>
      </c>
      <c r="J18">
        <v>0.25864436780907618</v>
      </c>
      <c r="K18">
        <v>-0.97289956358531449</v>
      </c>
      <c r="L18">
        <v>0.93224890896328616</v>
      </c>
      <c r="M18">
        <v>0.49461348307748643</v>
      </c>
      <c r="N18">
        <v>-0.75316629535813473</v>
      </c>
      <c r="O18">
        <v>-0.1454206976531266</v>
      </c>
      <c r="P18">
        <v>0.89025543992431411</v>
      </c>
      <c r="Q18">
        <v>-0.14993743705557416</v>
      </c>
      <c r="R18">
        <v>-0.16043580431531723</v>
      </c>
      <c r="S18">
        <v>-0.9439069795831172</v>
      </c>
      <c r="T18">
        <v>-0.52494888149662766</v>
      </c>
      <c r="U18">
        <v>0.14041566209906309</v>
      </c>
      <c r="V18">
        <v>0.99438459425641645</v>
      </c>
      <c r="W18">
        <v>-0.96618549150059507</v>
      </c>
      <c r="X18">
        <v>0.65739921262245549</v>
      </c>
      <c r="Y18">
        <v>0.92327646717734302</v>
      </c>
      <c r="Z18">
        <v>0.6293221839045382</v>
      </c>
      <c r="AA18">
        <v>-0.73918881801812797</v>
      </c>
      <c r="AC18" s="7">
        <v>7</v>
      </c>
      <c r="AD18">
        <f t="shared" si="4"/>
        <v>13.989687500218469</v>
      </c>
      <c r="AE18">
        <f t="shared" si="5"/>
        <v>16.991546755978362</v>
      </c>
      <c r="AF18">
        <f t="shared" si="6"/>
        <v>-7.0267011133722246</v>
      </c>
      <c r="AG18">
        <f t="shared" si="7"/>
        <v>12.348322478665013</v>
      </c>
      <c r="AH18">
        <f t="shared" si="8"/>
        <v>4.6627530663345382</v>
      </c>
      <c r="AI18">
        <f t="shared" si="9"/>
        <v>-8.0911423555101827</v>
      </c>
      <c r="AJ18">
        <f t="shared" si="10"/>
        <v>-1.6243665999858461</v>
      </c>
      <c r="AK18">
        <f t="shared" si="11"/>
        <v>8.378175944003079</v>
      </c>
      <c r="AL18">
        <f t="shared" si="12"/>
        <v>-8.6402320929363388</v>
      </c>
      <c r="AM18">
        <f t="shared" si="13"/>
        <v>17.686554349894113</v>
      </c>
      <c r="AN18">
        <f t="shared" si="14"/>
        <v>11.63897613584566</v>
      </c>
      <c r="AO18">
        <f t="shared" si="15"/>
        <v>-5.6037911486442287</v>
      </c>
      <c r="AP18">
        <f t="shared" si="16"/>
        <v>2.7944984297770326</v>
      </c>
      <c r="AQ18">
        <f t="shared" si="17"/>
        <v>17.106256747207176</v>
      </c>
      <c r="AR18">
        <f t="shared" si="18"/>
        <v>2.7320826992554728</v>
      </c>
      <c r="AS18">
        <f t="shared" si="19"/>
        <v>2.5870082985837382</v>
      </c>
      <c r="AT18">
        <f t="shared" si="20"/>
        <v>-8.2395905794533526</v>
      </c>
      <c r="AU18">
        <f t="shared" si="21"/>
        <v>-2.4501098456697283</v>
      </c>
      <c r="AV18">
        <f t="shared" si="22"/>
        <v>6.744402024810352</v>
      </c>
      <c r="AW18">
        <f t="shared" si="23"/>
        <v>18.545192372474492</v>
      </c>
      <c r="AX18">
        <f t="shared" si="24"/>
        <v>-8.5474519529718567</v>
      </c>
      <c r="AY18">
        <f t="shared" si="25"/>
        <v>13.888472802075398</v>
      </c>
      <c r="AZ18">
        <f t="shared" si="26"/>
        <v>17.562566344668852</v>
      </c>
      <c r="BA18">
        <f t="shared" si="27"/>
        <v>13.500483125860297</v>
      </c>
      <c r="BB18">
        <f t="shared" si="28"/>
        <v>-5.4106397663545351</v>
      </c>
      <c r="BC18" s="2">
        <f t="shared" si="30"/>
        <v>5.0209181448301505</v>
      </c>
      <c r="BD18">
        <f t="shared" si="31"/>
        <v>97.260041637784454</v>
      </c>
      <c r="BE18">
        <f t="shared" si="32"/>
        <v>9.8620505797620233</v>
      </c>
      <c r="BF18" s="12">
        <f t="shared" si="33"/>
        <v>4.8787122933327014</v>
      </c>
      <c r="BG18">
        <f t="shared" si="34"/>
        <v>0.14220585149744913</v>
      </c>
      <c r="BH18">
        <f t="shared" si="35"/>
        <v>2.0222504200114556E-2</v>
      </c>
      <c r="BJ18" s="7">
        <v>6</v>
      </c>
      <c r="BK18">
        <f t="shared" si="36"/>
        <v>99.575363197265233</v>
      </c>
      <c r="BL18">
        <f t="shared" si="37"/>
        <v>0.67814667264436479</v>
      </c>
      <c r="BM18">
        <f t="shared" si="38"/>
        <v>144.07022246719356</v>
      </c>
      <c r="BN18">
        <f t="shared" si="39"/>
        <v>90.98663319756389</v>
      </c>
      <c r="BO18">
        <f t="shared" si="40"/>
        <v>24.4435916473543</v>
      </c>
      <c r="BP18">
        <f t="shared" si="41"/>
        <v>91.340303761824671</v>
      </c>
      <c r="BQ18">
        <f t="shared" si="42"/>
        <v>182.58460448981637</v>
      </c>
      <c r="BR18">
        <f t="shared" si="43"/>
        <v>114.2621959871079</v>
      </c>
      <c r="BS18">
        <f t="shared" si="44"/>
        <v>49.861259015340934</v>
      </c>
      <c r="BT18">
        <f t="shared" si="45"/>
        <v>16.03133393958317</v>
      </c>
      <c r="BU18">
        <f t="shared" si="46"/>
        <v>51.370424754906203</v>
      </c>
      <c r="BV18">
        <f t="shared" si="47"/>
        <v>10.473331100827394</v>
      </c>
      <c r="BW18">
        <f t="shared" si="48"/>
        <v>5.8821085761746197</v>
      </c>
      <c r="BX18">
        <f t="shared" si="49"/>
        <v>6.2183165022749778</v>
      </c>
      <c r="BY18">
        <f t="shared" si="50"/>
        <v>14.066453617749834</v>
      </c>
      <c r="BZ18">
        <f t="shared" si="51"/>
        <v>2.4753333292947937</v>
      </c>
      <c r="CA18">
        <f t="shared" si="52"/>
        <v>82.151898524567173</v>
      </c>
      <c r="CB18">
        <f t="shared" si="53"/>
        <v>21.334513168968741</v>
      </c>
      <c r="CC18">
        <f t="shared" si="54"/>
        <v>16.153572586752517</v>
      </c>
      <c r="CD18">
        <f t="shared" si="55"/>
        <v>82.118153304036383</v>
      </c>
      <c r="CE18">
        <f t="shared" si="56"/>
        <v>29.527082652584188</v>
      </c>
      <c r="CF18">
        <f t="shared" si="57"/>
        <v>4.5497218398010464</v>
      </c>
      <c r="CG18">
        <f t="shared" si="58"/>
        <v>19.315696317448396</v>
      </c>
      <c r="CH18">
        <f t="shared" si="59"/>
        <v>56.591403850557036</v>
      </c>
      <c r="CI18">
        <f t="shared" si="60"/>
        <v>1.2101351465423977</v>
      </c>
      <c r="CJ18" s="7">
        <v>6</v>
      </c>
      <c r="CK18" s="13">
        <f t="shared" si="61"/>
        <v>4.691660192917654</v>
      </c>
      <c r="CL18">
        <f t="shared" si="62"/>
        <v>1.7189954977158342</v>
      </c>
      <c r="CM18">
        <f t="shared" si="63"/>
        <v>2.9726646952018196</v>
      </c>
      <c r="CN18">
        <f t="shared" si="64"/>
        <v>6.4106556906334884</v>
      </c>
      <c r="CO18">
        <f t="shared" si="65"/>
        <v>3.4379909954316683</v>
      </c>
      <c r="CP18">
        <f t="shared" si="66"/>
        <v>1.2536691974859857</v>
      </c>
      <c r="CQ18">
        <f t="shared" si="67"/>
        <v>8.1296511883493228</v>
      </c>
      <c r="CR18">
        <f t="shared" si="68"/>
        <v>5.1569864931475022</v>
      </c>
      <c r="CS18">
        <f t="shared" si="69"/>
        <v>-0.46532630022984822</v>
      </c>
      <c r="CT18">
        <f t="shared" si="70"/>
        <v>9.8486466860651554</v>
      </c>
    </row>
    <row r="19" spans="1:98" x14ac:dyDescent="0.25">
      <c r="A19" s="7">
        <v>8</v>
      </c>
      <c r="B19" s="9">
        <f t="shared" si="29"/>
        <v>5.0956163158756684</v>
      </c>
      <c r="C19">
        <v>-0.66508987701040678</v>
      </c>
      <c r="D19">
        <v>0.55302591021454517</v>
      </c>
      <c r="E19">
        <v>-0.4625690481276894</v>
      </c>
      <c r="F19">
        <v>0.78856776635029147</v>
      </c>
      <c r="G19">
        <v>-0.93853572191534163</v>
      </c>
      <c r="H19">
        <v>-0.75524155400250248</v>
      </c>
      <c r="I19">
        <v>-0.55436872463148901</v>
      </c>
      <c r="J19">
        <v>0.32029175695059053</v>
      </c>
      <c r="K19">
        <v>-0.92406994842371892</v>
      </c>
      <c r="L19">
        <v>0.23563341166417429</v>
      </c>
      <c r="M19">
        <v>0.78051087984862821</v>
      </c>
      <c r="N19">
        <v>-0.83666493728446301</v>
      </c>
      <c r="O19">
        <v>0.695608386486404</v>
      </c>
      <c r="P19">
        <v>0.85613574633014933</v>
      </c>
      <c r="Q19">
        <v>0.70354319895016326</v>
      </c>
      <c r="R19">
        <v>-0.62700277718436226</v>
      </c>
      <c r="S19">
        <v>0.13443403424176759</v>
      </c>
      <c r="T19">
        <v>0.32450331125827825</v>
      </c>
      <c r="U19">
        <v>0.97882015442365788</v>
      </c>
      <c r="V19">
        <v>0.40025025177770313</v>
      </c>
      <c r="W19">
        <v>-0.18985564745017858</v>
      </c>
      <c r="X19">
        <v>7.6204718161565044E-2</v>
      </c>
      <c r="Y19">
        <v>0.23483993041779838</v>
      </c>
      <c r="Z19">
        <v>0.55565050202948085</v>
      </c>
      <c r="AA19">
        <v>-0.79821161534470653</v>
      </c>
      <c r="AC19" s="7">
        <v>8</v>
      </c>
      <c r="AD19">
        <f t="shared" si="4"/>
        <v>-4.0951000034240472</v>
      </c>
      <c r="AE19">
        <f t="shared" si="5"/>
        <v>12.737747753586408</v>
      </c>
      <c r="AF19">
        <f t="shared" si="6"/>
        <v>-1.2965135997681516</v>
      </c>
      <c r="AG19">
        <f t="shared" si="7"/>
        <v>15.992643754703979</v>
      </c>
      <c r="AH19">
        <f t="shared" si="8"/>
        <v>-7.8737820674320051</v>
      </c>
      <c r="AI19">
        <f t="shared" si="9"/>
        <v>-5.3408842464016697</v>
      </c>
      <c r="AJ19">
        <f t="shared" si="10"/>
        <v>-2.5650711498279675</v>
      </c>
      <c r="AK19">
        <f t="shared" si="11"/>
        <v>9.5216507200903493</v>
      </c>
      <c r="AL19">
        <f t="shared" si="12"/>
        <v>-7.6738830385994419</v>
      </c>
      <c r="AM19">
        <f t="shared" si="13"/>
        <v>8.3517775007200257</v>
      </c>
      <c r="AN19">
        <f t="shared" si="14"/>
        <v>15.881307586746601</v>
      </c>
      <c r="AO19">
        <f t="shared" si="15"/>
        <v>-6.4660543074254697</v>
      </c>
      <c r="AP19">
        <f t="shared" si="16"/>
        <v>14.708060544104843</v>
      </c>
      <c r="AQ19">
        <f t="shared" si="17"/>
        <v>16.926349345073803</v>
      </c>
      <c r="AR19">
        <f t="shared" si="18"/>
        <v>14.817709800426503</v>
      </c>
      <c r="AS19">
        <f t="shared" si="19"/>
        <v>-3.568783573080081</v>
      </c>
      <c r="AT19">
        <f t="shared" si="20"/>
        <v>6.9533277547099379</v>
      </c>
      <c r="AU19">
        <f t="shared" si="21"/>
        <v>9.5798491715226142</v>
      </c>
      <c r="AV19">
        <f t="shared" si="22"/>
        <v>18.621695538970229</v>
      </c>
      <c r="AW19">
        <f t="shared" si="23"/>
        <v>10.626577841485531</v>
      </c>
      <c r="AX19">
        <f t="shared" si="24"/>
        <v>2.472046994425499</v>
      </c>
      <c r="AY19">
        <f t="shared" si="25"/>
        <v>6.1486709044725298</v>
      </c>
      <c r="AZ19">
        <f t="shared" si="26"/>
        <v>8.3408125750878597</v>
      </c>
      <c r="BA19">
        <f t="shared" si="27"/>
        <v>12.774016353754341</v>
      </c>
      <c r="BB19">
        <f t="shared" si="28"/>
        <v>-5.9346771421743494</v>
      </c>
      <c r="BC19" s="2">
        <f t="shared" si="30"/>
        <v>5.5855798004699144</v>
      </c>
      <c r="BD19">
        <f t="shared" si="31"/>
        <v>79.739698580169986</v>
      </c>
      <c r="BE19">
        <f t="shared" si="32"/>
        <v>8.9297087623376594</v>
      </c>
      <c r="BF19" s="12">
        <f t="shared" si="33"/>
        <v>5.1668145116301112</v>
      </c>
      <c r="BG19">
        <f t="shared" si="34"/>
        <v>0.41876528883980324</v>
      </c>
      <c r="BH19">
        <f t="shared" si="35"/>
        <v>0.17536436713708384</v>
      </c>
      <c r="BJ19" s="7">
        <v>7</v>
      </c>
      <c r="BK19">
        <f t="shared" si="36"/>
        <v>111.48653764493318</v>
      </c>
      <c r="BL19">
        <f t="shared" si="37"/>
        <v>138.55799325753716</v>
      </c>
      <c r="BM19">
        <f t="shared" si="38"/>
        <v>102.35774308303546</v>
      </c>
      <c r="BN19">
        <f t="shared" si="39"/>
        <v>13.267021731181673</v>
      </c>
      <c r="BO19">
        <f t="shared" si="40"/>
        <v>2.4800866854606056</v>
      </c>
      <c r="BP19">
        <f t="shared" si="41"/>
        <v>178.44869366773682</v>
      </c>
      <c r="BQ19">
        <f t="shared" si="42"/>
        <v>29.433348485934435</v>
      </c>
      <c r="BR19">
        <f t="shared" si="43"/>
        <v>11.600138454753564</v>
      </c>
      <c r="BS19">
        <f t="shared" si="44"/>
        <v>123.94458311268302</v>
      </c>
      <c r="BT19">
        <f t="shared" si="45"/>
        <v>146.5730757554532</v>
      </c>
      <c r="BU19">
        <f t="shared" si="46"/>
        <v>25.321730775419184</v>
      </c>
      <c r="BV19">
        <f t="shared" si="47"/>
        <v>100.90863292613213</v>
      </c>
      <c r="BW19">
        <f t="shared" si="48"/>
        <v>0.19085200254559084</v>
      </c>
      <c r="BX19">
        <f t="shared" si="49"/>
        <v>101.41843254440708</v>
      </c>
      <c r="BY19">
        <f t="shared" si="50"/>
        <v>0.65683395891817931</v>
      </c>
      <c r="BZ19">
        <f t="shared" si="51"/>
        <v>30.695613455198007</v>
      </c>
      <c r="CA19">
        <f t="shared" si="52"/>
        <v>141.76070084220945</v>
      </c>
      <c r="CB19">
        <f t="shared" si="53"/>
        <v>39.382987486198388</v>
      </c>
      <c r="CC19">
        <f t="shared" si="54"/>
        <v>1.0504449674289074</v>
      </c>
      <c r="CD19">
        <f t="shared" si="55"/>
        <v>207.19474696076168</v>
      </c>
      <c r="CE19">
        <f t="shared" si="56"/>
        <v>164.90582895168399</v>
      </c>
      <c r="CF19">
        <f t="shared" si="57"/>
        <v>94.394743629013149</v>
      </c>
      <c r="CG19">
        <f t="shared" si="58"/>
        <v>99.379220884469404</v>
      </c>
      <c r="CH19">
        <f t="shared" si="59"/>
        <v>71.126020017466146</v>
      </c>
      <c r="CI19">
        <f t="shared" si="60"/>
        <v>108.51649048400073</v>
      </c>
      <c r="CJ19" s="7">
        <v>7</v>
      </c>
      <c r="CK19" s="13">
        <f t="shared" si="61"/>
        <v>4.9762668065395159</v>
      </c>
      <c r="CL19">
        <f t="shared" si="62"/>
        <v>1.6804587924265859</v>
      </c>
      <c r="CM19">
        <f t="shared" si="63"/>
        <v>3.29580801411293</v>
      </c>
      <c r="CN19">
        <f t="shared" si="64"/>
        <v>6.6567255989661014</v>
      </c>
      <c r="CO19">
        <f t="shared" si="65"/>
        <v>3.3609175848531718</v>
      </c>
      <c r="CP19">
        <f t="shared" si="66"/>
        <v>1.6153492216863441</v>
      </c>
      <c r="CQ19">
        <f t="shared" si="67"/>
        <v>8.3371843913926877</v>
      </c>
      <c r="CR19">
        <f t="shared" si="68"/>
        <v>5.0413763772797573</v>
      </c>
      <c r="CS19">
        <f t="shared" si="69"/>
        <v>-6.5109570740241374E-2</v>
      </c>
      <c r="CT19">
        <f t="shared" si="70"/>
        <v>10.017643183819274</v>
      </c>
    </row>
    <row r="20" spans="1:98" x14ac:dyDescent="0.25">
      <c r="A20" s="7">
        <v>9</v>
      </c>
      <c r="B20" s="9">
        <f t="shared" si="29"/>
        <v>5.3872007159254274</v>
      </c>
      <c r="C20">
        <v>-0.5594958342234565</v>
      </c>
      <c r="D20">
        <v>0.18369090853602721</v>
      </c>
      <c r="E20">
        <v>0.60277108066042051</v>
      </c>
      <c r="F20">
        <v>-0.67918942838831753</v>
      </c>
      <c r="G20">
        <v>0.47819452497939996</v>
      </c>
      <c r="H20">
        <v>0.35929441206091495</v>
      </c>
      <c r="I20">
        <v>-0.20780053102206486</v>
      </c>
      <c r="J20">
        <v>-0.14242988372447885</v>
      </c>
      <c r="K20">
        <v>0.79082613605151519</v>
      </c>
      <c r="L20">
        <v>0.93816949980162967</v>
      </c>
      <c r="M20">
        <v>-0.34977263710440387</v>
      </c>
      <c r="N20">
        <v>-0.93353068636127812</v>
      </c>
      <c r="O20">
        <v>0.11606189153721735</v>
      </c>
      <c r="P20">
        <v>0.20432142094180117</v>
      </c>
      <c r="Q20">
        <v>-0.16678365428632469</v>
      </c>
      <c r="R20">
        <v>-0.54820398571733753</v>
      </c>
      <c r="S20">
        <v>-0.47984252449110387</v>
      </c>
      <c r="T20">
        <v>0.22165593432416753</v>
      </c>
      <c r="U20">
        <v>-0.63841669972838533</v>
      </c>
      <c r="V20">
        <v>-0.68321787163914915</v>
      </c>
      <c r="W20">
        <v>-0.9992065187536241</v>
      </c>
      <c r="X20">
        <v>-0.7245399334696494</v>
      </c>
      <c r="Y20">
        <v>-0.45536667989135415</v>
      </c>
      <c r="Z20">
        <v>-0.76171147801141392</v>
      </c>
      <c r="AA20">
        <v>0.31266212958159123</v>
      </c>
      <c r="AC20" s="7">
        <v>9</v>
      </c>
      <c r="AD20">
        <f t="shared" si="4"/>
        <v>-2.3443370384783568</v>
      </c>
      <c r="AE20">
        <f t="shared" si="5"/>
        <v>7.9255809997718467</v>
      </c>
      <c r="AF20">
        <f t="shared" si="6"/>
        <v>13.716748645191185</v>
      </c>
      <c r="AG20">
        <f t="shared" si="7"/>
        <v>-3.9983538972996993</v>
      </c>
      <c r="AH20">
        <f t="shared" si="8"/>
        <v>11.99525532094113</v>
      </c>
      <c r="AI20">
        <f t="shared" si="9"/>
        <v>10.352203387751956</v>
      </c>
      <c r="AJ20">
        <f t="shared" si="10"/>
        <v>2.5156553840247367</v>
      </c>
      <c r="AK20">
        <f t="shared" si="11"/>
        <v>3.4189965649516396</v>
      </c>
      <c r="AL20">
        <f t="shared" si="12"/>
        <v>16.315436020014516</v>
      </c>
      <c r="AM20">
        <f t="shared" si="13"/>
        <v>18.351538364325947</v>
      </c>
      <c r="AN20">
        <f t="shared" si="14"/>
        <v>0.55377715168488884</v>
      </c>
      <c r="AO20">
        <f t="shared" si="15"/>
        <v>-7.5130342903178153</v>
      </c>
      <c r="AP20">
        <f t="shared" si="16"/>
        <v>6.9910319535841632</v>
      </c>
      <c r="AQ20">
        <f t="shared" si="17"/>
        <v>8.2106690662081601</v>
      </c>
      <c r="AR20">
        <f t="shared" si="18"/>
        <v>3.0824576936259298</v>
      </c>
      <c r="AS20">
        <f t="shared" si="19"/>
        <v>-2.1882977121744567</v>
      </c>
      <c r="AT20">
        <f t="shared" si="20"/>
        <v>-1.2436271961724676</v>
      </c>
      <c r="AU20">
        <f t="shared" si="21"/>
        <v>8.4502105184800911</v>
      </c>
      <c r="AV20">
        <f t="shared" si="22"/>
        <v>-3.4349254109699405</v>
      </c>
      <c r="AW20">
        <f t="shared" si="23"/>
        <v>-4.0540219812783871</v>
      </c>
      <c r="AX20">
        <f t="shared" si="24"/>
        <v>-8.4205927503340128</v>
      </c>
      <c r="AY20">
        <f t="shared" si="25"/>
        <v>-4.6250415699688769</v>
      </c>
      <c r="AZ20">
        <f t="shared" si="26"/>
        <v>-0.90540141321104173</v>
      </c>
      <c r="BA20">
        <f t="shared" si="27"/>
        <v>-5.138706163044958</v>
      </c>
      <c r="BB20">
        <f t="shared" si="28"/>
        <v>9.7078031429077427</v>
      </c>
      <c r="BC20" s="2">
        <f t="shared" si="30"/>
        <v>3.1088409916085573</v>
      </c>
      <c r="BD20">
        <f t="shared" si="31"/>
        <v>58.548030292310671</v>
      </c>
      <c r="BE20">
        <f t="shared" si="32"/>
        <v>7.6516684646102293</v>
      </c>
      <c r="BF20" s="12">
        <f t="shared" si="33"/>
        <v>5.4549167299275201</v>
      </c>
      <c r="BG20">
        <f t="shared" si="34"/>
        <v>-2.3460757383189628</v>
      </c>
      <c r="BH20">
        <f t="shared" si="35"/>
        <v>5.5040713699288659</v>
      </c>
      <c r="BJ20" s="7">
        <v>8</v>
      </c>
      <c r="BK20">
        <f t="shared" si="36"/>
        <v>61.689188984334585</v>
      </c>
      <c r="BL20">
        <f t="shared" si="37"/>
        <v>51.980309762576105</v>
      </c>
      <c r="BM20">
        <f t="shared" si="38"/>
        <v>21.909713299002917</v>
      </c>
      <c r="BN20">
        <f t="shared" si="39"/>
        <v>51.288378987110271</v>
      </c>
      <c r="BO20">
        <f t="shared" si="40"/>
        <v>205.93568877812919</v>
      </c>
      <c r="BP20">
        <f t="shared" si="41"/>
        <v>118.1408319203582</v>
      </c>
      <c r="BQ20">
        <f t="shared" si="42"/>
        <v>44.047401232322819</v>
      </c>
      <c r="BR20">
        <f t="shared" si="43"/>
        <v>18.354302672196969</v>
      </c>
      <c r="BS20">
        <f t="shared" si="44"/>
        <v>110.72945745972838</v>
      </c>
      <c r="BT20">
        <f t="shared" si="45"/>
        <v>6.4176864167103504</v>
      </c>
      <c r="BU20">
        <f t="shared" si="46"/>
        <v>80.608824090927939</v>
      </c>
      <c r="BV20">
        <f t="shared" si="47"/>
        <v>125.62625664371861</v>
      </c>
      <c r="BW20">
        <f t="shared" si="48"/>
        <v>144.32715231664508</v>
      </c>
      <c r="BX20">
        <f t="shared" si="49"/>
        <v>92.132923913469313</v>
      </c>
      <c r="BY20">
        <f t="shared" si="50"/>
        <v>120.42642224616387</v>
      </c>
      <c r="BZ20">
        <f t="shared" si="51"/>
        <v>141.02830575500096</v>
      </c>
      <c r="CA20">
        <f t="shared" si="52"/>
        <v>9.1827972796733448</v>
      </c>
      <c r="CB20">
        <f t="shared" si="53"/>
        <v>29.254006418637204</v>
      </c>
      <c r="CC20">
        <f t="shared" si="54"/>
        <v>158.77334164156298</v>
      </c>
      <c r="CD20">
        <f t="shared" si="55"/>
        <v>38.155028175103098</v>
      </c>
      <c r="CE20">
        <f t="shared" si="56"/>
        <v>4.6633996514544833</v>
      </c>
      <c r="CF20">
        <f t="shared" si="57"/>
        <v>2.7294153165030424</v>
      </c>
      <c r="CG20">
        <f t="shared" si="58"/>
        <v>0.23188504404888621</v>
      </c>
      <c r="CH20">
        <f t="shared" si="59"/>
        <v>54.628052337763208</v>
      </c>
      <c r="CI20">
        <f t="shared" si="60"/>
        <v>125.86704815547641</v>
      </c>
      <c r="CJ20" s="7">
        <v>8</v>
      </c>
      <c r="CK20" s="13">
        <f t="shared" si="61"/>
        <v>5.2608734201613778</v>
      </c>
      <c r="CL20">
        <f t="shared" si="62"/>
        <v>1.6426321835525701</v>
      </c>
      <c r="CM20">
        <f t="shared" si="63"/>
        <v>3.6182412366088075</v>
      </c>
      <c r="CN20">
        <f t="shared" si="64"/>
        <v>6.9035056037139482</v>
      </c>
      <c r="CO20">
        <f t="shared" si="65"/>
        <v>3.2852643671051402</v>
      </c>
      <c r="CP20">
        <f t="shared" si="66"/>
        <v>1.9756090530562376</v>
      </c>
      <c r="CQ20">
        <f t="shared" si="67"/>
        <v>8.5461377872665185</v>
      </c>
      <c r="CR20">
        <f t="shared" si="68"/>
        <v>4.9278965506577102</v>
      </c>
      <c r="CS20">
        <f t="shared" si="69"/>
        <v>0.33297686950366767</v>
      </c>
      <c r="CT20">
        <f t="shared" si="70"/>
        <v>10.188769970819088</v>
      </c>
    </row>
    <row r="21" spans="1:98" x14ac:dyDescent="0.25">
      <c r="A21" s="7">
        <v>10</v>
      </c>
      <c r="B21" s="9">
        <f t="shared" si="29"/>
        <v>5.6787851159751881</v>
      </c>
      <c r="C21">
        <v>0.64604632709738463</v>
      </c>
      <c r="D21">
        <v>-9.0426343577379664E-2</v>
      </c>
      <c r="E21">
        <v>-0.46977141636402475</v>
      </c>
      <c r="F21">
        <v>0.82763145847956787</v>
      </c>
      <c r="G21">
        <v>0.27689443647572243</v>
      </c>
      <c r="H21">
        <v>-0.55308694723349716</v>
      </c>
      <c r="I21">
        <v>-0.24283577990050964</v>
      </c>
      <c r="J21">
        <v>-0.75670644245735041</v>
      </c>
      <c r="K21">
        <v>0.90026551103244112</v>
      </c>
      <c r="L21">
        <v>0.4846644489883114</v>
      </c>
      <c r="M21">
        <v>0.36179692983794665</v>
      </c>
      <c r="N21">
        <v>0.95171971800897248</v>
      </c>
      <c r="O21">
        <v>-0.81853694265572075</v>
      </c>
      <c r="P21">
        <v>-0.49589526047547838</v>
      </c>
      <c r="Q21">
        <v>-0.53233436078981899</v>
      </c>
      <c r="R21">
        <v>-0.12045655690176094</v>
      </c>
      <c r="S21">
        <v>-0.55381939146092107</v>
      </c>
      <c r="T21">
        <v>0.20932645649586479</v>
      </c>
      <c r="U21">
        <v>0.92071291238135933</v>
      </c>
      <c r="V21">
        <v>0.61540574358348343</v>
      </c>
      <c r="W21">
        <v>0.55131687368388937</v>
      </c>
      <c r="X21">
        <v>-0.83697012237922297</v>
      </c>
      <c r="Y21">
        <v>0.63109225745414599</v>
      </c>
      <c r="Z21">
        <v>-0.36716818750572222</v>
      </c>
      <c r="AA21">
        <v>-0.53636280404065073</v>
      </c>
      <c r="AC21" s="7">
        <v>10</v>
      </c>
      <c r="AD21">
        <f t="shared" si="4"/>
        <v>14.606343220102922</v>
      </c>
      <c r="AE21">
        <f t="shared" si="5"/>
        <v>4.4292053218171992</v>
      </c>
      <c r="AF21">
        <f t="shared" si="6"/>
        <v>-0.81287258617598468</v>
      </c>
      <c r="AG21">
        <f t="shared" si="7"/>
        <v>17.115624278233206</v>
      </c>
      <c r="AH21">
        <f t="shared" si="8"/>
        <v>9.5051224336921756</v>
      </c>
      <c r="AI21">
        <f t="shared" si="9"/>
        <v>-1.9641897775534112</v>
      </c>
      <c r="AJ21">
        <f t="shared" si="10"/>
        <v>2.3230961446234777</v>
      </c>
      <c r="AK21">
        <f t="shared" si="11"/>
        <v>-4.7779583859307664</v>
      </c>
      <c r="AL21">
        <f t="shared" si="12"/>
        <v>18.119336701485317</v>
      </c>
      <c r="AM21">
        <f t="shared" si="13"/>
        <v>12.376246037683938</v>
      </c>
      <c r="AN21">
        <f t="shared" si="14"/>
        <v>10.678369476333932</v>
      </c>
      <c r="AO21">
        <f t="shared" si="15"/>
        <v>18.830369955940391</v>
      </c>
      <c r="AP21">
        <f t="shared" si="16"/>
        <v>-5.6323791294218513</v>
      </c>
      <c r="AQ21">
        <f t="shared" si="17"/>
        <v>-1.1738716762196031</v>
      </c>
      <c r="AR21">
        <f t="shared" si="18"/>
        <v>-1.6774147994813768</v>
      </c>
      <c r="AS21">
        <f t="shared" si="19"/>
        <v>4.0142250594306104</v>
      </c>
      <c r="AT21">
        <f t="shared" si="20"/>
        <v>-1.9743112473677176</v>
      </c>
      <c r="AU21">
        <f t="shared" si="21"/>
        <v>8.5714168433223534</v>
      </c>
      <c r="AV21">
        <f t="shared" si="22"/>
        <v>18.401894400468059</v>
      </c>
      <c r="AW21">
        <f t="shared" si="23"/>
        <v>14.182928399537744</v>
      </c>
      <c r="AX21">
        <f t="shared" si="24"/>
        <v>13.297299790785878</v>
      </c>
      <c r="AY21">
        <f t="shared" si="25"/>
        <v>-5.8871027864152445</v>
      </c>
      <c r="AZ21">
        <f t="shared" si="26"/>
        <v>14.399696544727487</v>
      </c>
      <c r="BA21">
        <f t="shared" si="27"/>
        <v>0.60497664364485804</v>
      </c>
      <c r="BB21">
        <f t="shared" si="28"/>
        <v>-1.7330828834600673</v>
      </c>
      <c r="BC21" s="2">
        <f t="shared" si="30"/>
        <v>6.2329187191921394</v>
      </c>
      <c r="BD21">
        <f t="shared" si="31"/>
        <v>71.634938767563099</v>
      </c>
      <c r="BE21">
        <f t="shared" si="32"/>
        <v>8.4637425981396142</v>
      </c>
      <c r="BF21" s="12">
        <f t="shared" si="33"/>
        <v>5.743018948224929</v>
      </c>
      <c r="BG21">
        <f t="shared" si="34"/>
        <v>0.48989977096721038</v>
      </c>
      <c r="BH21">
        <f t="shared" si="35"/>
        <v>0.24000178559372518</v>
      </c>
      <c r="BJ21" s="7">
        <v>9</v>
      </c>
      <c r="BK21">
        <f t="shared" si="36"/>
        <v>41.366265880863573</v>
      </c>
      <c r="BL21">
        <f t="shared" si="37"/>
        <v>4.3682697588592436</v>
      </c>
      <c r="BM21">
        <f t="shared" si="38"/>
        <v>100.77574964161848</v>
      </c>
      <c r="BN21">
        <f t="shared" si="39"/>
        <v>167.8198518576296</v>
      </c>
      <c r="BO21">
        <f t="shared" si="40"/>
        <v>27.872936053440061</v>
      </c>
      <c r="BP21">
        <f t="shared" si="41"/>
        <v>20.818931817892949</v>
      </c>
      <c r="BQ21">
        <f t="shared" si="42"/>
        <v>3.3377870512395602</v>
      </c>
      <c r="BR21">
        <f t="shared" si="43"/>
        <v>4.3415646574568703</v>
      </c>
      <c r="BS21">
        <f t="shared" si="44"/>
        <v>171.8825116458751</v>
      </c>
      <c r="BT21">
        <f t="shared" si="45"/>
        <v>151.15304648714979</v>
      </c>
      <c r="BU21">
        <f t="shared" si="46"/>
        <v>44.161988504846384</v>
      </c>
      <c r="BV21">
        <f t="shared" si="47"/>
        <v>157.65343237643657</v>
      </c>
      <c r="BW21">
        <f t="shared" si="48"/>
        <v>15.679940060844636</v>
      </c>
      <c r="BX21">
        <f t="shared" si="49"/>
        <v>0.34896735471463136</v>
      </c>
      <c r="BY21">
        <f t="shared" si="50"/>
        <v>1.1291860164511289</v>
      </c>
      <c r="BZ21">
        <f t="shared" si="51"/>
        <v>113.94341063193961</v>
      </c>
      <c r="CA21">
        <f t="shared" si="52"/>
        <v>29.408027357696334</v>
      </c>
      <c r="CB21">
        <f t="shared" si="53"/>
        <v>15.471506094190305</v>
      </c>
      <c r="CC21">
        <f t="shared" si="54"/>
        <v>95.214032465540015</v>
      </c>
      <c r="CD21">
        <f t="shared" si="55"/>
        <v>77.480395440986044</v>
      </c>
      <c r="CE21">
        <f t="shared" si="56"/>
        <v>179.2801413153941</v>
      </c>
      <c r="CF21">
        <f t="shared" si="57"/>
        <v>89.215918732911845</v>
      </c>
      <c r="CG21">
        <f t="shared" si="58"/>
        <v>81.546030377206066</v>
      </c>
      <c r="CH21">
        <f t="shared" si="59"/>
        <v>117.45621021820115</v>
      </c>
      <c r="CI21">
        <f t="shared" si="60"/>
        <v>17.185548525100767</v>
      </c>
      <c r="CJ21" s="7">
        <v>9</v>
      </c>
      <c r="CK21" s="13">
        <f t="shared" si="61"/>
        <v>5.5454800337832397</v>
      </c>
      <c r="CL21">
        <f t="shared" si="62"/>
        <v>1.6055658607992087</v>
      </c>
      <c r="CM21">
        <f t="shared" si="63"/>
        <v>3.939914172984031</v>
      </c>
      <c r="CN21">
        <f t="shared" si="64"/>
        <v>7.1510458945824489</v>
      </c>
      <c r="CO21">
        <f t="shared" si="65"/>
        <v>3.2111317215984174</v>
      </c>
      <c r="CP21">
        <f t="shared" si="66"/>
        <v>2.3343483121848223</v>
      </c>
      <c r="CQ21">
        <f t="shared" si="67"/>
        <v>8.7566117553816571</v>
      </c>
      <c r="CR21">
        <f t="shared" si="68"/>
        <v>4.8166975823976266</v>
      </c>
      <c r="CS21">
        <f t="shared" si="69"/>
        <v>0.72878245138561315</v>
      </c>
      <c r="CT21">
        <f t="shared" si="70"/>
        <v>10.362177616180865</v>
      </c>
    </row>
    <row r="22" spans="1:98" x14ac:dyDescent="0.25">
      <c r="A22" s="7">
        <v>11</v>
      </c>
      <c r="B22" s="9">
        <f t="shared" si="29"/>
        <v>5.9703695160249479</v>
      </c>
      <c r="C22">
        <v>-0.69817194128238769</v>
      </c>
      <c r="D22">
        <v>-0.72148808252204955</v>
      </c>
      <c r="E22">
        <v>-0.57530442213202315</v>
      </c>
      <c r="F22">
        <v>0.10782189397869812</v>
      </c>
      <c r="G22">
        <v>-0.35789056062501912</v>
      </c>
      <c r="H22">
        <v>0.44358653523361924</v>
      </c>
      <c r="I22">
        <v>0.36002685628833886</v>
      </c>
      <c r="J22">
        <v>-0.95422223578600418</v>
      </c>
      <c r="K22">
        <v>0.4906460768456069</v>
      </c>
      <c r="L22">
        <v>0.22672200689718314</v>
      </c>
      <c r="M22">
        <v>7.5533310953093125E-2</v>
      </c>
      <c r="N22">
        <v>0.55211035493026528</v>
      </c>
      <c r="O22">
        <v>0.47068697164830464</v>
      </c>
      <c r="P22">
        <v>-0.58116397595141456</v>
      </c>
      <c r="Q22">
        <v>-0.78472243415631582</v>
      </c>
      <c r="R22">
        <v>0.6444593646046326</v>
      </c>
      <c r="S22">
        <v>0.67815179906613365</v>
      </c>
      <c r="T22">
        <v>0.28452406384472173</v>
      </c>
      <c r="U22">
        <v>-0.66960661641285446</v>
      </c>
      <c r="V22">
        <v>0.63548692281868946</v>
      </c>
      <c r="W22">
        <v>0.27787102877895453</v>
      </c>
      <c r="X22">
        <v>-0.97888119144260999</v>
      </c>
      <c r="Y22">
        <v>-0.24863429670094916</v>
      </c>
      <c r="Z22">
        <v>-0.2347178563798944</v>
      </c>
      <c r="AA22">
        <v>0.85491500595110925</v>
      </c>
      <c r="AC22" s="7">
        <v>11</v>
      </c>
      <c r="AD22">
        <f t="shared" si="4"/>
        <v>-3.6774998565543013</v>
      </c>
      <c r="AE22">
        <f t="shared" si="5"/>
        <v>-3.9996999789764081</v>
      </c>
      <c r="AF22">
        <f t="shared" si="6"/>
        <v>-1.9796232952042985</v>
      </c>
      <c r="AG22">
        <f t="shared" si="7"/>
        <v>7.4603342182727292</v>
      </c>
      <c r="AH22">
        <f t="shared" si="8"/>
        <v>1.0247663280091732</v>
      </c>
      <c r="AI22">
        <f t="shared" si="9"/>
        <v>12.100184672314645</v>
      </c>
      <c r="AJ22">
        <f t="shared" si="10"/>
        <v>10.945493657665784</v>
      </c>
      <c r="AK22">
        <f t="shared" si="11"/>
        <v>-7.2157970124724686</v>
      </c>
      <c r="AL22">
        <f t="shared" si="12"/>
        <v>12.750489107883872</v>
      </c>
      <c r="AM22">
        <f t="shared" si="13"/>
        <v>9.1033861514619048</v>
      </c>
      <c r="AN22">
        <f t="shared" si="14"/>
        <v>7.0141460906253617</v>
      </c>
      <c r="AO22">
        <f t="shared" si="15"/>
        <v>13.599849116467805</v>
      </c>
      <c r="AP22">
        <f t="shared" si="16"/>
        <v>12.474679055444003</v>
      </c>
      <c r="AQ22">
        <f t="shared" si="17"/>
        <v>-2.0605950537187541</v>
      </c>
      <c r="AR22">
        <f t="shared" si="18"/>
        <v>-4.8735202062782497</v>
      </c>
      <c r="AS22">
        <f t="shared" si="19"/>
        <v>14.875997768888347</v>
      </c>
      <c r="AT22">
        <f t="shared" si="20"/>
        <v>15.341585380346473</v>
      </c>
      <c r="AU22">
        <f t="shared" si="21"/>
        <v>9.9021388109743</v>
      </c>
      <c r="AV22">
        <f t="shared" si="22"/>
        <v>-3.2827625337963289</v>
      </c>
      <c r="AW22">
        <f t="shared" si="23"/>
        <v>14.752009763663086</v>
      </c>
      <c r="AX22">
        <f t="shared" si="24"/>
        <v>9.8102021268276793</v>
      </c>
      <c r="AY22">
        <f t="shared" si="25"/>
        <v>-7.5565531628874725</v>
      </c>
      <c r="AZ22">
        <f t="shared" si="26"/>
        <v>2.5345522419766393</v>
      </c>
      <c r="BA22">
        <f t="shared" si="27"/>
        <v>2.7268601684484737</v>
      </c>
      <c r="BB22">
        <f t="shared" si="28"/>
        <v>17.7842334288659</v>
      </c>
      <c r="BC22" s="2">
        <f t="shared" si="30"/>
        <v>5.5821942795299151</v>
      </c>
      <c r="BD22">
        <f t="shared" si="31"/>
        <v>64.967376624350024</v>
      </c>
      <c r="BE22">
        <f t="shared" si="32"/>
        <v>8.0602342785027048</v>
      </c>
      <c r="BF22" s="12">
        <f t="shared" si="33"/>
        <v>6.0311211665223388</v>
      </c>
      <c r="BG22">
        <f t="shared" si="34"/>
        <v>-0.44892688699242367</v>
      </c>
      <c r="BH22">
        <f t="shared" si="35"/>
        <v>0.20153534986470834</v>
      </c>
      <c r="BJ22" s="7">
        <v>10</v>
      </c>
      <c r="BK22">
        <f t="shared" si="36"/>
        <v>103.85324919710276</v>
      </c>
      <c r="BL22">
        <f t="shared" si="37"/>
        <v>2.9373327238422533</v>
      </c>
      <c r="BM22">
        <f t="shared" si="38"/>
        <v>22.893135029331518</v>
      </c>
      <c r="BN22">
        <f t="shared" si="39"/>
        <v>64.550377531428992</v>
      </c>
      <c r="BO22">
        <f t="shared" si="40"/>
        <v>6.5037973376985407</v>
      </c>
      <c r="BP22">
        <f t="shared" si="41"/>
        <v>64.234877412712891</v>
      </c>
      <c r="BQ22">
        <f t="shared" si="42"/>
        <v>5.2458701186439214</v>
      </c>
      <c r="BR22">
        <f t="shared" si="43"/>
        <v>111.21341892863273</v>
      </c>
      <c r="BS22">
        <f t="shared" si="44"/>
        <v>211.94067263227507</v>
      </c>
      <c r="BT22">
        <f t="shared" si="45"/>
        <v>36.972414037806061</v>
      </c>
      <c r="BU22">
        <f t="shared" si="46"/>
        <v>10.131384876994579</v>
      </c>
      <c r="BV22">
        <f t="shared" si="47"/>
        <v>181.89033698954668</v>
      </c>
      <c r="BW22">
        <f t="shared" si="48"/>
        <v>81.007655458628008</v>
      </c>
      <c r="BX22">
        <f t="shared" si="49"/>
        <v>82.555050169102472</v>
      </c>
      <c r="BY22">
        <f t="shared" si="50"/>
        <v>37.500693650807023</v>
      </c>
      <c r="BZ22">
        <f t="shared" si="51"/>
        <v>21.634451602539457</v>
      </c>
      <c r="CA22">
        <f t="shared" si="52"/>
        <v>41.086509087734527</v>
      </c>
      <c r="CB22">
        <f t="shared" si="53"/>
        <v>13.756048765856722</v>
      </c>
      <c r="CC22">
        <f t="shared" si="54"/>
        <v>138.70657931009143</v>
      </c>
      <c r="CD22">
        <f t="shared" si="55"/>
        <v>83.466217562046765</v>
      </c>
      <c r="CE22">
        <f t="shared" si="56"/>
        <v>63.854738621514151</v>
      </c>
      <c r="CF22">
        <f t="shared" si="57"/>
        <v>121.68910981897265</v>
      </c>
      <c r="CG22">
        <f t="shared" si="58"/>
        <v>36.110477078921342</v>
      </c>
      <c r="CH22">
        <f t="shared" si="59"/>
        <v>29.269367956514653</v>
      </c>
      <c r="CI22">
        <f t="shared" si="60"/>
        <v>57.353761300840425</v>
      </c>
      <c r="CJ22" s="7">
        <v>10</v>
      </c>
      <c r="CK22" s="13">
        <f t="shared" si="61"/>
        <v>5.8300866474051016</v>
      </c>
      <c r="CL22">
        <f t="shared" si="62"/>
        <v>1.5693136977059357</v>
      </c>
      <c r="CM22">
        <f t="shared" si="63"/>
        <v>4.2607729496991658</v>
      </c>
      <c r="CN22">
        <f t="shared" si="64"/>
        <v>7.3994003451110375</v>
      </c>
      <c r="CO22">
        <f t="shared" si="65"/>
        <v>3.1386273954118713</v>
      </c>
      <c r="CP22">
        <f t="shared" si="66"/>
        <v>2.6914592519932303</v>
      </c>
      <c r="CQ22">
        <f t="shared" si="67"/>
        <v>8.9687140428169734</v>
      </c>
      <c r="CR22">
        <f t="shared" si="68"/>
        <v>4.7079410931178067</v>
      </c>
      <c r="CS22">
        <f t="shared" si="69"/>
        <v>1.1221455542872949</v>
      </c>
      <c r="CT22">
        <f t="shared" si="70"/>
        <v>10.538027740522908</v>
      </c>
    </row>
    <row r="23" spans="1:98" x14ac:dyDescent="0.25">
      <c r="A23" s="7">
        <v>12</v>
      </c>
      <c r="B23" s="9">
        <f t="shared" si="29"/>
        <v>6.2619539160747077</v>
      </c>
      <c r="C23">
        <v>-4.3305764946440006E-2</v>
      </c>
      <c r="D23">
        <v>-0.75469222083193455</v>
      </c>
      <c r="E23">
        <v>-0.52055421613208419</v>
      </c>
      <c r="F23">
        <v>-0.1683706167790765</v>
      </c>
      <c r="G23">
        <v>0.54783776360362557</v>
      </c>
      <c r="H23">
        <v>-0.7286904507583849</v>
      </c>
      <c r="I23">
        <v>0.91332743308816799</v>
      </c>
      <c r="J23">
        <v>0.26377147740104379</v>
      </c>
      <c r="K23">
        <v>-0.7584765160069582</v>
      </c>
      <c r="L23">
        <v>0.64574114200262467</v>
      </c>
      <c r="M23">
        <v>0.1463362529374066</v>
      </c>
      <c r="N23">
        <v>-0.67192602313303018</v>
      </c>
      <c r="O23">
        <v>-0.73760185552537616</v>
      </c>
      <c r="P23">
        <v>0.42991424298837244</v>
      </c>
      <c r="Q23">
        <v>0.78820154423657951</v>
      </c>
      <c r="R23">
        <v>0.8137150181585131</v>
      </c>
      <c r="S23">
        <v>0.38847010711996832</v>
      </c>
      <c r="T23">
        <v>0.85363322855311741</v>
      </c>
      <c r="U23">
        <v>0.45939512314218578</v>
      </c>
      <c r="V23">
        <v>-6.9795831171605593E-2</v>
      </c>
      <c r="W23">
        <v>-0.2227546006653035</v>
      </c>
      <c r="X23">
        <v>-0.91460921048615984</v>
      </c>
      <c r="Y23">
        <v>0.72936185796685682</v>
      </c>
      <c r="Z23">
        <v>-0.25589770195623651</v>
      </c>
      <c r="AA23">
        <v>-9.4027527695547342E-2</v>
      </c>
      <c r="AC23" s="7">
        <v>12</v>
      </c>
      <c r="AD23">
        <f t="shared" si="4"/>
        <v>5.6635220133038047</v>
      </c>
      <c r="AE23">
        <f t="shared" si="5"/>
        <v>-4.166955543841901</v>
      </c>
      <c r="AF23">
        <f t="shared" si="6"/>
        <v>-0.93145902653508728</v>
      </c>
      <c r="AG23">
        <f t="shared" si="7"/>
        <v>3.9352810425108786</v>
      </c>
      <c r="AH23">
        <f t="shared" si="8"/>
        <v>13.832391609267439</v>
      </c>
      <c r="AI23">
        <f t="shared" si="9"/>
        <v>-3.8076433654340001</v>
      </c>
      <c r="AJ23">
        <f t="shared" si="10"/>
        <v>18.883005046606648</v>
      </c>
      <c r="AK23">
        <f t="shared" si="11"/>
        <v>9.9069482329520291</v>
      </c>
      <c r="AL23">
        <f t="shared" si="12"/>
        <v>-4.219249804549154</v>
      </c>
      <c r="AM23">
        <f t="shared" si="13"/>
        <v>15.185294741113147</v>
      </c>
      <c r="AN23">
        <f t="shared" si="14"/>
        <v>8.2841392393914681</v>
      </c>
      <c r="AO23">
        <f t="shared" si="15"/>
        <v>-3.0232294548252074</v>
      </c>
      <c r="AP23">
        <f t="shared" si="16"/>
        <v>-3.9307879148414049</v>
      </c>
      <c r="AQ23">
        <f t="shared" si="17"/>
        <v>12.202834969164005</v>
      </c>
      <c r="AR23">
        <f t="shared" si="18"/>
        <v>17.153920619995866</v>
      </c>
      <c r="AS23">
        <f t="shared" si="19"/>
        <v>17.506485151860893</v>
      </c>
      <c r="AT23">
        <f t="shared" si="20"/>
        <v>11.630128468837801</v>
      </c>
      <c r="AU23">
        <f t="shared" si="21"/>
        <v>18.058105256740625</v>
      </c>
      <c r="AV23">
        <f t="shared" si="22"/>
        <v>12.610224129189866</v>
      </c>
      <c r="AW23">
        <f t="shared" si="23"/>
        <v>5.2974621883530331</v>
      </c>
      <c r="AX23">
        <f t="shared" si="24"/>
        <v>3.1837619087985813</v>
      </c>
      <c r="AY23">
        <f t="shared" si="25"/>
        <v>-6.3768097866322702</v>
      </c>
      <c r="AZ23">
        <f t="shared" si="26"/>
        <v>16.340829211579866</v>
      </c>
      <c r="BA23">
        <f t="shared" si="27"/>
        <v>2.7257653997011873</v>
      </c>
      <c r="BB23">
        <f t="shared" si="28"/>
        <v>4.962610228663042</v>
      </c>
      <c r="BC23" s="2">
        <f t="shared" si="30"/>
        <v>6.8362629824548442</v>
      </c>
      <c r="BD23">
        <f t="shared" si="31"/>
        <v>68.647993259284547</v>
      </c>
      <c r="BE23">
        <f t="shared" si="32"/>
        <v>8.285408454583548</v>
      </c>
      <c r="BF23" s="12">
        <f t="shared" si="33"/>
        <v>6.3192233848197485</v>
      </c>
      <c r="BG23">
        <f t="shared" si="34"/>
        <v>0.51703959763509566</v>
      </c>
      <c r="BH23">
        <f t="shared" si="35"/>
        <v>0.26732994552266159</v>
      </c>
      <c r="BJ23" s="7">
        <v>11</v>
      </c>
      <c r="BK23">
        <f t="shared" si="36"/>
        <v>70.916260028016808</v>
      </c>
      <c r="BL23">
        <f t="shared" si="37"/>
        <v>109.20876872062188</v>
      </c>
      <c r="BM23">
        <f t="shared" si="38"/>
        <v>39.00247611340145</v>
      </c>
      <c r="BN23">
        <f t="shared" si="39"/>
        <v>3.0488238346423988</v>
      </c>
      <c r="BO23">
        <f t="shared" si="40"/>
        <v>38.058992110806713</v>
      </c>
      <c r="BP23">
        <f t="shared" si="41"/>
        <v>33.508562139140622</v>
      </c>
      <c r="BQ23">
        <f t="shared" si="42"/>
        <v>36.737478616176141</v>
      </c>
      <c r="BR23">
        <f t="shared" si="43"/>
        <v>175.53059864224952</v>
      </c>
      <c r="BS23">
        <f t="shared" si="44"/>
        <v>78.025763107717978</v>
      </c>
      <c r="BT23">
        <f t="shared" si="45"/>
        <v>6.5997097619164853</v>
      </c>
      <c r="BU23">
        <f t="shared" si="46"/>
        <v>0.60435031938011141</v>
      </c>
      <c r="BV23">
        <f t="shared" si="47"/>
        <v>63.288895997986856</v>
      </c>
      <c r="BW23">
        <f t="shared" si="48"/>
        <v>76.909887977876878</v>
      </c>
      <c r="BX23">
        <f t="shared" si="49"/>
        <v>105.36774421337023</v>
      </c>
      <c r="BY23">
        <f t="shared" si="50"/>
        <v>92.566782343557364</v>
      </c>
      <c r="BZ23">
        <f t="shared" si="51"/>
        <v>36.374262971114071</v>
      </c>
      <c r="CA23">
        <f t="shared" si="52"/>
        <v>113.41708436062586</v>
      </c>
      <c r="CB23">
        <f t="shared" si="53"/>
        <v>22.033275865241233</v>
      </c>
      <c r="CC23">
        <f t="shared" si="54"/>
        <v>104.22281252761246</v>
      </c>
      <c r="CD23">
        <f t="shared" si="55"/>
        <v>88.480274469108906</v>
      </c>
      <c r="CE23">
        <f t="shared" si="56"/>
        <v>17.358849358174439</v>
      </c>
      <c r="CF23">
        <f t="shared" si="57"/>
        <v>169.63834775175215</v>
      </c>
      <c r="CG23">
        <f t="shared" si="58"/>
        <v>37.473490092118141</v>
      </c>
      <c r="CH23">
        <f t="shared" si="59"/>
        <v>12.991065123012806</v>
      </c>
      <c r="CI23">
        <f t="shared" si="60"/>
        <v>136.10030392267151</v>
      </c>
      <c r="CJ23" s="7">
        <v>11</v>
      </c>
      <c r="CK23" s="13">
        <f t="shared" si="61"/>
        <v>6.1146932610269626</v>
      </c>
      <c r="CL23">
        <f t="shared" si="62"/>
        <v>1.5339334196024952</v>
      </c>
      <c r="CM23">
        <f t="shared" si="63"/>
        <v>4.5807598414244675</v>
      </c>
      <c r="CN23">
        <f t="shared" si="64"/>
        <v>7.6486266806294578</v>
      </c>
      <c r="CO23">
        <f t="shared" si="65"/>
        <v>3.0678668392049904</v>
      </c>
      <c r="CP23">
        <f t="shared" si="66"/>
        <v>3.0468264218219723</v>
      </c>
      <c r="CQ23">
        <f t="shared" si="67"/>
        <v>9.182560100231953</v>
      </c>
      <c r="CR23">
        <f t="shared" si="68"/>
        <v>4.6018002588074856</v>
      </c>
      <c r="CS23">
        <f t="shared" si="69"/>
        <v>1.5128930022194771</v>
      </c>
      <c r="CT23">
        <f t="shared" si="70"/>
        <v>10.716493519834447</v>
      </c>
    </row>
    <row r="24" spans="1:98" x14ac:dyDescent="0.25">
      <c r="A24" s="7">
        <v>13</v>
      </c>
      <c r="B24" s="9">
        <f t="shared" si="29"/>
        <v>6.5535383161244685</v>
      </c>
      <c r="C24">
        <v>-0.33616138187810907</v>
      </c>
      <c r="D24">
        <v>-0.9268776512955107</v>
      </c>
      <c r="E24">
        <v>-0.44273201696829123</v>
      </c>
      <c r="F24">
        <v>0.68651387066255687</v>
      </c>
      <c r="G24">
        <v>0.40086062196722305</v>
      </c>
      <c r="H24">
        <v>0.41148106326487022</v>
      </c>
      <c r="I24">
        <v>0.53874324777977844</v>
      </c>
      <c r="J24">
        <v>-0.18057802056947536</v>
      </c>
      <c r="K24">
        <v>-0.42936490981780451</v>
      </c>
      <c r="L24">
        <v>0.79381694998016306</v>
      </c>
      <c r="M24">
        <v>0.92352061525315099</v>
      </c>
      <c r="N24">
        <v>0.44865260780663463</v>
      </c>
      <c r="O24">
        <v>-0.80407116916409804</v>
      </c>
      <c r="P24">
        <v>0.78978850672933132</v>
      </c>
      <c r="Q24">
        <v>8.9754936368907634E-2</v>
      </c>
      <c r="R24">
        <v>0.17880794701986757</v>
      </c>
      <c r="S24">
        <v>0.24448377941221344</v>
      </c>
      <c r="T24">
        <v>-0.85064241462446977</v>
      </c>
      <c r="U24">
        <v>-0.17246009704886012</v>
      </c>
      <c r="V24">
        <v>0.51951658680990009</v>
      </c>
      <c r="W24">
        <v>0.54826502273628952</v>
      </c>
      <c r="X24">
        <v>0.29532761619922487</v>
      </c>
      <c r="Y24">
        <v>0.11178930021057765</v>
      </c>
      <c r="Z24">
        <v>0.81664479506820897</v>
      </c>
      <c r="AA24">
        <v>-0.74193548387096775</v>
      </c>
      <c r="AC24" s="7">
        <v>13</v>
      </c>
      <c r="AD24">
        <f t="shared" si="4"/>
        <v>1.9082053992664703</v>
      </c>
      <c r="AE24">
        <f t="shared" si="5"/>
        <v>-6.2547600059721518</v>
      </c>
      <c r="AF24">
        <f t="shared" si="6"/>
        <v>0.43553154128479665</v>
      </c>
      <c r="AG24">
        <f t="shared" si="7"/>
        <v>16.040307627492666</v>
      </c>
      <c r="AH24">
        <f t="shared" si="8"/>
        <v>12.09293439991292</v>
      </c>
      <c r="AI24">
        <f t="shared" si="9"/>
        <v>12.239695712220374</v>
      </c>
      <c r="AJ24">
        <f t="shared" si="10"/>
        <v>13.99830109245622</v>
      </c>
      <c r="AK24">
        <f t="shared" si="11"/>
        <v>4.0581742789888562</v>
      </c>
      <c r="AL24">
        <f t="shared" si="12"/>
        <v>0.62024836539589945</v>
      </c>
      <c r="AM24">
        <f t="shared" si="13"/>
        <v>17.523102955288646</v>
      </c>
      <c r="AN24">
        <f t="shared" si="14"/>
        <v>19.315446568238848</v>
      </c>
      <c r="AO24">
        <f t="shared" si="15"/>
        <v>12.753360305296454</v>
      </c>
      <c r="AP24">
        <f t="shared" si="16"/>
        <v>-4.5577269004400058</v>
      </c>
      <c r="AQ24">
        <f t="shared" si="17"/>
        <v>17.467434871309955</v>
      </c>
      <c r="AR24">
        <f t="shared" si="18"/>
        <v>7.7938400962860079</v>
      </c>
      <c r="AS24">
        <f t="shared" si="19"/>
        <v>9.0244421345421735</v>
      </c>
      <c r="AT24">
        <f t="shared" si="20"/>
        <v>9.9320005945583691</v>
      </c>
      <c r="AU24">
        <f t="shared" si="21"/>
        <v>-5.2012836894663614</v>
      </c>
      <c r="AV24">
        <f t="shared" si="22"/>
        <v>4.1703539027640915</v>
      </c>
      <c r="AW24">
        <f t="shared" si="23"/>
        <v>13.732612509830659</v>
      </c>
      <c r="AX24">
        <f t="shared" si="24"/>
        <v>14.129880200042212</v>
      </c>
      <c r="AY24">
        <f t="shared" si="25"/>
        <v>10.634599290834851</v>
      </c>
      <c r="AZ24">
        <f t="shared" si="26"/>
        <v>8.0983276465330789</v>
      </c>
      <c r="BA24">
        <f t="shared" si="27"/>
        <v>17.838555431167883</v>
      </c>
      <c r="BB24">
        <f t="shared" si="28"/>
        <v>-3.6990888778596265</v>
      </c>
      <c r="BC24" s="2">
        <f t="shared" si="30"/>
        <v>8.1637798179989325</v>
      </c>
      <c r="BD24">
        <f t="shared" si="31"/>
        <v>62.320101512553499</v>
      </c>
      <c r="BE24">
        <f t="shared" si="32"/>
        <v>7.8943081718763359</v>
      </c>
      <c r="BF24" s="12">
        <f t="shared" si="33"/>
        <v>6.6073256031171574</v>
      </c>
      <c r="BG24">
        <f t="shared" si="34"/>
        <v>1.556454214881775</v>
      </c>
      <c r="BH24">
        <f t="shared" si="35"/>
        <v>2.4225497230232427</v>
      </c>
      <c r="BJ24" s="7">
        <v>12</v>
      </c>
      <c r="BK24">
        <f t="shared" si="36"/>
        <v>0.35006747384005577</v>
      </c>
      <c r="BL24">
        <f t="shared" si="37"/>
        <v>119.35748844300416</v>
      </c>
      <c r="BM24">
        <f t="shared" si="38"/>
        <v>30.148889033910084</v>
      </c>
      <c r="BN24">
        <f t="shared" si="39"/>
        <v>29.119669236131294</v>
      </c>
      <c r="BO24">
        <f t="shared" si="40"/>
        <v>40.95146208860389</v>
      </c>
      <c r="BP24">
        <f t="shared" si="41"/>
        <v>107.74896668073089</v>
      </c>
      <c r="BQ24">
        <f t="shared" si="42"/>
        <v>188.45222697181308</v>
      </c>
      <c r="BR24">
        <f t="shared" si="43"/>
        <v>13.023213220361825</v>
      </c>
      <c r="BS24">
        <f t="shared" si="44"/>
        <v>72.124850182997761</v>
      </c>
      <c r="BT24">
        <f t="shared" si="45"/>
        <v>70.766016951897626</v>
      </c>
      <c r="BU24">
        <f t="shared" si="46"/>
        <v>3.8586103191941161E-2</v>
      </c>
      <c r="BV24">
        <f t="shared" si="47"/>
        <v>80.431599314941579</v>
      </c>
      <c r="BW24">
        <f t="shared" si="48"/>
        <v>63.559852353254271</v>
      </c>
      <c r="BX24">
        <f t="shared" si="49"/>
        <v>13.737223387710058</v>
      </c>
      <c r="BY24">
        <f t="shared" si="50"/>
        <v>146.53104242732027</v>
      </c>
      <c r="BZ24">
        <f t="shared" si="51"/>
        <v>71.947979659638108</v>
      </c>
      <c r="CA24">
        <f t="shared" si="52"/>
        <v>44.649309046766177</v>
      </c>
      <c r="CB24">
        <f t="shared" si="53"/>
        <v>156.35634274166074</v>
      </c>
      <c r="CC24">
        <f t="shared" si="54"/>
        <v>28.969723032803458</v>
      </c>
      <c r="CD24">
        <f t="shared" si="55"/>
        <v>0.12028612106410924</v>
      </c>
      <c r="CE24">
        <f t="shared" si="56"/>
        <v>7.8258275776808128</v>
      </c>
      <c r="CF24">
        <f t="shared" si="57"/>
        <v>148.07445935381446</v>
      </c>
      <c r="CG24">
        <f t="shared" si="58"/>
        <v>55.043089365384269</v>
      </c>
      <c r="CH24">
        <f t="shared" si="59"/>
        <v>15.378045737960829</v>
      </c>
      <c r="CI24">
        <f t="shared" si="60"/>
        <v>2.0543658519047527</v>
      </c>
      <c r="CJ24" s="7">
        <v>12</v>
      </c>
      <c r="CK24" s="13">
        <f t="shared" si="61"/>
        <v>6.3992998746488245</v>
      </c>
      <c r="CL24">
        <f t="shared" si="62"/>
        <v>1.4994867439433024</v>
      </c>
      <c r="CM24">
        <f t="shared" si="63"/>
        <v>4.8998131307055219</v>
      </c>
      <c r="CN24">
        <f t="shared" si="64"/>
        <v>7.8987866185921272</v>
      </c>
      <c r="CO24">
        <f t="shared" si="65"/>
        <v>2.9989734878866048</v>
      </c>
      <c r="CP24">
        <f t="shared" si="66"/>
        <v>3.4003263867622198</v>
      </c>
      <c r="CQ24">
        <f t="shared" si="67"/>
        <v>9.3982733625354289</v>
      </c>
      <c r="CR24">
        <f t="shared" si="68"/>
        <v>4.498460231829907</v>
      </c>
      <c r="CS24">
        <f t="shared" si="69"/>
        <v>1.9008396428189176</v>
      </c>
      <c r="CT24">
        <f t="shared" si="70"/>
        <v>10.897760106478732</v>
      </c>
    </row>
    <row r="25" spans="1:98" x14ac:dyDescent="0.25">
      <c r="A25" s="7">
        <v>14</v>
      </c>
      <c r="B25" s="9">
        <f t="shared" si="29"/>
        <v>6.8451227161742283</v>
      </c>
      <c r="C25">
        <v>0.21024201178014468</v>
      </c>
      <c r="D25">
        <v>-0.30881679738761558</v>
      </c>
      <c r="E25">
        <v>-0.26480910672322766</v>
      </c>
      <c r="F25">
        <v>0.64519180883205673</v>
      </c>
      <c r="G25">
        <v>0.28031250953703424</v>
      </c>
      <c r="H25">
        <v>0.80626850184636978</v>
      </c>
      <c r="I25">
        <v>0.3555711539048434</v>
      </c>
      <c r="J25">
        <v>-0.93633838923306989</v>
      </c>
      <c r="K25">
        <v>-0.34080019531846062</v>
      </c>
      <c r="L25">
        <v>0.348673970763268</v>
      </c>
      <c r="M25">
        <v>-5.5330057679982891E-2</v>
      </c>
      <c r="N25">
        <v>-0.11484115115817739</v>
      </c>
      <c r="O25">
        <v>-0.28666035950804158</v>
      </c>
      <c r="P25">
        <v>0.77495651112399666</v>
      </c>
      <c r="Q25">
        <v>0.46647541734061715</v>
      </c>
      <c r="R25">
        <v>0.21897030549027985</v>
      </c>
      <c r="S25">
        <v>-0.88793603320413828</v>
      </c>
      <c r="T25">
        <v>-0.91436506241035187</v>
      </c>
      <c r="U25">
        <v>0.89257484664448983</v>
      </c>
      <c r="V25">
        <v>0.22940763573107081</v>
      </c>
      <c r="W25">
        <v>-0.87524033326212347</v>
      </c>
      <c r="X25">
        <v>-0.81554612872707299</v>
      </c>
      <c r="Y25">
        <v>-0.62388988921781063</v>
      </c>
      <c r="Z25">
        <v>0.8640095217749566</v>
      </c>
      <c r="AA25">
        <v>-0.31229590746787927</v>
      </c>
      <c r="AC25" s="7">
        <v>14</v>
      </c>
      <c r="AD25">
        <f t="shared" si="4"/>
        <v>9.7504062807892762</v>
      </c>
      <c r="AE25">
        <f t="shared" si="5"/>
        <v>2.5776580057170255</v>
      </c>
      <c r="AF25">
        <f t="shared" si="6"/>
        <v>3.1857896503933061</v>
      </c>
      <c r="AG25">
        <f t="shared" si="7"/>
        <v>15.760872438851937</v>
      </c>
      <c r="AH25">
        <f t="shared" si="8"/>
        <v>10.718693559691316</v>
      </c>
      <c r="AI25">
        <f t="shared" si="9"/>
        <v>17.986752342181624</v>
      </c>
      <c r="AJ25">
        <f t="shared" si="10"/>
        <v>11.758674583111365</v>
      </c>
      <c r="AK25">
        <f t="shared" si="11"/>
        <v>-6.0939112576905261</v>
      </c>
      <c r="AL25">
        <f t="shared" si="12"/>
        <v>2.1356871571589524</v>
      </c>
      <c r="AM25">
        <f t="shared" si="13"/>
        <v>11.663364075693305</v>
      </c>
      <c r="AN25">
        <f t="shared" si="14"/>
        <v>6.0805300172851178</v>
      </c>
      <c r="AO25">
        <f t="shared" si="15"/>
        <v>5.2581605948726722</v>
      </c>
      <c r="AP25">
        <f t="shared" si="16"/>
        <v>2.8838324675998139</v>
      </c>
      <c r="AQ25">
        <f t="shared" si="17"/>
        <v>17.554059507619996</v>
      </c>
      <c r="AR25">
        <f t="shared" si="18"/>
        <v>13.291233804161021</v>
      </c>
      <c r="AS25">
        <f t="shared" si="19"/>
        <v>9.8710204627431022</v>
      </c>
      <c r="AT25">
        <f t="shared" si="20"/>
        <v>-5.4250507941284019</v>
      </c>
      <c r="AU25">
        <f t="shared" si="21"/>
        <v>-5.790267163261313</v>
      </c>
      <c r="AV25">
        <f t="shared" si="22"/>
        <v>19.179398868634134</v>
      </c>
      <c r="AW25">
        <f t="shared" si="23"/>
        <v>10.015251407596976</v>
      </c>
      <c r="AX25">
        <f t="shared" si="24"/>
        <v>-5.2496119840137458</v>
      </c>
      <c r="AY25">
        <f t="shared" si="25"/>
        <v>-4.4247121941477241</v>
      </c>
      <c r="AZ25">
        <f t="shared" si="26"/>
        <v>-1.7762609260707167</v>
      </c>
      <c r="BA25">
        <f t="shared" si="27"/>
        <v>18.784661545876162</v>
      </c>
      <c r="BB25">
        <f t="shared" si="28"/>
        <v>2.529581024099067</v>
      </c>
      <c r="BC25" s="2">
        <f t="shared" si="30"/>
        <v>6.4890325389905499</v>
      </c>
      <c r="BD25">
        <f t="shared" si="31"/>
        <v>69.0764572495046</v>
      </c>
      <c r="BE25">
        <f t="shared" si="32"/>
        <v>8.3112247743340806</v>
      </c>
      <c r="BF25" s="12">
        <f t="shared" si="33"/>
        <v>6.8954278214145672</v>
      </c>
      <c r="BG25">
        <f t="shared" si="34"/>
        <v>-0.40639528242401735</v>
      </c>
      <c r="BH25">
        <f t="shared" si="35"/>
        <v>0.16515712557649681</v>
      </c>
      <c r="BJ25" s="7">
        <v>13</v>
      </c>
      <c r="BK25">
        <f t="shared" si="36"/>
        <v>12.192871351682063</v>
      </c>
      <c r="BL25">
        <f t="shared" si="37"/>
        <v>177.43357642811148</v>
      </c>
      <c r="BM25">
        <f t="shared" si="38"/>
        <v>19.514997666393743</v>
      </c>
      <c r="BN25">
        <f t="shared" si="39"/>
        <v>43.344304549321215</v>
      </c>
      <c r="BO25">
        <f t="shared" si="40"/>
        <v>19.543299615526472</v>
      </c>
      <c r="BP25">
        <f t="shared" si="41"/>
        <v>29.225583219771941</v>
      </c>
      <c r="BQ25">
        <f t="shared" si="42"/>
        <v>73.482960830395996</v>
      </c>
      <c r="BR25">
        <f t="shared" si="43"/>
        <v>6.2759529390261219</v>
      </c>
      <c r="BS25">
        <f t="shared" si="44"/>
        <v>16.074104189068727</v>
      </c>
      <c r="BT25">
        <f t="shared" si="45"/>
        <v>110.48989887572817</v>
      </c>
      <c r="BU25">
        <f t="shared" si="46"/>
        <v>119.49945903873936</v>
      </c>
      <c r="BV25">
        <f t="shared" si="47"/>
        <v>42.347599121744047</v>
      </c>
      <c r="BW25">
        <f t="shared" si="48"/>
        <v>79.855436550554785</v>
      </c>
      <c r="BX25">
        <f t="shared" si="49"/>
        <v>75.321589082034421</v>
      </c>
      <c r="BY25">
        <f t="shared" si="50"/>
        <v>5.9713927869805641</v>
      </c>
      <c r="BZ25">
        <f t="shared" si="51"/>
        <v>3.2115275875942859E-2</v>
      </c>
      <c r="CA25">
        <f t="shared" si="52"/>
        <v>22.350305662610094</v>
      </c>
      <c r="CB25">
        <f t="shared" si="53"/>
        <v>123.22800615285036</v>
      </c>
      <c r="CC25">
        <f t="shared" si="54"/>
        <v>11.28418143919045</v>
      </c>
      <c r="CD25">
        <f t="shared" si="55"/>
        <v>60.678751544367671</v>
      </c>
      <c r="CE25">
        <f t="shared" si="56"/>
        <v>61.015269287872506</v>
      </c>
      <c r="CF25">
        <f t="shared" si="57"/>
        <v>20.421582652249359</v>
      </c>
      <c r="CG25">
        <f t="shared" si="58"/>
        <v>1.1859494879501258</v>
      </c>
      <c r="CH25">
        <f t="shared" si="59"/>
        <v>118.27055206463895</v>
      </c>
      <c r="CI25">
        <f t="shared" si="60"/>
        <v>107.59687252565888</v>
      </c>
      <c r="CJ25" s="7">
        <v>13</v>
      </c>
      <c r="CK25" s="13">
        <f t="shared" si="61"/>
        <v>6.6839064882706865</v>
      </c>
      <c r="CL25">
        <f t="shared" si="62"/>
        <v>1.4660394811437798</v>
      </c>
      <c r="CM25">
        <f t="shared" si="63"/>
        <v>5.2178670071269071</v>
      </c>
      <c r="CN25">
        <f t="shared" si="64"/>
        <v>8.1499459694144658</v>
      </c>
      <c r="CO25">
        <f t="shared" si="65"/>
        <v>2.9320789622875596</v>
      </c>
      <c r="CP25">
        <f t="shared" si="66"/>
        <v>3.7518275259831269</v>
      </c>
      <c r="CQ25">
        <f t="shared" si="67"/>
        <v>9.6159854505582452</v>
      </c>
      <c r="CR25">
        <f t="shared" si="68"/>
        <v>4.3981184434313398</v>
      </c>
      <c r="CS25">
        <f t="shared" si="69"/>
        <v>2.2857880448393466</v>
      </c>
      <c r="CT25">
        <f t="shared" si="70"/>
        <v>11.082024931702026</v>
      </c>
    </row>
    <row r="26" spans="1:98" x14ac:dyDescent="0.25">
      <c r="A26" s="7">
        <v>15</v>
      </c>
      <c r="B26" s="9">
        <f t="shared" si="29"/>
        <v>7.1367071162239881</v>
      </c>
      <c r="C26">
        <v>-7.1871089815973344E-2</v>
      </c>
      <c r="D26">
        <v>0.35215308084353159</v>
      </c>
      <c r="E26">
        <v>0.80346079897457812</v>
      </c>
      <c r="F26">
        <v>-0.19779045991393784</v>
      </c>
      <c r="G26">
        <v>0.1802728354747154</v>
      </c>
      <c r="H26">
        <v>0.62504959257789849</v>
      </c>
      <c r="I26">
        <v>0.44767601550340275</v>
      </c>
      <c r="J26">
        <v>0.82854701376384776</v>
      </c>
      <c r="K26">
        <v>-0.81817072054200879</v>
      </c>
      <c r="L26">
        <v>-0.49198889126255074</v>
      </c>
      <c r="M26">
        <v>-0.25131992553483684</v>
      </c>
      <c r="N26">
        <v>0.23545030060731831</v>
      </c>
      <c r="O26">
        <v>-0.44956816309091463</v>
      </c>
      <c r="P26">
        <v>-0.92486342967009494</v>
      </c>
      <c r="Q26">
        <v>-0.29575487533188882</v>
      </c>
      <c r="R26">
        <v>0.3706472975859858</v>
      </c>
      <c r="S26">
        <v>-0.77904599139378039</v>
      </c>
      <c r="T26">
        <v>-0.41087069307535018</v>
      </c>
      <c r="U26">
        <v>0.3238929410687581</v>
      </c>
      <c r="V26">
        <v>-0.18796349986266669</v>
      </c>
      <c r="W26">
        <v>-0.35984374523148288</v>
      </c>
      <c r="X26">
        <v>0.16782128360850845</v>
      </c>
      <c r="Y26">
        <v>0.88006225775933111</v>
      </c>
      <c r="Z26">
        <v>-0.13553270058290356</v>
      </c>
      <c r="AA26">
        <v>0.52751243629261158</v>
      </c>
      <c r="AC26" s="7">
        <v>15</v>
      </c>
      <c r="AD26">
        <f t="shared" si="4"/>
        <v>6.1435378906951108</v>
      </c>
      <c r="AE26">
        <f t="shared" si="5"/>
        <v>12.003025457361023</v>
      </c>
      <c r="AF26">
        <f t="shared" si="6"/>
        <v>18.239537774609872</v>
      </c>
      <c r="AG26">
        <f t="shared" si="7"/>
        <v>4.4034885384521587</v>
      </c>
      <c r="AH26">
        <f t="shared" si="8"/>
        <v>9.6278538742703059</v>
      </c>
      <c r="AI26">
        <f t="shared" si="9"/>
        <v>15.774116419008251</v>
      </c>
      <c r="AJ26">
        <f t="shared" si="10"/>
        <v>13.323033812310232</v>
      </c>
      <c r="AK26">
        <f t="shared" si="11"/>
        <v>18.586198115749887</v>
      </c>
      <c r="AL26">
        <f t="shared" si="12"/>
        <v>-4.1693963942658971</v>
      </c>
      <c r="AM26">
        <f t="shared" si="13"/>
        <v>0.33803149637216823</v>
      </c>
      <c r="AN26">
        <f t="shared" si="14"/>
        <v>3.6637777861898879</v>
      </c>
      <c r="AO26">
        <f t="shared" si="15"/>
        <v>10.39033793361477</v>
      </c>
      <c r="AP26">
        <f t="shared" si="16"/>
        <v>0.92423328978411767</v>
      </c>
      <c r="AQ26">
        <f t="shared" si="17"/>
        <v>-5.6437571638832882</v>
      </c>
      <c r="AR26">
        <f t="shared" si="18"/>
        <v>3.0497419507885937</v>
      </c>
      <c r="AS26">
        <f t="shared" si="19"/>
        <v>12.258592570172276</v>
      </c>
      <c r="AT26">
        <f t="shared" si="20"/>
        <v>-3.62874121501833</v>
      </c>
      <c r="AU26">
        <f t="shared" si="21"/>
        <v>1.458984278306672</v>
      </c>
      <c r="AV26">
        <f t="shared" si="22"/>
        <v>11.612505413692343</v>
      </c>
      <c r="AW26">
        <f t="shared" si="23"/>
        <v>4.5392849251274461</v>
      </c>
      <c r="AX26">
        <f t="shared" si="24"/>
        <v>2.1641133420367291</v>
      </c>
      <c r="AY26">
        <f t="shared" si="25"/>
        <v>9.4557888874270866</v>
      </c>
      <c r="AZ26">
        <f t="shared" si="26"/>
        <v>19.29807482602282</v>
      </c>
      <c r="BA26">
        <f t="shared" si="27"/>
        <v>5.2638134726682573</v>
      </c>
      <c r="BB26">
        <f t="shared" si="28"/>
        <v>14.426274022069702</v>
      </c>
      <c r="BC26" s="2">
        <f t="shared" si="30"/>
        <v>7.340098052142487</v>
      </c>
      <c r="BD26">
        <f t="shared" si="31"/>
        <v>52.319921541585252</v>
      </c>
      <c r="BE26">
        <f t="shared" si="32"/>
        <v>7.2332511045577048</v>
      </c>
      <c r="BF26" s="12">
        <f t="shared" si="33"/>
        <v>7.1835300397119761</v>
      </c>
      <c r="BG26">
        <f t="shared" si="34"/>
        <v>0.15656801243051088</v>
      </c>
      <c r="BH26">
        <f t="shared" si="35"/>
        <v>2.4513542516440612E-2</v>
      </c>
      <c r="BJ26" s="7">
        <v>14</v>
      </c>
      <c r="BK26">
        <f t="shared" si="36"/>
        <v>16.178044894331766</v>
      </c>
      <c r="BL26">
        <f t="shared" si="37"/>
        <v>22.997120459319039</v>
      </c>
      <c r="BM26">
        <f t="shared" si="38"/>
        <v>3.845868398155214</v>
      </c>
      <c r="BN26">
        <f t="shared" si="39"/>
        <v>38.181040994058222</v>
      </c>
      <c r="BO26">
        <f t="shared" si="40"/>
        <v>7.8817434381557527</v>
      </c>
      <c r="BP26">
        <f t="shared" si="41"/>
        <v>118.63731402464737</v>
      </c>
      <c r="BQ26">
        <f t="shared" si="42"/>
        <v>36.744542994521574</v>
      </c>
      <c r="BR26">
        <f t="shared" si="43"/>
        <v>166.98973824376588</v>
      </c>
      <c r="BS26">
        <f t="shared" si="44"/>
        <v>8.1220951269233268</v>
      </c>
      <c r="BT26">
        <f t="shared" si="45"/>
        <v>19.474869325341487</v>
      </c>
      <c r="BU26">
        <f t="shared" si="46"/>
        <v>6.7573779680442181</v>
      </c>
      <c r="BV26">
        <f t="shared" si="47"/>
        <v>1.6600165395629773</v>
      </c>
      <c r="BW26">
        <f t="shared" si="48"/>
        <v>3.3541437629148039</v>
      </c>
      <c r="BX26">
        <f t="shared" si="49"/>
        <v>71.795981700338842</v>
      </c>
      <c r="BY26">
        <f t="shared" si="50"/>
        <v>58.365935874000897</v>
      </c>
      <c r="BZ26">
        <f t="shared" si="51"/>
        <v>0.23813535690040252</v>
      </c>
      <c r="CA26">
        <f t="shared" si="52"/>
        <v>118.49879940407929</v>
      </c>
      <c r="CB26">
        <f t="shared" si="53"/>
        <v>144.85252922448632</v>
      </c>
      <c r="CC26">
        <f t="shared" si="54"/>
        <v>128.78107868052558</v>
      </c>
      <c r="CD26">
        <f t="shared" si="55"/>
        <v>14.240244714640019</v>
      </c>
      <c r="CE26">
        <f t="shared" si="56"/>
        <v>141.74541028465029</v>
      </c>
      <c r="CF26">
        <f t="shared" si="57"/>
        <v>118.0283771579024</v>
      </c>
      <c r="CG26">
        <f t="shared" si="58"/>
        <v>126.09529578993302</v>
      </c>
      <c r="CH26">
        <f t="shared" si="59"/>
        <v>132.37087619391747</v>
      </c>
      <c r="CI26">
        <f t="shared" si="60"/>
        <v>19.555035094195613</v>
      </c>
      <c r="CJ26" s="7">
        <v>14</v>
      </c>
      <c r="CK26" s="13">
        <f t="shared" si="61"/>
        <v>6.9685131018925475</v>
      </c>
      <c r="CL26">
        <f t="shared" si="62"/>
        <v>1.4336615816870146</v>
      </c>
      <c r="CM26">
        <f t="shared" si="63"/>
        <v>5.5348515202055326</v>
      </c>
      <c r="CN26">
        <f t="shared" si="64"/>
        <v>8.4021746835795614</v>
      </c>
      <c r="CO26">
        <f t="shared" si="65"/>
        <v>2.8673231633740293</v>
      </c>
      <c r="CP26">
        <f t="shared" si="66"/>
        <v>4.1011899385185178</v>
      </c>
      <c r="CQ26">
        <f t="shared" si="67"/>
        <v>9.8358362652665772</v>
      </c>
      <c r="CR26">
        <f t="shared" si="68"/>
        <v>4.3009847450610437</v>
      </c>
      <c r="CS26">
        <f t="shared" si="69"/>
        <v>2.6675283568315038</v>
      </c>
      <c r="CT26">
        <f t="shared" si="70"/>
        <v>11.269497846953591</v>
      </c>
    </row>
    <row r="27" spans="1:98" x14ac:dyDescent="0.25">
      <c r="A27" s="7">
        <v>16</v>
      </c>
      <c r="B27" s="9">
        <f t="shared" si="29"/>
        <v>7.428291516273748</v>
      </c>
      <c r="C27">
        <v>-0.24881740775780514</v>
      </c>
      <c r="D27">
        <v>-0.74303415021210362</v>
      </c>
      <c r="E27">
        <v>-0.23734244819483019</v>
      </c>
      <c r="F27">
        <v>0.51536606952116459</v>
      </c>
      <c r="G27">
        <v>0.43162327951902824</v>
      </c>
      <c r="H27">
        <v>0.20981475264748073</v>
      </c>
      <c r="I27">
        <v>-0.8554033021027253</v>
      </c>
      <c r="J27">
        <v>-1.9989623706778148E-2</v>
      </c>
      <c r="K27">
        <v>0.20993682668538471</v>
      </c>
      <c r="L27">
        <v>-0.65373699148533593</v>
      </c>
      <c r="M27">
        <v>-0.64384899441511279</v>
      </c>
      <c r="N27">
        <v>-0.62297433393353074</v>
      </c>
      <c r="O27">
        <v>-0.76006347849971001</v>
      </c>
      <c r="P27">
        <v>0.64348277230140072</v>
      </c>
      <c r="Q27">
        <v>0.15066988128299807</v>
      </c>
      <c r="R27">
        <v>-0.60710470900601221</v>
      </c>
      <c r="S27">
        <v>0.62358470412305067</v>
      </c>
      <c r="T27">
        <v>0.31229590746787927</v>
      </c>
      <c r="U27">
        <v>-0.6548356578264718</v>
      </c>
      <c r="V27">
        <v>0.2253791924802393</v>
      </c>
      <c r="W27">
        <v>-0.18088320566423532</v>
      </c>
      <c r="X27">
        <v>0.82244331186864827</v>
      </c>
      <c r="Y27">
        <v>-2.9602954191717545E-3</v>
      </c>
      <c r="Z27">
        <v>0.30552079836420787</v>
      </c>
      <c r="AA27">
        <v>-0.27420880764183475</v>
      </c>
      <c r="AC27" s="7">
        <v>16</v>
      </c>
      <c r="AD27">
        <f t="shared" si="4"/>
        <v>3.9899438747718623</v>
      </c>
      <c r="AE27">
        <f t="shared" si="5"/>
        <v>-2.8395178824318075</v>
      </c>
      <c r="AF27">
        <f t="shared" si="6"/>
        <v>4.1485135685293395</v>
      </c>
      <c r="AG27">
        <f t="shared" si="7"/>
        <v>14.550010714365534</v>
      </c>
      <c r="AH27">
        <f t="shared" si="8"/>
        <v>13.392789332263096</v>
      </c>
      <c r="AI27">
        <f t="shared" si="9"/>
        <v>10.327670890163784</v>
      </c>
      <c r="AJ27">
        <f t="shared" si="10"/>
        <v>-4.392320043110078</v>
      </c>
      <c r="AK27">
        <f t="shared" si="11"/>
        <v>7.1520597359249525</v>
      </c>
      <c r="AL27">
        <f t="shared" si="12"/>
        <v>10.329357801799501</v>
      </c>
      <c r="AM27">
        <f t="shared" si="13"/>
        <v>-1.6055420209042088</v>
      </c>
      <c r="AN27">
        <f t="shared" si="14"/>
        <v>-1.4689021784110645</v>
      </c>
      <c r="AO27">
        <f t="shared" si="15"/>
        <v>-1.1804402887033136</v>
      </c>
      <c r="AP27">
        <f t="shared" si="16"/>
        <v>-3.0748420556144458</v>
      </c>
      <c r="AQ27">
        <f t="shared" si="17"/>
        <v>16.320424476051404</v>
      </c>
      <c r="AR27">
        <f t="shared" si="18"/>
        <v>9.5103622026584897</v>
      </c>
      <c r="AS27">
        <f t="shared" si="19"/>
        <v>-0.9611417760599954</v>
      </c>
      <c r="AT27">
        <f t="shared" si="20"/>
        <v>16.045457879429399</v>
      </c>
      <c r="AU27">
        <f t="shared" si="21"/>
        <v>11.74383320834891</v>
      </c>
      <c r="AV27">
        <f t="shared" si="22"/>
        <v>-1.6207242256256693</v>
      </c>
      <c r="AW27">
        <f t="shared" si="23"/>
        <v>10.542752123717808</v>
      </c>
      <c r="AX27">
        <f t="shared" si="24"/>
        <v>4.9287102000488403</v>
      </c>
      <c r="AY27">
        <f t="shared" si="25"/>
        <v>18.793436934013755</v>
      </c>
      <c r="AZ27">
        <f t="shared" si="26"/>
        <v>7.3873839091075899</v>
      </c>
      <c r="BA27">
        <f t="shared" si="27"/>
        <v>11.650209612566568</v>
      </c>
      <c r="BB27">
        <f t="shared" si="28"/>
        <v>3.6390662545425529</v>
      </c>
      <c r="BC27" s="2">
        <f t="shared" si="30"/>
        <v>6.2923420898977112</v>
      </c>
      <c r="BD27">
        <f t="shared" si="31"/>
        <v>49.57142853507667</v>
      </c>
      <c r="BE27">
        <f t="shared" si="32"/>
        <v>7.0406980147622207</v>
      </c>
      <c r="BF27" s="12">
        <f t="shared" si="33"/>
        <v>7.4716322580093859</v>
      </c>
      <c r="BG27">
        <f t="shared" si="34"/>
        <v>-1.1792901681116748</v>
      </c>
      <c r="BH27">
        <f t="shared" si="35"/>
        <v>1.3907253006048621</v>
      </c>
      <c r="BJ27" s="7">
        <v>15</v>
      </c>
      <c r="BK27">
        <f t="shared" si="36"/>
        <v>7.5947800530496131E-3</v>
      </c>
      <c r="BL27">
        <f t="shared" si="37"/>
        <v>18.682332328863048</v>
      </c>
      <c r="BM27">
        <f t="shared" si="38"/>
        <v>163.81161399457471</v>
      </c>
      <c r="BN27">
        <f t="shared" si="39"/>
        <v>28.126327679814434</v>
      </c>
      <c r="BO27">
        <f t="shared" si="40"/>
        <v>2.1830337405446549</v>
      </c>
      <c r="BP27">
        <f t="shared" si="41"/>
        <v>70.869287264969316</v>
      </c>
      <c r="BQ27">
        <f t="shared" si="42"/>
        <v>54.099274312239622</v>
      </c>
      <c r="BR27">
        <f t="shared" si="43"/>
        <v>132.07705620582703</v>
      </c>
      <c r="BS27">
        <f t="shared" si="44"/>
        <v>90.461555028509494</v>
      </c>
      <c r="BT27">
        <f t="shared" si="45"/>
        <v>51.135988558778976</v>
      </c>
      <c r="BU27">
        <f t="shared" si="46"/>
        <v>28.221677908697906</v>
      </c>
      <c r="BV27">
        <f t="shared" si="47"/>
        <v>12.553140751004495</v>
      </c>
      <c r="BW27">
        <f t="shared" si="48"/>
        <v>17.039029678787124</v>
      </c>
      <c r="BX27">
        <f t="shared" si="49"/>
        <v>225.50249629131798</v>
      </c>
      <c r="BY27">
        <f t="shared" si="50"/>
        <v>8.4274584047948338</v>
      </c>
      <c r="BZ27">
        <f t="shared" si="51"/>
        <v>7.2694050462082833</v>
      </c>
      <c r="CA27">
        <f t="shared" si="52"/>
        <v>87.341749382456541</v>
      </c>
      <c r="CB27">
        <f t="shared" si="53"/>
        <v>26.336328710379622</v>
      </c>
      <c r="CC27">
        <f t="shared" si="54"/>
        <v>12.10765374034974</v>
      </c>
      <c r="CD27">
        <f t="shared" si="55"/>
        <v>4.0040503376871666</v>
      </c>
      <c r="CE27">
        <f t="shared" si="56"/>
        <v>23.322968337554006</v>
      </c>
      <c r="CF27">
        <f t="shared" si="57"/>
        <v>7.2501749332025414</v>
      </c>
      <c r="CG27">
        <f t="shared" si="58"/>
        <v>91.766917285039412</v>
      </c>
      <c r="CH27">
        <f t="shared" si="59"/>
        <v>5.4366949895986822</v>
      </c>
      <c r="CI27">
        <f t="shared" si="60"/>
        <v>51.792480080249149</v>
      </c>
      <c r="CJ27" s="7">
        <v>15</v>
      </c>
      <c r="CK27" s="13">
        <f t="shared" si="61"/>
        <v>7.2531197155144094</v>
      </c>
      <c r="CL27">
        <f t="shared" si="62"/>
        <v>1.4024271128513801</v>
      </c>
      <c r="CM27">
        <f t="shared" si="63"/>
        <v>5.8506926026630293</v>
      </c>
      <c r="CN27">
        <f t="shared" si="64"/>
        <v>8.6555468283657895</v>
      </c>
      <c r="CO27">
        <f t="shared" si="65"/>
        <v>2.8048542257027602</v>
      </c>
      <c r="CP27">
        <f t="shared" si="66"/>
        <v>4.4482654898116492</v>
      </c>
      <c r="CQ27">
        <f t="shared" si="67"/>
        <v>10.05797394121717</v>
      </c>
      <c r="CR27">
        <f t="shared" si="68"/>
        <v>4.2072813385541403</v>
      </c>
      <c r="CS27">
        <f t="shared" si="69"/>
        <v>3.045838376960269</v>
      </c>
      <c r="CT27">
        <f t="shared" si="70"/>
        <v>11.46040105406855</v>
      </c>
    </row>
    <row r="28" spans="1:98" x14ac:dyDescent="0.25">
      <c r="A28" s="7">
        <v>17</v>
      </c>
      <c r="B28" s="9">
        <f t="shared" si="29"/>
        <v>7.7198759163235078</v>
      </c>
      <c r="C28">
        <v>-0.10080263679921875</v>
      </c>
      <c r="D28">
        <v>0.66124454481643125</v>
      </c>
      <c r="E28">
        <v>-0.22641682180242317</v>
      </c>
      <c r="F28">
        <v>-0.4940031128879665</v>
      </c>
      <c r="G28">
        <v>0.30649739066743975</v>
      </c>
      <c r="H28">
        <v>-0.70641193884090703</v>
      </c>
      <c r="I28">
        <v>-0.97894222846156198</v>
      </c>
      <c r="J28">
        <v>0.20865504928739287</v>
      </c>
      <c r="K28">
        <v>-0.77355265968810083</v>
      </c>
      <c r="L28">
        <v>0.36008789330729085</v>
      </c>
      <c r="M28">
        <v>-0.38798181096835227</v>
      </c>
      <c r="N28">
        <v>-0.74419385357219148</v>
      </c>
      <c r="O28">
        <v>-0.94988860744041259</v>
      </c>
      <c r="P28">
        <v>-0.2840357676931059</v>
      </c>
      <c r="Q28">
        <v>-0.10434278389843443</v>
      </c>
      <c r="R28">
        <v>0.85515915402691722</v>
      </c>
      <c r="S28">
        <v>0.39024018066957611</v>
      </c>
      <c r="T28">
        <v>0.81713309121982491</v>
      </c>
      <c r="U28">
        <v>0.6225470748008668</v>
      </c>
      <c r="V28">
        <v>0.40012817773979914</v>
      </c>
      <c r="W28">
        <v>-0.87084566789757989</v>
      </c>
      <c r="X28">
        <v>0.82561723685415211</v>
      </c>
      <c r="Y28">
        <v>0.87762077700125118</v>
      </c>
      <c r="Z28">
        <v>-7.7913754692220838E-2</v>
      </c>
      <c r="AA28">
        <v>0.31516464735862293</v>
      </c>
      <c r="AC28" s="7">
        <v>17</v>
      </c>
      <c r="AD28">
        <f t="shared" si="4"/>
        <v>6.3269086331295021</v>
      </c>
      <c r="AE28">
        <f t="shared" si="5"/>
        <v>16.857454519098113</v>
      </c>
      <c r="AF28">
        <f t="shared" si="6"/>
        <v>4.5910765599758463</v>
      </c>
      <c r="AG28">
        <f t="shared" si="7"/>
        <v>0.89336625448234397</v>
      </c>
      <c r="AH28">
        <f t="shared" si="8"/>
        <v>11.95528930570207</v>
      </c>
      <c r="AI28">
        <f t="shared" si="9"/>
        <v>-2.041859991666696</v>
      </c>
      <c r="AJ28">
        <f t="shared" si="10"/>
        <v>-5.8078902184067722</v>
      </c>
      <c r="AK28">
        <f t="shared" si="11"/>
        <v>10.603229629674225</v>
      </c>
      <c r="AL28">
        <f t="shared" si="12"/>
        <v>-2.969661391311508</v>
      </c>
      <c r="AM28">
        <f t="shared" si="13"/>
        <v>12.695843513782203</v>
      </c>
      <c r="AN28">
        <f t="shared" si="14"/>
        <v>2.3584490101032873</v>
      </c>
      <c r="AO28">
        <f t="shared" si="15"/>
        <v>-2.563959142921366</v>
      </c>
      <c r="AP28">
        <f t="shared" si="16"/>
        <v>-5.4064052491059247</v>
      </c>
      <c r="AQ28">
        <f t="shared" si="17"/>
        <v>3.7948542679170258</v>
      </c>
      <c r="AR28">
        <f t="shared" si="18"/>
        <v>6.2779881956936849</v>
      </c>
      <c r="AS28">
        <f t="shared" si="19"/>
        <v>19.537113652435899</v>
      </c>
      <c r="AT28">
        <f t="shared" si="20"/>
        <v>13.112510687804509</v>
      </c>
      <c r="AU28">
        <f t="shared" si="21"/>
        <v>19.011640677909792</v>
      </c>
      <c r="AV28">
        <f t="shared" si="22"/>
        <v>16.322703530575559</v>
      </c>
      <c r="AW28">
        <f t="shared" si="23"/>
        <v>13.249150530297653</v>
      </c>
      <c r="AX28">
        <f t="shared" si="24"/>
        <v>-4.3141299649786244</v>
      </c>
      <c r="AY28">
        <f t="shared" si="25"/>
        <v>19.128881036592183</v>
      </c>
      <c r="AZ28">
        <f t="shared" si="26"/>
        <v>19.847505393407978</v>
      </c>
      <c r="BA28">
        <f t="shared" si="27"/>
        <v>6.6432045648265969</v>
      </c>
      <c r="BB28">
        <f t="shared" si="28"/>
        <v>12.075060031838037</v>
      </c>
      <c r="BC28" s="2">
        <f t="shared" si="30"/>
        <v>7.6871329614742239</v>
      </c>
      <c r="BD28">
        <f t="shared" si="31"/>
        <v>73.027444364978848</v>
      </c>
      <c r="BE28">
        <f t="shared" si="32"/>
        <v>8.545609654376852</v>
      </c>
      <c r="BF28" s="12">
        <f t="shared" si="33"/>
        <v>7.7597344763067957</v>
      </c>
      <c r="BG28">
        <f t="shared" si="34"/>
        <v>-7.2601514832571823E-2</v>
      </c>
      <c r="BH28">
        <f t="shared" si="35"/>
        <v>5.2709799559841463E-3</v>
      </c>
      <c r="BJ28" s="7">
        <v>16</v>
      </c>
      <c r="BK28">
        <f t="shared" si="36"/>
        <v>5.734222162382892</v>
      </c>
      <c r="BL28">
        <f t="shared" si="37"/>
        <v>117.24053293752847</v>
      </c>
      <c r="BM28">
        <f t="shared" si="38"/>
        <v>2.5150835938639937</v>
      </c>
      <c r="BN28">
        <f t="shared" si="39"/>
        <v>22.259270111280333</v>
      </c>
      <c r="BO28">
        <f t="shared" si="40"/>
        <v>25.033505819524297</v>
      </c>
      <c r="BP28">
        <f t="shared" si="41"/>
        <v>7.3489479170988501</v>
      </c>
      <c r="BQ28">
        <f t="shared" si="42"/>
        <v>113.01814041930079</v>
      </c>
      <c r="BR28">
        <f t="shared" si="43"/>
        <v>4.2782920390842076E-2</v>
      </c>
      <c r="BS28">
        <f t="shared" si="44"/>
        <v>21.450892297557647</v>
      </c>
      <c r="BT28">
        <f t="shared" si="45"/>
        <v>87.107900831131289</v>
      </c>
      <c r="BU28">
        <f t="shared" si="46"/>
        <v>115.37440557633907</v>
      </c>
      <c r="BV28">
        <f t="shared" si="47"/>
        <v>69.363194743808549</v>
      </c>
      <c r="BW28">
        <f t="shared" si="48"/>
        <v>71.634487135073769</v>
      </c>
      <c r="BX28">
        <f t="shared" si="49"/>
        <v>44.292569383300574</v>
      </c>
      <c r="BY28">
        <f t="shared" si="50"/>
        <v>10.603716911414796</v>
      </c>
      <c r="BZ28">
        <f t="shared" si="51"/>
        <v>114.55272671471265</v>
      </c>
      <c r="CA28">
        <f t="shared" si="52"/>
        <v>101.45008556727326</v>
      </c>
      <c r="CB28">
        <f t="shared" si="53"/>
        <v>23.109946234915554</v>
      </c>
      <c r="CC28">
        <f t="shared" si="54"/>
        <v>101.10906834155146</v>
      </c>
      <c r="CD28">
        <f t="shared" si="55"/>
        <v>13.718017009881381</v>
      </c>
      <c r="CE28">
        <f t="shared" si="56"/>
        <v>5.7706232337768375</v>
      </c>
      <c r="CF28">
        <f t="shared" si="57"/>
        <v>137.04128340540444</v>
      </c>
      <c r="CG28">
        <f t="shared" si="58"/>
        <v>6.7433721599833474</v>
      </c>
      <c r="CH28">
        <f t="shared" si="59"/>
        <v>13.977471204084557</v>
      </c>
      <c r="CI28">
        <f t="shared" si="60"/>
        <v>14.964477769051628</v>
      </c>
      <c r="CJ28" s="7">
        <v>16</v>
      </c>
      <c r="CK28" s="13">
        <f t="shared" si="61"/>
        <v>7.5377263291362713</v>
      </c>
      <c r="CL28">
        <f t="shared" si="62"/>
        <v>1.3724141461083663</v>
      </c>
      <c r="CM28">
        <f t="shared" si="63"/>
        <v>6.165312183027905</v>
      </c>
      <c r="CN28">
        <f t="shared" si="64"/>
        <v>8.9101404752446385</v>
      </c>
      <c r="CO28">
        <f t="shared" si="65"/>
        <v>2.7448282922167326</v>
      </c>
      <c r="CP28">
        <f t="shared" si="66"/>
        <v>4.7928980369195386</v>
      </c>
      <c r="CQ28">
        <f t="shared" si="67"/>
        <v>10.282554621353004</v>
      </c>
      <c r="CR28">
        <f t="shared" si="68"/>
        <v>4.117242438325099</v>
      </c>
      <c r="CS28">
        <f t="shared" si="69"/>
        <v>3.4204838908111723</v>
      </c>
      <c r="CT28">
        <f t="shared" si="70"/>
        <v>11.654968767461369</v>
      </c>
    </row>
    <row r="29" spans="1:98" x14ac:dyDescent="0.25">
      <c r="A29" s="7">
        <v>18</v>
      </c>
      <c r="B29" s="9">
        <f t="shared" si="29"/>
        <v>8.0114603163732667</v>
      </c>
      <c r="C29">
        <v>0.1725821710867641</v>
      </c>
      <c r="D29">
        <v>-0.3580126346629231</v>
      </c>
      <c r="E29">
        <v>0.65440839869380785</v>
      </c>
      <c r="F29">
        <v>0.71752067629017002</v>
      </c>
      <c r="G29">
        <v>0.1403546250801111</v>
      </c>
      <c r="H29">
        <v>-0.70390942106387522</v>
      </c>
      <c r="I29">
        <v>-0.22678304391613513</v>
      </c>
      <c r="J29">
        <v>0.85576952421643737</v>
      </c>
      <c r="K29">
        <v>2.6947843867305421E-2</v>
      </c>
      <c r="L29">
        <v>0.37687307351908927</v>
      </c>
      <c r="M29">
        <v>-0.62401196325571462</v>
      </c>
      <c r="N29">
        <v>0.31315042573320717</v>
      </c>
      <c r="O29">
        <v>0.45475630970183412</v>
      </c>
      <c r="P29">
        <v>-9.9215674306466828E-2</v>
      </c>
      <c r="Q29">
        <v>0.76152836695455783</v>
      </c>
      <c r="R29">
        <v>-0.85198522904141361</v>
      </c>
      <c r="S29">
        <v>0.38627277443769636</v>
      </c>
      <c r="T29">
        <v>0.56694235053559994</v>
      </c>
      <c r="U29">
        <v>7.1993163853877329E-2</v>
      </c>
      <c r="V29">
        <v>-0.78460036011841183</v>
      </c>
      <c r="W29">
        <v>0.41001617481002217</v>
      </c>
      <c r="X29">
        <v>-0.84972685934018988</v>
      </c>
      <c r="Y29">
        <v>0.36246833704641856</v>
      </c>
      <c r="Z29">
        <v>0.21109653004547257</v>
      </c>
      <c r="AA29">
        <v>-0.14267403180028693</v>
      </c>
      <c r="AC29" s="7">
        <v>18</v>
      </c>
      <c r="AD29">
        <f t="shared" si="4"/>
        <v>10.396331641369361</v>
      </c>
      <c r="AE29">
        <f t="shared" si="5"/>
        <v>3.0641702167217746</v>
      </c>
      <c r="AF29">
        <f t="shared" si="6"/>
        <v>17.054571867547672</v>
      </c>
      <c r="AG29">
        <f t="shared" si="7"/>
        <v>17.926705183213794</v>
      </c>
      <c r="AH29">
        <f t="shared" si="8"/>
        <v>9.9509869695398514</v>
      </c>
      <c r="AI29">
        <f t="shared" si="9"/>
        <v>-1.7156939030847216</v>
      </c>
      <c r="AJ29">
        <f t="shared" si="10"/>
        <v>4.8776002251184511</v>
      </c>
      <c r="AK29">
        <f t="shared" si="11"/>
        <v>19.837132610664248</v>
      </c>
      <c r="AL29">
        <f t="shared" si="12"/>
        <v>8.3838460599579783</v>
      </c>
      <c r="AM29">
        <f t="shared" si="13"/>
        <v>13.219378263743163</v>
      </c>
      <c r="AN29">
        <f t="shared" si="14"/>
        <v>-0.61161023750739574</v>
      </c>
      <c r="AO29">
        <f t="shared" si="15"/>
        <v>12.338810389898452</v>
      </c>
      <c r="AP29">
        <f t="shared" si="16"/>
        <v>14.295627887331145</v>
      </c>
      <c r="AQ29">
        <f t="shared" si="17"/>
        <v>6.640422884443594</v>
      </c>
      <c r="AR29">
        <f t="shared" si="18"/>
        <v>18.534836827890075</v>
      </c>
      <c r="AS29">
        <f t="shared" si="19"/>
        <v>-3.7619177172104603</v>
      </c>
      <c r="AT29">
        <f t="shared" si="20"/>
        <v>13.349270459693436</v>
      </c>
      <c r="AU29">
        <f t="shared" si="21"/>
        <v>15.845899680555842</v>
      </c>
      <c r="AV29">
        <f t="shared" si="22"/>
        <v>9.0063164535378615</v>
      </c>
      <c r="AW29">
        <f t="shared" si="23"/>
        <v>-2.8307424942942134</v>
      </c>
      <c r="AX29">
        <f t="shared" si="24"/>
        <v>13.677374772840556</v>
      </c>
      <c r="AY29">
        <f t="shared" si="25"/>
        <v>-3.7307098519496797</v>
      </c>
      <c r="AZ29">
        <f t="shared" si="26"/>
        <v>13.020322690728459</v>
      </c>
      <c r="BA29">
        <f t="shared" si="27"/>
        <v>10.928552262438339</v>
      </c>
      <c r="BB29">
        <f t="shared" si="28"/>
        <v>6.0398823421280419</v>
      </c>
      <c r="BC29" s="2">
        <f t="shared" si="30"/>
        <v>9.029494619412624</v>
      </c>
      <c r="BD29">
        <f t="shared" si="31"/>
        <v>52.472467299712747</v>
      </c>
      <c r="BE29">
        <f t="shared" si="32"/>
        <v>7.243788187109887</v>
      </c>
      <c r="BF29" s="12">
        <f t="shared" si="33"/>
        <v>8.0478366946042037</v>
      </c>
      <c r="BG29">
        <f t="shared" si="34"/>
        <v>0.98165792480842029</v>
      </c>
      <c r="BH29">
        <f t="shared" si="35"/>
        <v>0.96365228133917413</v>
      </c>
      <c r="BJ29" s="7">
        <v>17</v>
      </c>
      <c r="BK29">
        <f t="shared" si="36"/>
        <v>0.14886976712924554</v>
      </c>
      <c r="BL29">
        <f t="shared" si="37"/>
        <v>73.302293550124119</v>
      </c>
      <c r="BM29">
        <f t="shared" si="38"/>
        <v>2.0652763644719094</v>
      </c>
      <c r="BN29">
        <f t="shared" si="39"/>
        <v>82.15236922384797</v>
      </c>
      <c r="BO29">
        <f t="shared" si="40"/>
        <v>11.067293058391868</v>
      </c>
      <c r="BP29">
        <f t="shared" si="41"/>
        <v>98.400181745333882</v>
      </c>
      <c r="BQ29">
        <f t="shared" si="42"/>
        <v>151.71921168060797</v>
      </c>
      <c r="BR29">
        <f t="shared" si="43"/>
        <v>8.8753310114764155</v>
      </c>
      <c r="BS29">
        <f t="shared" si="44"/>
        <v>81.425787023825194</v>
      </c>
      <c r="BT29">
        <f t="shared" si="45"/>
        <v>22.368922631640388</v>
      </c>
      <c r="BU29">
        <f t="shared" si="46"/>
        <v>51.984916832709928</v>
      </c>
      <c r="BV29">
        <f t="shared" si="47"/>
        <v>100.25407425170623</v>
      </c>
      <c r="BW29">
        <f t="shared" si="48"/>
        <v>123.92328811703418</v>
      </c>
      <c r="BX29">
        <f t="shared" si="49"/>
        <v>37.976144151157158</v>
      </c>
      <c r="BY29">
        <f t="shared" si="50"/>
        <v>7.6904147737324569E-2</v>
      </c>
      <c r="BZ29">
        <f t="shared" si="51"/>
        <v>92.466395271125677</v>
      </c>
      <c r="CA29">
        <f t="shared" si="52"/>
        <v>47.375980129441096</v>
      </c>
      <c r="CB29">
        <f t="shared" si="53"/>
        <v>137.57912735230303</v>
      </c>
      <c r="CC29">
        <f t="shared" si="54"/>
        <v>57.554238409885834</v>
      </c>
      <c r="CD29">
        <f t="shared" si="55"/>
        <v>37.350576858419416</v>
      </c>
      <c r="CE29">
        <f t="shared" si="56"/>
        <v>143.5797170520074</v>
      </c>
      <c r="CF29">
        <f t="shared" si="57"/>
        <v>137.3140504935692</v>
      </c>
      <c r="CG29">
        <f t="shared" si="58"/>
        <v>92.115971924559915</v>
      </c>
      <c r="CH29">
        <f t="shared" si="59"/>
        <v>2.5104430399026394</v>
      </c>
      <c r="CI29">
        <f t="shared" si="60"/>
        <v>18.401636254014953</v>
      </c>
      <c r="CJ29" s="7">
        <v>17</v>
      </c>
      <c r="CK29" s="13">
        <f t="shared" si="61"/>
        <v>7.8223329427581332</v>
      </c>
      <c r="CL29">
        <f t="shared" si="62"/>
        <v>1.3437045343148952</v>
      </c>
      <c r="CM29">
        <f t="shared" si="63"/>
        <v>6.478628408443238</v>
      </c>
      <c r="CN29">
        <f t="shared" si="64"/>
        <v>9.1660374770730293</v>
      </c>
      <c r="CO29">
        <f t="shared" si="65"/>
        <v>2.6874090686297905</v>
      </c>
      <c r="CP29">
        <f t="shared" si="66"/>
        <v>5.1349238741283427</v>
      </c>
      <c r="CQ29">
        <f t="shared" si="67"/>
        <v>10.509742011387925</v>
      </c>
      <c r="CR29">
        <f t="shared" si="68"/>
        <v>4.0311136029446857</v>
      </c>
      <c r="CS29">
        <f t="shared" si="69"/>
        <v>3.7912193398134475</v>
      </c>
      <c r="CT29">
        <f t="shared" si="70"/>
        <v>11.85344654570282</v>
      </c>
    </row>
    <row r="30" spans="1:98" x14ac:dyDescent="0.25">
      <c r="A30" s="7">
        <v>19</v>
      </c>
      <c r="B30" s="9">
        <f t="shared" si="29"/>
        <v>8.3030447164230274</v>
      </c>
      <c r="C30">
        <v>-0.6003906369212928</v>
      </c>
      <c r="D30">
        <v>0.15689565721610155</v>
      </c>
      <c r="E30">
        <v>0.25113681447798086</v>
      </c>
      <c r="F30">
        <v>0.31479842524491097</v>
      </c>
      <c r="G30">
        <v>-0.24839014862514119</v>
      </c>
      <c r="H30">
        <v>-0.44352549821466725</v>
      </c>
      <c r="I30">
        <v>-0.20139164403210552</v>
      </c>
      <c r="J30">
        <v>-0.90697958311716054</v>
      </c>
      <c r="K30">
        <v>-0.82616657002472005</v>
      </c>
      <c r="L30">
        <v>-3.9582506790368344E-2</v>
      </c>
      <c r="M30">
        <v>0.75127414777062285</v>
      </c>
      <c r="N30">
        <v>-0.78472243415631582</v>
      </c>
      <c r="O30">
        <v>-0.55088961455122532</v>
      </c>
      <c r="P30">
        <v>0.46226386303292943</v>
      </c>
      <c r="Q30">
        <v>-0.49943540757469407</v>
      </c>
      <c r="R30">
        <v>-0.51213110751670887</v>
      </c>
      <c r="S30">
        <v>-0.78588213751640368</v>
      </c>
      <c r="T30">
        <v>0.98547318948942531</v>
      </c>
      <c r="U30">
        <v>-0.22257148960844753</v>
      </c>
      <c r="V30">
        <v>-0.78453932309945984</v>
      </c>
      <c r="W30">
        <v>6.3692129276406106E-2</v>
      </c>
      <c r="X30">
        <v>-0.78118228705710013</v>
      </c>
      <c r="Y30">
        <v>9.445478682821129E-2</v>
      </c>
      <c r="Z30">
        <v>-0.87701040681173126</v>
      </c>
      <c r="AA30">
        <v>3.4760582293160702E-2</v>
      </c>
      <c r="AC30" s="7">
        <v>19</v>
      </c>
      <c r="AD30">
        <f t="shared" si="4"/>
        <v>6.3915640537661744E-3</v>
      </c>
      <c r="AE30">
        <f t="shared" si="5"/>
        <v>10.471147896229379</v>
      </c>
      <c r="AF30">
        <f t="shared" si="6"/>
        <v>11.773443679003551</v>
      </c>
      <c r="AG30">
        <f t="shared" si="7"/>
        <v>12.653168097030402</v>
      </c>
      <c r="AH30">
        <f t="shared" si="8"/>
        <v>4.8706012656461546</v>
      </c>
      <c r="AI30">
        <f t="shared" si="9"/>
        <v>2.1740730159511887</v>
      </c>
      <c r="AJ30">
        <f t="shared" si="10"/>
        <v>5.5200622453975221</v>
      </c>
      <c r="AK30">
        <f t="shared" si="11"/>
        <v>-4.2302870090515849</v>
      </c>
      <c r="AL30">
        <f t="shared" si="12"/>
        <v>-3.1135515062063774</v>
      </c>
      <c r="AM30">
        <f t="shared" si="13"/>
        <v>7.7560636185415186</v>
      </c>
      <c r="AN30">
        <f t="shared" si="14"/>
        <v>18.684720650539539</v>
      </c>
      <c r="AO30">
        <f t="shared" si="15"/>
        <v>-2.5408450058801701</v>
      </c>
      <c r="AP30">
        <f t="shared" si="16"/>
        <v>0.69043423233735002</v>
      </c>
      <c r="AQ30">
        <f t="shared" si="17"/>
        <v>14.690957352977552</v>
      </c>
      <c r="AR30">
        <f t="shared" si="18"/>
        <v>1.4014674867924191</v>
      </c>
      <c r="AS30">
        <f t="shared" si="19"/>
        <v>1.2260286766777639</v>
      </c>
      <c r="AT30">
        <f t="shared" si="20"/>
        <v>-2.5568706664194885</v>
      </c>
      <c r="AU30">
        <f t="shared" si="21"/>
        <v>21.921060623664211</v>
      </c>
      <c r="AV30">
        <f t="shared" si="22"/>
        <v>5.2273830766004776</v>
      </c>
      <c r="AW30">
        <f t="shared" si="23"/>
        <v>-2.5383146384265931</v>
      </c>
      <c r="AX30">
        <f t="shared" si="24"/>
        <v>9.1831908623588099</v>
      </c>
      <c r="AY30">
        <f t="shared" si="25"/>
        <v>-2.4919245684443521</v>
      </c>
      <c r="AZ30">
        <f t="shared" si="26"/>
        <v>9.6082925945597051</v>
      </c>
      <c r="BA30">
        <f t="shared" si="27"/>
        <v>-3.8161502024828557</v>
      </c>
      <c r="BB30">
        <f t="shared" si="28"/>
        <v>8.7833928046936798</v>
      </c>
      <c r="BC30" s="2">
        <f t="shared" si="30"/>
        <v>5.0141574458457416</v>
      </c>
      <c r="BD30">
        <f t="shared" si="31"/>
        <v>54.051525965889738</v>
      </c>
      <c r="BE30">
        <f t="shared" si="32"/>
        <v>7.3519742903447192</v>
      </c>
      <c r="BF30" s="12">
        <f t="shared" si="33"/>
        <v>8.3359389129016144</v>
      </c>
      <c r="BG30">
        <f t="shared" si="34"/>
        <v>-3.3217814670558727</v>
      </c>
      <c r="BH30">
        <f t="shared" si="35"/>
        <v>11.034232114875866</v>
      </c>
      <c r="BJ30" s="7">
        <v>18</v>
      </c>
      <c r="BK30">
        <f t="shared" si="36"/>
        <v>11.258769171253213</v>
      </c>
      <c r="BL30">
        <f t="shared" si="37"/>
        <v>30.682052276250982</v>
      </c>
      <c r="BM30">
        <f t="shared" si="38"/>
        <v>115.18913075870385</v>
      </c>
      <c r="BN30">
        <f t="shared" si="39"/>
        <v>61.534948076063202</v>
      </c>
      <c r="BO30">
        <f t="shared" si="40"/>
        <v>1.1736612961700676</v>
      </c>
      <c r="BP30">
        <f t="shared" si="41"/>
        <v>97.112559376540702</v>
      </c>
      <c r="BQ30">
        <f t="shared" si="42"/>
        <v>3.6206892952489778</v>
      </c>
      <c r="BR30">
        <f t="shared" si="43"/>
        <v>142.75164932874009</v>
      </c>
      <c r="BS30">
        <f t="shared" si="44"/>
        <v>3.8957608433364435</v>
      </c>
      <c r="BT30">
        <f t="shared" si="45"/>
        <v>25.144905861778181</v>
      </c>
      <c r="BU30">
        <f t="shared" si="46"/>
        <v>109.75235606142891</v>
      </c>
      <c r="BV30">
        <f t="shared" si="47"/>
        <v>21.06217017735997</v>
      </c>
      <c r="BW30">
        <f t="shared" si="48"/>
        <v>67.784673174518659</v>
      </c>
      <c r="BX30">
        <f t="shared" si="49"/>
        <v>13.025494056849176</v>
      </c>
      <c r="BY30">
        <f t="shared" si="50"/>
        <v>136.38165871622613</v>
      </c>
      <c r="BZ30">
        <f t="shared" si="51"/>
        <v>192.16797340687057</v>
      </c>
      <c r="CA30">
        <f t="shared" si="52"/>
        <v>47.107713745269066</v>
      </c>
      <c r="CB30">
        <f t="shared" si="53"/>
        <v>67.535471738359689</v>
      </c>
      <c r="CC30">
        <f t="shared" si="54"/>
        <v>9.9934204199050099E-4</v>
      </c>
      <c r="CD30">
        <f t="shared" si="55"/>
        <v>105.41235506260917</v>
      </c>
      <c r="CE30">
        <f t="shared" si="56"/>
        <v>32.167117212706714</v>
      </c>
      <c r="CF30">
        <f t="shared" si="57"/>
        <v>131.45270743119423</v>
      </c>
      <c r="CG30">
        <f t="shared" si="58"/>
        <v>6.274570986778178</v>
      </c>
      <c r="CH30">
        <f t="shared" si="59"/>
        <v>5.6874216275743121</v>
      </c>
      <c r="CI30">
        <f t="shared" si="60"/>
        <v>4.0939495052135966</v>
      </c>
      <c r="CJ30" s="7">
        <v>18</v>
      </c>
      <c r="CK30" s="13">
        <f t="shared" si="61"/>
        <v>8.1069395563799951</v>
      </c>
      <c r="CL30">
        <f t="shared" si="62"/>
        <v>1.3163835566280886</v>
      </c>
      <c r="CM30">
        <f t="shared" si="63"/>
        <v>6.7905559997519065</v>
      </c>
      <c r="CN30">
        <f t="shared" si="64"/>
        <v>9.4233231130080846</v>
      </c>
      <c r="CO30">
        <f t="shared" si="65"/>
        <v>2.6327671132561772</v>
      </c>
      <c r="CP30">
        <f t="shared" si="66"/>
        <v>5.4741724431238179</v>
      </c>
      <c r="CQ30">
        <f t="shared" si="67"/>
        <v>10.739706669636172</v>
      </c>
      <c r="CR30">
        <f t="shared" si="68"/>
        <v>3.9491506698842658</v>
      </c>
      <c r="CS30">
        <f t="shared" si="69"/>
        <v>4.1577888864957293</v>
      </c>
      <c r="CT30">
        <f t="shared" si="70"/>
        <v>12.05609022626426</v>
      </c>
    </row>
    <row r="31" spans="1:98" x14ac:dyDescent="0.25">
      <c r="A31" s="7">
        <v>20</v>
      </c>
      <c r="B31" s="9">
        <f t="shared" si="29"/>
        <v>8.5946291164727882</v>
      </c>
      <c r="C31">
        <v>-0.5842158268990143</v>
      </c>
      <c r="D31">
        <v>-0.40128788109988711</v>
      </c>
      <c r="E31">
        <v>-0.95251319925534839</v>
      </c>
      <c r="F31">
        <v>0.7814264351329081</v>
      </c>
      <c r="G31">
        <v>0.11905270546586499</v>
      </c>
      <c r="H31">
        <v>-0.85271767326883752</v>
      </c>
      <c r="I31">
        <v>-3.8300729392376498E-2</v>
      </c>
      <c r="J31">
        <v>-0.24625385296182134</v>
      </c>
      <c r="K31">
        <v>0.87395855586413163</v>
      </c>
      <c r="L31">
        <v>-0.58220160527359843</v>
      </c>
      <c r="M31">
        <v>0.89214758751182588</v>
      </c>
      <c r="N31">
        <v>-0.30680257576219983</v>
      </c>
      <c r="O31">
        <v>0.99212622455519273</v>
      </c>
      <c r="P31">
        <v>0.86687826166570026</v>
      </c>
      <c r="Q31">
        <v>0.29459517197180096</v>
      </c>
      <c r="R31">
        <v>0.75695059053315839</v>
      </c>
      <c r="S31">
        <v>0.42893765068514056</v>
      </c>
      <c r="T31">
        <v>-0.65202795495468002</v>
      </c>
      <c r="U31">
        <v>0.44877468184453861</v>
      </c>
      <c r="V31">
        <v>-0.41654713583788572</v>
      </c>
      <c r="W31">
        <v>-0.16360972930082096</v>
      </c>
      <c r="X31">
        <v>0.20334482863856929</v>
      </c>
      <c r="Y31">
        <v>0.43510238959929204</v>
      </c>
      <c r="Z31">
        <v>0.61210974456007561</v>
      </c>
      <c r="AA31">
        <v>-0.14578691976683855</v>
      </c>
      <c r="AC31" s="7">
        <v>20</v>
      </c>
      <c r="AD31">
        <f t="shared" si="4"/>
        <v>0.5214917558361396</v>
      </c>
      <c r="AE31">
        <f t="shared" si="5"/>
        <v>3.0493288419593219</v>
      </c>
      <c r="AF31">
        <f t="shared" si="6"/>
        <v>-4.567920649124579</v>
      </c>
      <c r="AG31">
        <f t="shared" si="7"/>
        <v>19.392972224611604</v>
      </c>
      <c r="AH31">
        <f t="shared" si="8"/>
        <v>10.23978968920661</v>
      </c>
      <c r="AI31">
        <f t="shared" si="9"/>
        <v>-3.1888703869252453</v>
      </c>
      <c r="AJ31">
        <f t="shared" si="10"/>
        <v>8.065360590766316</v>
      </c>
      <c r="AK31">
        <f t="shared" si="11"/>
        <v>5.1917066193209784</v>
      </c>
      <c r="AL31">
        <f t="shared" si="12"/>
        <v>20.671651244485727</v>
      </c>
      <c r="AM31">
        <f t="shared" si="13"/>
        <v>0.5493257978254853</v>
      </c>
      <c r="AN31">
        <f t="shared" si="14"/>
        <v>20.923001078207683</v>
      </c>
      <c r="AO31">
        <f t="shared" si="15"/>
        <v>4.3549984480049293</v>
      </c>
      <c r="AP31">
        <f t="shared" si="16"/>
        <v>22.304581707860592</v>
      </c>
      <c r="AQ31">
        <f t="shared" si="17"/>
        <v>20.57381036961409</v>
      </c>
      <c r="AR31">
        <f t="shared" si="18"/>
        <v>12.665568621368863</v>
      </c>
      <c r="AS31">
        <f t="shared" si="19"/>
        <v>19.054746441650178</v>
      </c>
      <c r="AT31">
        <f t="shared" si="20"/>
        <v>14.522014876476344</v>
      </c>
      <c r="AU31">
        <f t="shared" si="21"/>
        <v>-0.41558765780511919</v>
      </c>
      <c r="AV31">
        <f t="shared" si="22"/>
        <v>14.796138017280491</v>
      </c>
      <c r="AW31">
        <f t="shared" si="23"/>
        <v>2.8384648874945917</v>
      </c>
      <c r="AX31">
        <f t="shared" si="24"/>
        <v>6.3337457967019546</v>
      </c>
      <c r="AY31">
        <f t="shared" si="25"/>
        <v>11.404602173669778</v>
      </c>
      <c r="AZ31">
        <f t="shared" si="26"/>
        <v>14.607203914080095</v>
      </c>
      <c r="BA31">
        <f t="shared" si="27"/>
        <v>17.053225785870961</v>
      </c>
      <c r="BB31">
        <f t="shared" si="28"/>
        <v>6.5800348955167598</v>
      </c>
      <c r="BC31" s="2">
        <f t="shared" si="30"/>
        <v>9.9008554033581806</v>
      </c>
      <c r="BD31">
        <f t="shared" si="31"/>
        <v>68.633935270522969</v>
      </c>
      <c r="BE31">
        <f t="shared" si="32"/>
        <v>8.2845600529251389</v>
      </c>
      <c r="BF31" s="12">
        <f t="shared" si="33"/>
        <v>8.6240411311990233</v>
      </c>
      <c r="BG31">
        <f t="shared" si="34"/>
        <v>1.2768142721591573</v>
      </c>
      <c r="BH31">
        <f t="shared" si="35"/>
        <v>1.6302546855893187</v>
      </c>
      <c r="BJ31" s="7">
        <v>19</v>
      </c>
      <c r="BK31">
        <f t="shared" si="36"/>
        <v>54.209480127476326</v>
      </c>
      <c r="BL31">
        <f t="shared" si="37"/>
        <v>2.4345662684830152</v>
      </c>
      <c r="BM31">
        <f t="shared" si="38"/>
        <v>26.602109895477163</v>
      </c>
      <c r="BN31">
        <f t="shared" si="39"/>
        <v>5.9817484631383868</v>
      </c>
      <c r="BO31">
        <f t="shared" si="40"/>
        <v>17.944750859420743</v>
      </c>
      <c r="BP31">
        <f t="shared" si="41"/>
        <v>38.761252522709555</v>
      </c>
      <c r="BQ31">
        <f t="shared" si="42"/>
        <v>2.3446191851330456</v>
      </c>
      <c r="BR31">
        <f t="shared" si="43"/>
        <v>153.38147879266859</v>
      </c>
      <c r="BS31">
        <f t="shared" si="44"/>
        <v>97.609357707143985</v>
      </c>
      <c r="BT31">
        <f t="shared" si="45"/>
        <v>0.47264200186001382</v>
      </c>
      <c r="BU31">
        <f t="shared" si="46"/>
        <v>72.656786744151219</v>
      </c>
      <c r="BV31">
        <f t="shared" si="47"/>
        <v>112.16973146255681</v>
      </c>
      <c r="BW31">
        <f t="shared" si="48"/>
        <v>32.591008043061727</v>
      </c>
      <c r="BX31">
        <f t="shared" si="49"/>
        <v>17.216480697436467</v>
      </c>
      <c r="BY31">
        <f t="shared" si="50"/>
        <v>33.136030280978908</v>
      </c>
      <c r="BZ31">
        <f t="shared" si="51"/>
        <v>81.973101394556323</v>
      </c>
      <c r="CA31">
        <f t="shared" si="52"/>
        <v>86.469730399885023</v>
      </c>
      <c r="CB31">
        <f t="shared" si="53"/>
        <v>194.53227269392104</v>
      </c>
      <c r="CC31">
        <f t="shared" si="54"/>
        <v>16.910369934620409</v>
      </c>
      <c r="CD31">
        <f t="shared" si="55"/>
        <v>105.54058571911594</v>
      </c>
      <c r="CE31">
        <f t="shared" si="56"/>
        <v>0.70559869493620742</v>
      </c>
      <c r="CF31">
        <f t="shared" si="57"/>
        <v>111.3087675252127</v>
      </c>
      <c r="CG31">
        <f t="shared" si="58"/>
        <v>1.3753079353957081</v>
      </c>
      <c r="CH31">
        <f t="shared" si="59"/>
        <v>160.67968940003786</v>
      </c>
      <c r="CI31">
        <f t="shared" si="60"/>
        <v>0.19560557912493937</v>
      </c>
      <c r="CJ31" s="7">
        <v>19</v>
      </c>
      <c r="CK31" s="13">
        <f t="shared" si="61"/>
        <v>8.3915461700018561</v>
      </c>
      <c r="CL31">
        <f t="shared" si="62"/>
        <v>1.2905394090478512</v>
      </c>
      <c r="CM31">
        <f t="shared" si="63"/>
        <v>7.1010067609540046</v>
      </c>
      <c r="CN31">
        <f t="shared" si="64"/>
        <v>9.6820855790497067</v>
      </c>
      <c r="CO31">
        <f t="shared" si="65"/>
        <v>2.5810788180957025</v>
      </c>
      <c r="CP31">
        <f t="shared" si="66"/>
        <v>5.8104673519061532</v>
      </c>
      <c r="CQ31">
        <f t="shared" si="67"/>
        <v>10.972624988097559</v>
      </c>
      <c r="CR31">
        <f t="shared" si="68"/>
        <v>3.8716182271435535</v>
      </c>
      <c r="CS31">
        <f t="shared" si="69"/>
        <v>4.5199279428583026</v>
      </c>
      <c r="CT31">
        <f t="shared" si="70"/>
        <v>12.26316439714541</v>
      </c>
    </row>
    <row r="32" spans="1:98" x14ac:dyDescent="0.25">
      <c r="A32" s="7">
        <v>21</v>
      </c>
      <c r="B32" s="9">
        <f t="shared" si="29"/>
        <v>8.8862135165225489</v>
      </c>
      <c r="C32">
        <v>0.63939329203161721</v>
      </c>
      <c r="D32">
        <v>0.2560197759941405</v>
      </c>
      <c r="E32">
        <v>-3.0854213080233173E-2</v>
      </c>
      <c r="F32">
        <v>0.70220038453321942</v>
      </c>
      <c r="G32">
        <v>-0.79900509659108243</v>
      </c>
      <c r="H32">
        <v>-0.33548997466963715</v>
      </c>
      <c r="I32">
        <v>-0.76720480971709337</v>
      </c>
      <c r="J32">
        <v>0.13522751548814349</v>
      </c>
      <c r="K32">
        <v>0.15567491683706169</v>
      </c>
      <c r="L32">
        <v>0.26187932981353201</v>
      </c>
      <c r="M32">
        <v>-0.61082796716208376</v>
      </c>
      <c r="N32">
        <v>0.82470168156987222</v>
      </c>
      <c r="O32">
        <v>-0.40031128879665512</v>
      </c>
      <c r="P32">
        <v>0.42759483626819672</v>
      </c>
      <c r="Q32">
        <v>0.29282509842219295</v>
      </c>
      <c r="R32">
        <v>-0.77245399334696496</v>
      </c>
      <c r="S32">
        <v>-0.89941099276711323</v>
      </c>
      <c r="T32">
        <v>-0.35593737601855524</v>
      </c>
      <c r="U32">
        <v>-5.6917020172734811E-2</v>
      </c>
      <c r="V32">
        <v>-0.99328592791528059</v>
      </c>
      <c r="W32">
        <v>-0.3137607959227271</v>
      </c>
      <c r="X32">
        <v>-0.22226630451368756</v>
      </c>
      <c r="Y32">
        <v>0.88988921781060215</v>
      </c>
      <c r="Z32">
        <v>-0.93554490798669399</v>
      </c>
      <c r="AA32">
        <v>-5.3407391582994679E-3</v>
      </c>
      <c r="AC32" s="7">
        <v>21</v>
      </c>
      <c r="AD32">
        <f t="shared" si="4"/>
        <v>17.721834936503662</v>
      </c>
      <c r="AE32">
        <f t="shared" si="5"/>
        <v>12.424088944531787</v>
      </c>
      <c r="AF32">
        <f t="shared" si="6"/>
        <v>8.4598466005948652</v>
      </c>
      <c r="AG32">
        <f t="shared" si="7"/>
        <v>18.589750973080488</v>
      </c>
      <c r="AH32">
        <f t="shared" si="8"/>
        <v>-2.1550448671596349</v>
      </c>
      <c r="AI32">
        <f t="shared" si="9"/>
        <v>4.2501586136609983</v>
      </c>
      <c r="AJ32">
        <f t="shared" si="10"/>
        <v>-1.7156043860551389</v>
      </c>
      <c r="AK32">
        <f t="shared" si="11"/>
        <v>10.754889880988983</v>
      </c>
      <c r="AL32">
        <f t="shared" si="12"/>
        <v>11.037447579971722</v>
      </c>
      <c r="AM32">
        <f t="shared" si="13"/>
        <v>12.505060703046244</v>
      </c>
      <c r="AN32">
        <f t="shared" si="14"/>
        <v>0.44532941929941394</v>
      </c>
      <c r="AO32">
        <f t="shared" si="15"/>
        <v>20.282566799523337</v>
      </c>
      <c r="AP32">
        <f t="shared" si="16"/>
        <v>3.3544085350948265</v>
      </c>
      <c r="AQ32">
        <f t="shared" si="17"/>
        <v>14.79504324853321</v>
      </c>
      <c r="AR32">
        <f t="shared" si="18"/>
        <v>12.932692802700714</v>
      </c>
      <c r="AS32">
        <f t="shared" si="19"/>
        <v>-1.7881415863910064</v>
      </c>
      <c r="AT32">
        <f t="shared" si="20"/>
        <v>-3.5425296875375576</v>
      </c>
      <c r="AU32">
        <f t="shared" si="21"/>
        <v>3.9676009146782603</v>
      </c>
      <c r="AV32">
        <f t="shared" si="22"/>
        <v>8.0996909663691063</v>
      </c>
      <c r="AW32">
        <f t="shared" si="23"/>
        <v>-4.8397647354045752</v>
      </c>
      <c r="AX32">
        <f t="shared" si="24"/>
        <v>4.5504288848187739</v>
      </c>
      <c r="AY32">
        <f t="shared" si="25"/>
        <v>5.8147691557892935</v>
      </c>
      <c r="AZ32">
        <f t="shared" si="26"/>
        <v>21.183377612996665</v>
      </c>
      <c r="BA32">
        <f t="shared" si="27"/>
        <v>-4.0418555317100395</v>
      </c>
      <c r="BB32">
        <f t="shared" si="28"/>
        <v>8.8124111324598946</v>
      </c>
      <c r="BC32" s="2">
        <f t="shared" si="30"/>
        <v>7.2759382764153706</v>
      </c>
      <c r="BD32">
        <f t="shared" si="31"/>
        <v>62.848109569139069</v>
      </c>
      <c r="BE32">
        <f t="shared" si="32"/>
        <v>7.9276799613215383</v>
      </c>
      <c r="BF32" s="12">
        <f t="shared" si="33"/>
        <v>8.9121433494964322</v>
      </c>
      <c r="BG32">
        <f t="shared" si="34"/>
        <v>-1.6362050730810616</v>
      </c>
      <c r="BH32">
        <f t="shared" si="35"/>
        <v>2.6771670411762019</v>
      </c>
      <c r="BJ32" s="7">
        <v>20</v>
      </c>
      <c r="BK32">
        <f t="shared" si="36"/>
        <v>51.491907186854348</v>
      </c>
      <c r="BL32">
        <f t="shared" si="37"/>
        <v>38.057044247952874</v>
      </c>
      <c r="BM32">
        <f t="shared" si="38"/>
        <v>131.73092720317416</v>
      </c>
      <c r="BN32">
        <f t="shared" si="39"/>
        <v>82.091616544373608</v>
      </c>
      <c r="BO32">
        <f t="shared" si="40"/>
        <v>0.79917988132791495</v>
      </c>
      <c r="BP32">
        <f t="shared" si="41"/>
        <v>140.41887287712706</v>
      </c>
      <c r="BQ32">
        <f t="shared" si="42"/>
        <v>0.55237201905343625</v>
      </c>
      <c r="BR32">
        <f t="shared" si="43"/>
        <v>10.419430117628247</v>
      </c>
      <c r="BS32">
        <f t="shared" si="44"/>
        <v>183.58468199766938</v>
      </c>
      <c r="BT32">
        <f t="shared" si="45"/>
        <v>66.143608593238312</v>
      </c>
      <c r="BU32">
        <f t="shared" si="46"/>
        <v>109.53748041011254</v>
      </c>
      <c r="BV32">
        <f t="shared" si="47"/>
        <v>15.967198326861782</v>
      </c>
      <c r="BW32">
        <f t="shared" si="48"/>
        <v>242.37786158411589</v>
      </c>
      <c r="BX32">
        <f t="shared" si="49"/>
        <v>94.866682892472198</v>
      </c>
      <c r="BY32">
        <f t="shared" si="50"/>
        <v>27.106953901461051</v>
      </c>
      <c r="BZ32">
        <f t="shared" si="51"/>
        <v>73.881556924757277</v>
      </c>
      <c r="CA32">
        <f t="shared" si="52"/>
        <v>56.60606750970571</v>
      </c>
      <c r="CB32">
        <f t="shared" si="53"/>
        <v>76.297442309861907</v>
      </c>
      <c r="CC32">
        <f t="shared" si="54"/>
        <v>26.572547092534649</v>
      </c>
      <c r="CD32">
        <f t="shared" si="55"/>
        <v>26.989957378683176</v>
      </c>
      <c r="CE32">
        <f t="shared" si="56"/>
        <v>5.5077938096125365</v>
      </c>
      <c r="CF32">
        <f t="shared" si="57"/>
        <v>9.1350836520141527</v>
      </c>
      <c r="CG32">
        <f t="shared" si="58"/>
        <v>12.677598660517475</v>
      </c>
      <c r="CH32">
        <f t="shared" si="59"/>
        <v>62.05261750319854</v>
      </c>
      <c r="CI32">
        <f t="shared" si="60"/>
        <v>4.1574024255446416</v>
      </c>
      <c r="CJ32" s="7">
        <v>20</v>
      </c>
      <c r="CK32" s="13">
        <f t="shared" si="61"/>
        <v>8.6761527836237171</v>
      </c>
      <c r="CL32">
        <f t="shared" si="62"/>
        <v>1.2662625201642401</v>
      </c>
      <c r="CM32">
        <f t="shared" si="63"/>
        <v>7.4098902634594772</v>
      </c>
      <c r="CN32">
        <f t="shared" si="64"/>
        <v>9.942415303787957</v>
      </c>
      <c r="CO32">
        <f t="shared" si="65"/>
        <v>2.5325250403284802</v>
      </c>
      <c r="CP32">
        <f t="shared" si="66"/>
        <v>6.1436277432952373</v>
      </c>
      <c r="CQ32">
        <f t="shared" si="67"/>
        <v>11.208677823952197</v>
      </c>
      <c r="CR32">
        <f t="shared" si="68"/>
        <v>3.7987875604927206</v>
      </c>
      <c r="CS32">
        <f t="shared" si="69"/>
        <v>4.8773652231309965</v>
      </c>
      <c r="CT32">
        <f t="shared" si="70"/>
        <v>12.474940344116437</v>
      </c>
    </row>
    <row r="33" spans="1:98" x14ac:dyDescent="0.25">
      <c r="A33" s="7">
        <v>22</v>
      </c>
      <c r="B33" s="9">
        <f t="shared" si="29"/>
        <v>9.1777979165723078</v>
      </c>
      <c r="C33">
        <v>-0.11960203863643304</v>
      </c>
      <c r="D33">
        <v>8.0355235450300544E-2</v>
      </c>
      <c r="E33">
        <v>-0.74846644489883118</v>
      </c>
      <c r="F33">
        <v>-0.60380870998260439</v>
      </c>
      <c r="G33">
        <v>7.2176274910733307E-2</v>
      </c>
      <c r="H33">
        <v>-0.54014709921567428</v>
      </c>
      <c r="I33">
        <v>-0.18509475997192293</v>
      </c>
      <c r="J33">
        <v>-9.8605304116946901E-2</v>
      </c>
      <c r="K33">
        <v>-0.93102816858424631</v>
      </c>
      <c r="L33">
        <v>-0.36075930051576277</v>
      </c>
      <c r="M33">
        <v>-0.35435041352580343</v>
      </c>
      <c r="N33">
        <v>-0.33451338236640527</v>
      </c>
      <c r="O33">
        <v>0.91753898739585549</v>
      </c>
      <c r="P33">
        <v>-5.9114352855006547E-2</v>
      </c>
      <c r="Q33">
        <v>-0.60893581957457199</v>
      </c>
      <c r="R33">
        <v>-9.5736564226203247E-2</v>
      </c>
      <c r="S33">
        <v>-0.50120548112430185</v>
      </c>
      <c r="T33">
        <v>-0.86382641071810051</v>
      </c>
      <c r="U33">
        <v>0.49162266914883879</v>
      </c>
      <c r="V33">
        <v>3.170873134556107E-2</v>
      </c>
      <c r="W33">
        <v>0.36490981780449849</v>
      </c>
      <c r="X33">
        <v>0.18723105563524278</v>
      </c>
      <c r="Y33">
        <v>0.2065797906430249</v>
      </c>
      <c r="Z33">
        <v>0.83312479018524743</v>
      </c>
      <c r="AA33">
        <v>0.46946623126926479</v>
      </c>
      <c r="AC33" s="7">
        <v>22</v>
      </c>
      <c r="AD33">
        <f t="shared" si="4"/>
        <v>7.5250462414777548</v>
      </c>
      <c r="AE33">
        <f t="shared" si="5"/>
        <v>10.288207500783574</v>
      </c>
      <c r="AF33">
        <f t="shared" si="6"/>
        <v>-1.1650790499226922</v>
      </c>
      <c r="AG33">
        <f t="shared" si="7"/>
        <v>0.83391123840294767</v>
      </c>
      <c r="AH33">
        <f t="shared" si="8"/>
        <v>10.17518442119048</v>
      </c>
      <c r="AI33">
        <f t="shared" si="9"/>
        <v>1.7136356564298012</v>
      </c>
      <c r="AJ33">
        <f t="shared" si="10"/>
        <v>6.6200181489151353</v>
      </c>
      <c r="AK33">
        <f t="shared" si="11"/>
        <v>7.815195042821224</v>
      </c>
      <c r="AL33">
        <f t="shared" si="12"/>
        <v>-3.6878554011387195</v>
      </c>
      <c r="AM33">
        <f t="shared" si="13"/>
        <v>4.1925523051171654</v>
      </c>
      <c r="AN33">
        <f t="shared" si="14"/>
        <v>4.2811151659923503</v>
      </c>
      <c r="AO33">
        <f t="shared" si="15"/>
        <v>4.5552383067964994</v>
      </c>
      <c r="AP33">
        <f t="shared" si="16"/>
        <v>21.857047498536513</v>
      </c>
      <c r="AQ33">
        <f t="shared" si="17"/>
        <v>8.3609109569759443</v>
      </c>
      <c r="AR33">
        <f t="shared" si="18"/>
        <v>0.76306094970279759</v>
      </c>
      <c r="AS33">
        <f t="shared" si="19"/>
        <v>7.8548374662605918</v>
      </c>
      <c r="AT33">
        <f t="shared" si="20"/>
        <v>2.2517604682237913</v>
      </c>
      <c r="AU33">
        <f t="shared" si="21"/>
        <v>-2.7592105456760496</v>
      </c>
      <c r="AV33">
        <f t="shared" si="22"/>
        <v>15.971412801516975</v>
      </c>
      <c r="AW33">
        <f t="shared" si="23"/>
        <v>9.6159732139500171</v>
      </c>
      <c r="AX33">
        <f t="shared" si="24"/>
        <v>14.220398523641858</v>
      </c>
      <c r="AY33">
        <f t="shared" si="25"/>
        <v>11.765098637854543</v>
      </c>
      <c r="AZ33">
        <f t="shared" si="26"/>
        <v>12.032474132115819</v>
      </c>
      <c r="BA33">
        <f t="shared" si="27"/>
        <v>20.690548102437631</v>
      </c>
      <c r="BB33">
        <f t="shared" si="28"/>
        <v>15.665238339634186</v>
      </c>
      <c r="BC33" s="2">
        <f t="shared" si="30"/>
        <v>7.6574688048816055</v>
      </c>
      <c r="BD33">
        <f t="shared" si="31"/>
        <v>46.220971137373198</v>
      </c>
      <c r="BE33">
        <f t="shared" si="32"/>
        <v>6.7986006749457788</v>
      </c>
      <c r="BF33" s="12">
        <f t="shared" si="33"/>
        <v>9.2002455677938428</v>
      </c>
      <c r="BG33">
        <f t="shared" si="34"/>
        <v>-1.5427767629122373</v>
      </c>
      <c r="BH33">
        <f t="shared" si="35"/>
        <v>2.3801601401819616</v>
      </c>
      <c r="BJ33" s="7">
        <v>21</v>
      </c>
      <c r="BK33">
        <f t="shared" si="36"/>
        <v>94.019773354992026</v>
      </c>
      <c r="BL33">
        <f t="shared" si="37"/>
        <v>8.3995119506186597</v>
      </c>
      <c r="BM33">
        <f t="shared" si="38"/>
        <v>1.5790169071767026</v>
      </c>
      <c r="BN33">
        <f t="shared" si="39"/>
        <v>66.131019535815611</v>
      </c>
      <c r="BO33">
        <f t="shared" si="40"/>
        <v>137.82669001436196</v>
      </c>
      <c r="BP33">
        <f t="shared" si="41"/>
        <v>21.826350146716614</v>
      </c>
      <c r="BQ33">
        <f t="shared" si="42"/>
        <v>86.650288986617483</v>
      </c>
      <c r="BR33">
        <f t="shared" si="43"/>
        <v>4.2852679110158052</v>
      </c>
      <c r="BS33">
        <f t="shared" si="44"/>
        <v>12.666647498450576</v>
      </c>
      <c r="BT33">
        <f t="shared" si="45"/>
        <v>12.846619845617571</v>
      </c>
      <c r="BU33">
        <f t="shared" si="46"/>
        <v>106.25107348077654</v>
      </c>
      <c r="BV33">
        <f t="shared" si="47"/>
        <v>135.27901626612166</v>
      </c>
      <c r="BW33">
        <f t="shared" si="48"/>
        <v>13.827156046805472</v>
      </c>
      <c r="BX33">
        <f t="shared" si="49"/>
        <v>13.461641598694094</v>
      </c>
      <c r="BY33">
        <f t="shared" si="50"/>
        <v>26.75249304864462</v>
      </c>
      <c r="BZ33">
        <f t="shared" si="51"/>
        <v>154.42609667530098</v>
      </c>
      <c r="CA33">
        <f t="shared" si="52"/>
        <v>116.5777821702785</v>
      </c>
      <c r="CB33">
        <f t="shared" si="53"/>
        <v>22.06488320359006</v>
      </c>
      <c r="CC33">
        <f t="shared" si="54"/>
        <v>3.3976320183069371</v>
      </c>
      <c r="CD33">
        <f t="shared" si="55"/>
        <v>173.50385820863767</v>
      </c>
      <c r="CE33">
        <f t="shared" si="56"/>
        <v>19.95952967938047</v>
      </c>
      <c r="CF33">
        <f t="shared" si="57"/>
        <v>8.3590521507127615</v>
      </c>
      <c r="CG33">
        <f t="shared" si="58"/>
        <v>97.439024797090568</v>
      </c>
      <c r="CH33">
        <f t="shared" si="59"/>
        <v>183.16404817036153</v>
      </c>
      <c r="CI33">
        <f t="shared" si="60"/>
        <v>7.1370216790535429E-3</v>
      </c>
      <c r="CJ33" s="7">
        <v>21</v>
      </c>
      <c r="CK33" s="13">
        <f t="shared" si="61"/>
        <v>8.9607593972455799</v>
      </c>
      <c r="CL33">
        <f t="shared" si="62"/>
        <v>1.2436446756056017</v>
      </c>
      <c r="CM33">
        <f t="shared" si="63"/>
        <v>7.7171147216399785</v>
      </c>
      <c r="CN33">
        <f t="shared" si="64"/>
        <v>10.204404072851181</v>
      </c>
      <c r="CO33">
        <f t="shared" si="65"/>
        <v>2.4872893512112033</v>
      </c>
      <c r="CP33">
        <f t="shared" si="66"/>
        <v>6.473470046034377</v>
      </c>
      <c r="CQ33">
        <f t="shared" si="67"/>
        <v>11.448048748456783</v>
      </c>
      <c r="CR33">
        <f t="shared" si="68"/>
        <v>3.7309340268168052</v>
      </c>
      <c r="CS33">
        <f t="shared" si="69"/>
        <v>5.2298253704287747</v>
      </c>
      <c r="CT33">
        <f t="shared" si="70"/>
        <v>12.691693424062386</v>
      </c>
    </row>
    <row r="34" spans="1:98" x14ac:dyDescent="0.25">
      <c r="A34" s="7">
        <v>23</v>
      </c>
      <c r="B34" s="9">
        <f t="shared" si="29"/>
        <v>9.4693823166220668</v>
      </c>
      <c r="C34">
        <v>-0.69548631244850001</v>
      </c>
      <c r="D34">
        <v>-0.30924405652027953</v>
      </c>
      <c r="E34">
        <v>0.48582415234839926</v>
      </c>
      <c r="F34">
        <v>-0.64464247566148869</v>
      </c>
      <c r="G34">
        <v>0.63365581225012968</v>
      </c>
      <c r="H34">
        <v>-0.81609546189764093</v>
      </c>
      <c r="I34">
        <v>-0.75963621936704606</v>
      </c>
      <c r="J34">
        <v>0.36222418897061059</v>
      </c>
      <c r="K34">
        <v>0.88372447889645067</v>
      </c>
      <c r="L34">
        <v>-0.62370677816095466</v>
      </c>
      <c r="M34">
        <v>-0.42619098483230078</v>
      </c>
      <c r="N34">
        <v>-0.58476516006958223</v>
      </c>
      <c r="O34">
        <v>-0.79088717307046719</v>
      </c>
      <c r="P34">
        <v>-0.98748741111484117</v>
      </c>
      <c r="Q34">
        <v>-0.3716238898892178</v>
      </c>
      <c r="R34">
        <v>-4.0314951017792255E-2</v>
      </c>
      <c r="S34">
        <v>0.65843684194463936</v>
      </c>
      <c r="T34">
        <v>-0.20413830988494519</v>
      </c>
      <c r="U34">
        <v>0.74816125980407122</v>
      </c>
      <c r="V34">
        <v>-0.3987853633228553</v>
      </c>
      <c r="W34">
        <v>0.50126651814325385</v>
      </c>
      <c r="X34">
        <v>0.6564226203192236</v>
      </c>
      <c r="Y34">
        <v>0.92522965178380678</v>
      </c>
      <c r="Z34">
        <v>-0.98339793084505756</v>
      </c>
      <c r="AA34">
        <v>-0.25247962889492481</v>
      </c>
      <c r="AC34" s="7">
        <v>23</v>
      </c>
      <c r="AD34">
        <f t="shared" si="4"/>
        <v>-0.14137499997139003</v>
      </c>
      <c r="AE34">
        <f t="shared" si="5"/>
        <v>5.1960134154398521</v>
      </c>
      <c r="AF34">
        <f t="shared" si="6"/>
        <v>16.182868898870133</v>
      </c>
      <c r="AG34">
        <f t="shared" si="7"/>
        <v>0.56122369630509006</v>
      </c>
      <c r="AH34">
        <f t="shared" si="8"/>
        <v>18.22571888972444</v>
      </c>
      <c r="AI34">
        <f t="shared" si="9"/>
        <v>-1.808043696060615</v>
      </c>
      <c r="AJ34">
        <f t="shared" si="10"/>
        <v>-1.0278470645411133</v>
      </c>
      <c r="AK34">
        <f t="shared" si="11"/>
        <v>14.474870867705823</v>
      </c>
      <c r="AL34">
        <f t="shared" si="12"/>
        <v>21.681357375492432</v>
      </c>
      <c r="AM34">
        <f t="shared" si="13"/>
        <v>0.85052904183069877</v>
      </c>
      <c r="AN34">
        <f t="shared" si="14"/>
        <v>3.5799520684221617</v>
      </c>
      <c r="AO34">
        <f t="shared" si="15"/>
        <v>1.3886538536246888</v>
      </c>
      <c r="AP34">
        <f t="shared" si="16"/>
        <v>-1.45969644328488</v>
      </c>
      <c r="AQ34">
        <f t="shared" si="17"/>
        <v>-4.1764676326084604</v>
      </c>
      <c r="AR34">
        <f t="shared" si="18"/>
        <v>4.3340015695880361</v>
      </c>
      <c r="AS34">
        <f t="shared" si="19"/>
        <v>8.9122797489262506</v>
      </c>
      <c r="AT34">
        <f t="shared" si="20"/>
        <v>18.56816195177516</v>
      </c>
      <c r="AU34">
        <f t="shared" si="21"/>
        <v>6.6484443337929111</v>
      </c>
      <c r="AV34">
        <f t="shared" si="22"/>
        <v>19.808042004027772</v>
      </c>
      <c r="AW34">
        <f t="shared" si="23"/>
        <v>3.9586637306408168</v>
      </c>
      <c r="AX34">
        <f t="shared" si="24"/>
        <v>16.396263220788441</v>
      </c>
      <c r="AY34">
        <f t="shared" si="25"/>
        <v>18.540327909785816</v>
      </c>
      <c r="AZ34">
        <f t="shared" si="26"/>
        <v>22.254907331636495</v>
      </c>
      <c r="BA34">
        <f t="shared" si="27"/>
        <v>-4.119956092811913</v>
      </c>
      <c r="BB34">
        <f t="shared" si="28"/>
        <v>5.9804273260486465</v>
      </c>
      <c r="BC34" s="2">
        <f t="shared" si="30"/>
        <v>7.7923728522058902</v>
      </c>
      <c r="BD34">
        <f t="shared" si="31"/>
        <v>78.256696788565677</v>
      </c>
      <c r="BE34">
        <f t="shared" si="32"/>
        <v>8.8462815232483791</v>
      </c>
      <c r="BF34" s="12">
        <f t="shared" si="33"/>
        <v>9.4883477860912517</v>
      </c>
      <c r="BG34">
        <f t="shared" si="34"/>
        <v>-1.6959749338853616</v>
      </c>
      <c r="BH34">
        <f t="shared" si="35"/>
        <v>2.8763309763674565</v>
      </c>
      <c r="BJ34" s="7">
        <v>22</v>
      </c>
      <c r="BK34">
        <f t="shared" si="36"/>
        <v>0.68655627634538241</v>
      </c>
      <c r="BL34">
        <f t="shared" si="37"/>
        <v>0.2068247792701759</v>
      </c>
      <c r="BM34">
        <f t="shared" si="38"/>
        <v>75.032057513190949</v>
      </c>
      <c r="BN34">
        <f t="shared" si="39"/>
        <v>95.0403626089293</v>
      </c>
      <c r="BO34">
        <f t="shared" si="40"/>
        <v>0.12332229558816901</v>
      </c>
      <c r="BP34">
        <f t="shared" si="41"/>
        <v>55.79254740227011</v>
      </c>
      <c r="BQ34">
        <f t="shared" si="42"/>
        <v>1.547180804019292</v>
      </c>
      <c r="BR34">
        <f t="shared" si="43"/>
        <v>1.2877396367093632</v>
      </c>
      <c r="BS34">
        <f t="shared" si="44"/>
        <v>132.76558717132076</v>
      </c>
      <c r="BT34">
        <f t="shared" si="45"/>
        <v>24.670442059270584</v>
      </c>
      <c r="BU34">
        <f t="shared" si="46"/>
        <v>45.808400795633972</v>
      </c>
      <c r="BV34">
        <f t="shared" si="47"/>
        <v>19.334467111777457</v>
      </c>
      <c r="BW34">
        <f t="shared" si="48"/>
        <v>208.72580465819166</v>
      </c>
      <c r="BX34">
        <f t="shared" si="49"/>
        <v>9.3470595865900954</v>
      </c>
      <c r="BY34">
        <f t="shared" si="50"/>
        <v>53.269963141508569</v>
      </c>
      <c r="BZ34">
        <f t="shared" si="51"/>
        <v>8.7807349263008216</v>
      </c>
      <c r="CA34">
        <f t="shared" si="52"/>
        <v>27.658174760550988</v>
      </c>
      <c r="CB34">
        <f t="shared" si="53"/>
        <v>138.52851686437421</v>
      </c>
      <c r="CC34">
        <f t="shared" si="54"/>
        <v>32.795996502920183</v>
      </c>
      <c r="CD34">
        <f t="shared" si="55"/>
        <v>0.97018737177654379</v>
      </c>
      <c r="CE34">
        <f t="shared" si="56"/>
        <v>23.667617847253002</v>
      </c>
      <c r="CF34">
        <f t="shared" si="57"/>
        <v>7.4820155548672318</v>
      </c>
      <c r="CG34">
        <f t="shared" si="58"/>
        <v>0.20666365884221391</v>
      </c>
      <c r="CH34">
        <f t="shared" si="59"/>
        <v>118.42911055522639</v>
      </c>
      <c r="CI34">
        <f t="shared" si="60"/>
        <v>42.126072344806332</v>
      </c>
      <c r="CJ34" s="7">
        <v>22</v>
      </c>
      <c r="CK34" s="13">
        <f t="shared" si="61"/>
        <v>9.2453660108674409</v>
      </c>
      <c r="CL34">
        <f t="shared" si="62"/>
        <v>1.2227779413589313</v>
      </c>
      <c r="CM34">
        <f t="shared" si="63"/>
        <v>8.0225880695085099</v>
      </c>
      <c r="CN34">
        <f t="shared" si="64"/>
        <v>10.468143952226372</v>
      </c>
      <c r="CO34">
        <f t="shared" si="65"/>
        <v>2.4455558827178625</v>
      </c>
      <c r="CP34">
        <f t="shared" si="66"/>
        <v>6.7998101281495789</v>
      </c>
      <c r="CQ34">
        <f t="shared" si="67"/>
        <v>11.690921893585303</v>
      </c>
      <c r="CR34">
        <f t="shared" si="68"/>
        <v>3.668333824076794</v>
      </c>
      <c r="CS34">
        <f t="shared" si="69"/>
        <v>5.5770321867906469</v>
      </c>
      <c r="CT34">
        <f t="shared" si="70"/>
        <v>12.913699834944236</v>
      </c>
    </row>
    <row r="35" spans="1:98" x14ac:dyDescent="0.25">
      <c r="A35" s="7">
        <v>24</v>
      </c>
      <c r="B35" s="9">
        <f t="shared" si="29"/>
        <v>9.7609667166718275</v>
      </c>
      <c r="C35">
        <v>0.44444105349894714</v>
      </c>
      <c r="D35">
        <v>0.96923734244819482</v>
      </c>
      <c r="E35">
        <v>0.69597460860011595</v>
      </c>
      <c r="F35">
        <v>-0.83007293923764758</v>
      </c>
      <c r="G35">
        <v>-0.88781395916623429</v>
      </c>
      <c r="H35">
        <v>-0.78856776635029147</v>
      </c>
      <c r="I35">
        <v>7.980590227973261E-2</v>
      </c>
      <c r="J35">
        <v>0.14316232795190276</v>
      </c>
      <c r="K35">
        <v>0.44694357127597883</v>
      </c>
      <c r="L35">
        <v>-0.44285409100619522</v>
      </c>
      <c r="M35">
        <v>0.65318765831476799</v>
      </c>
      <c r="N35">
        <v>-0.38822595904416024</v>
      </c>
      <c r="O35">
        <v>0.4166081728568376</v>
      </c>
      <c r="P35">
        <v>0.6971953489791558</v>
      </c>
      <c r="Q35">
        <v>-0.44126712851344341</v>
      </c>
      <c r="R35">
        <v>-0.50010681478316599</v>
      </c>
      <c r="S35">
        <v>0.19150364696188249</v>
      </c>
      <c r="T35">
        <v>-0.70677816095461898</v>
      </c>
      <c r="U35">
        <v>-0.70702230903042695</v>
      </c>
      <c r="V35">
        <v>-0.12588885158848839</v>
      </c>
      <c r="W35">
        <v>-9.5431379131443173E-2</v>
      </c>
      <c r="X35">
        <v>0.94787438581499672</v>
      </c>
      <c r="Y35">
        <v>4.5747245704519823E-2</v>
      </c>
      <c r="Z35">
        <v>0.17361980040894798</v>
      </c>
      <c r="AA35">
        <v>0.21189001129184848</v>
      </c>
      <c r="AC35" s="7">
        <v>24</v>
      </c>
      <c r="AD35">
        <f t="shared" si="4"/>
        <v>15.90259025441155</v>
      </c>
      <c r="AE35">
        <f t="shared" si="5"/>
        <v>23.154623376362537</v>
      </c>
      <c r="AF35">
        <f t="shared" si="6"/>
        <v>19.378471679808158</v>
      </c>
      <c r="AG35">
        <f t="shared" si="7"/>
        <v>-1.709610678300546</v>
      </c>
      <c r="AH35">
        <f t="shared" si="8"/>
        <v>-2.5075198819950852</v>
      </c>
      <c r="AI35">
        <f t="shared" si="9"/>
        <v>-1.1360607221564827</v>
      </c>
      <c r="AJ35">
        <f t="shared" si="10"/>
        <v>10.863785198522365</v>
      </c>
      <c r="AK35">
        <f t="shared" si="11"/>
        <v>11.739292337459922</v>
      </c>
      <c r="AL35">
        <f t="shared" si="12"/>
        <v>15.937171942943763</v>
      </c>
      <c r="AM35">
        <f t="shared" si="13"/>
        <v>3.6412730301964382</v>
      </c>
      <c r="AN35">
        <f t="shared" si="14"/>
        <v>18.787209151489055</v>
      </c>
      <c r="AO35">
        <f t="shared" si="15"/>
        <v>4.3961659871801713</v>
      </c>
      <c r="AP35">
        <f t="shared" si="16"/>
        <v>15.517974401467882</v>
      </c>
      <c r="AQ35">
        <f t="shared" si="17"/>
        <v>19.395340796165335</v>
      </c>
      <c r="AR35">
        <f t="shared" si="18"/>
        <v>3.6632028814607693</v>
      </c>
      <c r="AS35">
        <f t="shared" si="19"/>
        <v>2.8501114730447714</v>
      </c>
      <c r="AT35">
        <f t="shared" si="20"/>
        <v>12.407309345204188</v>
      </c>
      <c r="AU35">
        <f t="shared" si="21"/>
        <v>-5.8299262255303574E-3</v>
      </c>
      <c r="AV35">
        <f t="shared" si="22"/>
        <v>-9.20374949696523E-3</v>
      </c>
      <c r="AW35">
        <f t="shared" si="23"/>
        <v>8.0213390923378061</v>
      </c>
      <c r="AX35">
        <f t="shared" si="24"/>
        <v>8.4422235454494086</v>
      </c>
      <c r="AY35">
        <f t="shared" si="25"/>
        <v>22.859413840111916</v>
      </c>
      <c r="AZ35">
        <f t="shared" si="26"/>
        <v>10.393136852157088</v>
      </c>
      <c r="BA35">
        <f t="shared" si="27"/>
        <v>12.160176790571523</v>
      </c>
      <c r="BB35">
        <f t="shared" si="28"/>
        <v>12.689023588369066</v>
      </c>
      <c r="BC35" s="2">
        <f t="shared" si="30"/>
        <v>9.8732644242615617</v>
      </c>
      <c r="BD35">
        <f t="shared" si="31"/>
        <v>62.538616717782169</v>
      </c>
      <c r="BE35">
        <f t="shared" si="32"/>
        <v>7.9081361089565325</v>
      </c>
      <c r="BF35" s="12">
        <f t="shared" si="33"/>
        <v>9.7764500043886606</v>
      </c>
      <c r="BG35">
        <f t="shared" si="34"/>
        <v>9.681441987290107E-2</v>
      </c>
      <c r="BH35">
        <f t="shared" si="35"/>
        <v>9.3730318953263812E-3</v>
      </c>
      <c r="BJ35" s="7">
        <v>23</v>
      </c>
      <c r="BK35">
        <f t="shared" si="36"/>
        <v>77.848607155317211</v>
      </c>
      <c r="BL35">
        <f t="shared" si="37"/>
        <v>24.452470620183561</v>
      </c>
      <c r="BM35">
        <f t="shared" si="38"/>
        <v>70.426920145300357</v>
      </c>
      <c r="BN35">
        <f t="shared" si="39"/>
        <v>102.95501914200665</v>
      </c>
      <c r="BO35">
        <f t="shared" si="40"/>
        <v>66.628233206407671</v>
      </c>
      <c r="BP35">
        <f t="shared" si="41"/>
        <v>126.61133534910159</v>
      </c>
      <c r="BQ35">
        <f t="shared" si="42"/>
        <v>83.953028135673421</v>
      </c>
      <c r="BR35">
        <f t="shared" si="43"/>
        <v>27.664543716247259</v>
      </c>
      <c r="BS35">
        <f t="shared" si="44"/>
        <v>181.99904885746614</v>
      </c>
      <c r="BT35">
        <f t="shared" si="45"/>
        <v>73.061513293362594</v>
      </c>
      <c r="BU35">
        <f t="shared" si="46"/>
        <v>60.303198920741529</v>
      </c>
      <c r="BV35">
        <f t="shared" si="47"/>
        <v>61.848817341851948</v>
      </c>
      <c r="BW35">
        <f t="shared" si="48"/>
        <v>84.754166680389204</v>
      </c>
      <c r="BX35">
        <f t="shared" si="49"/>
        <v>252.39198794735924</v>
      </c>
      <c r="BY35">
        <f t="shared" si="50"/>
        <v>16.232548631407369</v>
      </c>
      <c r="BZ35">
        <f t="shared" si="51"/>
        <v>4.3479257344115672</v>
      </c>
      <c r="CA35">
        <f t="shared" si="52"/>
        <v>116.66208729900048</v>
      </c>
      <c r="CB35">
        <f t="shared" si="53"/>
        <v>7.3323650682936634</v>
      </c>
      <c r="CC35">
        <f t="shared" si="54"/>
        <v>85.779676419824199</v>
      </c>
      <c r="CD35">
        <f t="shared" si="55"/>
        <v>24.710834111923283</v>
      </c>
      <c r="CE35">
        <f t="shared" si="56"/>
        <v>44.93529272166306</v>
      </c>
      <c r="CF35">
        <f t="shared" si="57"/>
        <v>84.396503746996657</v>
      </c>
      <c r="CG35">
        <f t="shared" si="58"/>
        <v>108.39769620179706</v>
      </c>
      <c r="CH35">
        <f t="shared" si="59"/>
        <v>202.8934894709495</v>
      </c>
      <c r="CI35">
        <f t="shared" si="60"/>
        <v>12.056430617507171</v>
      </c>
      <c r="CJ35" s="7">
        <v>23</v>
      </c>
      <c r="CK35" s="13">
        <f t="shared" si="61"/>
        <v>9.5299726244893037</v>
      </c>
      <c r="CL35">
        <f t="shared" si="62"/>
        <v>1.2037533859176324</v>
      </c>
      <c r="CM35">
        <f t="shared" si="63"/>
        <v>8.3262192385716709</v>
      </c>
      <c r="CN35">
        <f t="shared" si="64"/>
        <v>10.733726010406937</v>
      </c>
      <c r="CO35">
        <f t="shared" si="65"/>
        <v>2.4075067718352647</v>
      </c>
      <c r="CP35">
        <f t="shared" si="66"/>
        <v>7.122465852654039</v>
      </c>
      <c r="CQ35">
        <f t="shared" si="67"/>
        <v>11.937479396324569</v>
      </c>
      <c r="CR35">
        <f t="shared" si="68"/>
        <v>3.6112601577528971</v>
      </c>
      <c r="CS35">
        <f t="shared" si="69"/>
        <v>5.9187124667364071</v>
      </c>
      <c r="CT35">
        <f t="shared" si="70"/>
        <v>13.1412327822422</v>
      </c>
    </row>
    <row r="36" spans="1:98" x14ac:dyDescent="0.25">
      <c r="A36" s="7">
        <v>25</v>
      </c>
      <c r="B36" s="9">
        <f t="shared" si="29"/>
        <v>10.052551116721588</v>
      </c>
      <c r="C36">
        <v>-0.22843104342783893</v>
      </c>
      <c r="D36">
        <v>0.2474745933408613</v>
      </c>
      <c r="E36">
        <v>-0.18131046479689927</v>
      </c>
      <c r="F36">
        <v>-0.28305917538987391</v>
      </c>
      <c r="G36">
        <v>0.3613696707052827</v>
      </c>
      <c r="H36">
        <v>-0.11386455885494551</v>
      </c>
      <c r="I36">
        <v>0.51078829309976492</v>
      </c>
      <c r="J36">
        <v>-0.67967772453993347</v>
      </c>
      <c r="K36">
        <v>-0.99951170384838406</v>
      </c>
      <c r="L36">
        <v>0.15567491683706169</v>
      </c>
      <c r="M36">
        <v>-0.46372875148777737</v>
      </c>
      <c r="N36">
        <v>-0.44181646168401134</v>
      </c>
      <c r="O36">
        <v>-0.10556352427747429</v>
      </c>
      <c r="P36">
        <v>-9.4607379375588607E-4</v>
      </c>
      <c r="Q36">
        <v>0.38724936674092847</v>
      </c>
      <c r="R36">
        <v>-9.3081453901791011E-3</v>
      </c>
      <c r="S36">
        <v>-0.74590289010284738</v>
      </c>
      <c r="T36">
        <v>-0.891109958189642</v>
      </c>
      <c r="U36">
        <v>1.0406811731314969E-2</v>
      </c>
      <c r="V36">
        <v>0.70445875423444315</v>
      </c>
      <c r="W36">
        <v>-0.96081423383281961</v>
      </c>
      <c r="X36">
        <v>-5.2888576921903185E-2</v>
      </c>
      <c r="Y36">
        <v>0.99774163029877627</v>
      </c>
      <c r="Z36">
        <v>0.9907223731192969</v>
      </c>
      <c r="AA36">
        <v>-0.82586138492996009</v>
      </c>
      <c r="AC36" s="7">
        <v>25</v>
      </c>
      <c r="AD36">
        <f t="shared" si="4"/>
        <v>6.8959177183845828</v>
      </c>
      <c r="AE36">
        <f t="shared" si="5"/>
        <v>13.472342730230578</v>
      </c>
      <c r="AF36">
        <f t="shared" si="6"/>
        <v>7.5470656097716686</v>
      </c>
      <c r="AG36">
        <f t="shared" si="7"/>
        <v>6.1410247614008497</v>
      </c>
      <c r="AH36">
        <f t="shared" si="8"/>
        <v>15.046231286355319</v>
      </c>
      <c r="AI36">
        <f t="shared" si="9"/>
        <v>8.4790842885057742</v>
      </c>
      <c r="AJ36">
        <f t="shared" si="10"/>
        <v>17.111011128473955</v>
      </c>
      <c r="AK36">
        <f t="shared" si="11"/>
        <v>0.66024885695359181</v>
      </c>
      <c r="AL36">
        <f t="shared" si="12"/>
        <v>-3.7594596286271464</v>
      </c>
      <c r="AM36">
        <f t="shared" si="13"/>
        <v>12.203785180170762</v>
      </c>
      <c r="AN36">
        <f t="shared" si="14"/>
        <v>3.6443955405384472</v>
      </c>
      <c r="AO36">
        <f t="shared" si="15"/>
        <v>3.9471961791497998</v>
      </c>
      <c r="AP36">
        <f t="shared" si="16"/>
        <v>8.5937942797345865</v>
      </c>
      <c r="AQ36">
        <f t="shared" si="17"/>
        <v>10.039477551544776</v>
      </c>
      <c r="AR36">
        <f t="shared" si="18"/>
        <v>15.403856553127504</v>
      </c>
      <c r="AS36">
        <f t="shared" si="19"/>
        <v>9.9239241044981039</v>
      </c>
      <c r="AT36">
        <f t="shared" si="20"/>
        <v>-0.25490070542333676</v>
      </c>
      <c r="AU36">
        <f t="shared" si="21"/>
        <v>-2.261482096109706</v>
      </c>
      <c r="AV36">
        <f t="shared" si="22"/>
        <v>10.196360333666533</v>
      </c>
      <c r="AW36">
        <f t="shared" si="23"/>
        <v>19.787296438540306</v>
      </c>
      <c r="AX36">
        <f t="shared" si="24"/>
        <v>-3.2247086401045912</v>
      </c>
      <c r="AY36">
        <f t="shared" si="25"/>
        <v>9.3216966505468335</v>
      </c>
      <c r="AZ36">
        <f t="shared" si="26"/>
        <v>23.840101643352416</v>
      </c>
      <c r="BA36">
        <f t="shared" si="27"/>
        <v>23.743104224298641</v>
      </c>
      <c r="BB36">
        <f t="shared" si="28"/>
        <v>-1.3598278268185222</v>
      </c>
      <c r="BC36" s="2">
        <f t="shared" si="30"/>
        <v>8.6055014464864694</v>
      </c>
      <c r="BD36">
        <f t="shared" si="31"/>
        <v>62.421380617645866</v>
      </c>
      <c r="BE36">
        <f t="shared" si="32"/>
        <v>7.9007202594222932</v>
      </c>
      <c r="BF36" s="12">
        <f t="shared" si="33"/>
        <v>10.064552222686071</v>
      </c>
      <c r="BG36">
        <f t="shared" si="34"/>
        <v>-1.4590507761996019</v>
      </c>
      <c r="BH36">
        <f t="shared" si="35"/>
        <v>2.1288291675286608</v>
      </c>
      <c r="BJ36" s="7">
        <v>24</v>
      </c>
      <c r="BK36">
        <f t="shared" si="36"/>
        <v>47.507960518550874</v>
      </c>
      <c r="BL36">
        <f t="shared" si="37"/>
        <v>161.44589794790969</v>
      </c>
      <c r="BM36">
        <f t="shared" si="38"/>
        <v>127.55238494187216</v>
      </c>
      <c r="BN36">
        <f t="shared" si="39"/>
        <v>157.31763504696914</v>
      </c>
      <c r="BO36">
        <f t="shared" si="40"/>
        <v>164.08898186443551</v>
      </c>
      <c r="BP36">
        <f t="shared" si="41"/>
        <v>117.53242558642037</v>
      </c>
      <c r="BQ36">
        <f t="shared" si="42"/>
        <v>6.0426375658435258</v>
      </c>
      <c r="BR36">
        <f t="shared" si="43"/>
        <v>5.1028584896275992</v>
      </c>
      <c r="BS36">
        <f t="shared" si="44"/>
        <v>54.618033464820925</v>
      </c>
      <c r="BT36">
        <f t="shared" si="45"/>
        <v>35.94606142330521</v>
      </c>
      <c r="BU36">
        <f t="shared" si="46"/>
        <v>51.05936602179785</v>
      </c>
      <c r="BV36">
        <f t="shared" si="47"/>
        <v>26.600937275701739</v>
      </c>
      <c r="BW36">
        <f t="shared" si="48"/>
        <v>55.274222969767429</v>
      </c>
      <c r="BX36">
        <f t="shared" si="49"/>
        <v>54.653256519170519</v>
      </c>
      <c r="BY36">
        <f t="shared" si="50"/>
        <v>25.010393662426157</v>
      </c>
      <c r="BZ36">
        <f t="shared" si="51"/>
        <v>69.33420168343207</v>
      </c>
      <c r="CA36">
        <f t="shared" si="52"/>
        <v>19.218534684708676</v>
      </c>
      <c r="CB36">
        <f t="shared" si="53"/>
        <v>94.241058078442421</v>
      </c>
      <c r="CC36">
        <f t="shared" si="54"/>
        <v>117.87857899317903</v>
      </c>
      <c r="CD36">
        <f t="shared" si="55"/>
        <v>1.4568361298727499</v>
      </c>
      <c r="CE36">
        <f t="shared" si="56"/>
        <v>2.5220094209421671</v>
      </c>
      <c r="CF36">
        <f t="shared" si="57"/>
        <v>173.76626530583931</v>
      </c>
      <c r="CG36">
        <f t="shared" si="58"/>
        <v>2.9445309617254058</v>
      </c>
      <c r="CH36">
        <f t="shared" si="59"/>
        <v>2.9583516824535341</v>
      </c>
      <c r="CI36">
        <f t="shared" si="60"/>
        <v>8.752562096480089</v>
      </c>
      <c r="CJ36" s="7">
        <v>24</v>
      </c>
      <c r="CK36" s="13">
        <f t="shared" si="61"/>
        <v>9.8145792381111647</v>
      </c>
      <c r="CL36">
        <f t="shared" si="62"/>
        <v>1.1866596141542429</v>
      </c>
      <c r="CM36">
        <f t="shared" si="63"/>
        <v>8.627919623956922</v>
      </c>
      <c r="CN36">
        <f t="shared" si="64"/>
        <v>11.001238852265407</v>
      </c>
      <c r="CO36">
        <f t="shared" si="65"/>
        <v>2.3733192283084859</v>
      </c>
      <c r="CP36">
        <f t="shared" si="66"/>
        <v>7.4412600098026793</v>
      </c>
      <c r="CQ36">
        <f t="shared" si="67"/>
        <v>12.18789846641965</v>
      </c>
      <c r="CR36">
        <f t="shared" si="68"/>
        <v>3.559978842462729</v>
      </c>
      <c r="CS36">
        <f t="shared" si="69"/>
        <v>6.2546003956484357</v>
      </c>
      <c r="CT36">
        <f t="shared" si="70"/>
        <v>13.374558080573895</v>
      </c>
    </row>
    <row r="37" spans="1:98" x14ac:dyDescent="0.25">
      <c r="A37" s="7">
        <v>26</v>
      </c>
      <c r="B37" s="9">
        <f t="shared" si="29"/>
        <v>10.344135516771349</v>
      </c>
      <c r="C37">
        <v>0.34647663808099605</v>
      </c>
      <c r="D37">
        <v>3.1342509231849114E-2</v>
      </c>
      <c r="E37">
        <v>-0.73888363292336801</v>
      </c>
      <c r="F37">
        <v>4.9653614917447353E-2</v>
      </c>
      <c r="G37">
        <v>-0.74279000213629565</v>
      </c>
      <c r="H37">
        <v>0.89434492019409761</v>
      </c>
      <c r="I37">
        <v>-0.73473311563463239</v>
      </c>
      <c r="J37">
        <v>0.12125003814813695</v>
      </c>
      <c r="K37">
        <v>-0.79961546678060247</v>
      </c>
      <c r="L37">
        <v>-0.6395153660695212</v>
      </c>
      <c r="M37">
        <v>0.67076631977294232</v>
      </c>
      <c r="N37">
        <v>0.4184392834253976</v>
      </c>
      <c r="O37">
        <v>-9.3081453901791011E-3</v>
      </c>
      <c r="P37">
        <v>0.27603991821039453</v>
      </c>
      <c r="Q37">
        <v>-0.93084505752739033</v>
      </c>
      <c r="R37">
        <v>0.77654347361674847</v>
      </c>
      <c r="S37">
        <v>-0.70873134556108286</v>
      </c>
      <c r="T37">
        <v>0.14419995727408663</v>
      </c>
      <c r="U37">
        <v>-0.52916043580431538</v>
      </c>
      <c r="V37">
        <v>-0.39677114169743954</v>
      </c>
      <c r="W37">
        <v>0.56352427747428813</v>
      </c>
      <c r="X37">
        <v>-0.47245704519791254</v>
      </c>
      <c r="Y37">
        <v>0.34977263710440387</v>
      </c>
      <c r="Z37">
        <v>-6.6835535752434172E-3</v>
      </c>
      <c r="AA37">
        <v>-2.6764732810449554E-2</v>
      </c>
      <c r="AC37" s="7">
        <v>26</v>
      </c>
      <c r="AD37">
        <f t="shared" si="4"/>
        <v>15.132012466847504</v>
      </c>
      <c r="AE37">
        <f t="shared" si="5"/>
        <v>10.777250079241904</v>
      </c>
      <c r="AF37">
        <f t="shared" si="6"/>
        <v>0.13368111368020053</v>
      </c>
      <c r="AG37">
        <f t="shared" si="7"/>
        <v>11.030286824599578</v>
      </c>
      <c r="AH37">
        <f t="shared" si="8"/>
        <v>7.9699941337230129E-2</v>
      </c>
      <c r="AI37">
        <f t="shared" si="9"/>
        <v>22.702871887949165</v>
      </c>
      <c r="AJ37">
        <f t="shared" si="10"/>
        <v>0.19103610929460579</v>
      </c>
      <c r="AK37">
        <f t="shared" si="11"/>
        <v>12.019660498948094</v>
      </c>
      <c r="AL37">
        <f t="shared" si="12"/>
        <v>-0.70555742508942565</v>
      </c>
      <c r="AM37">
        <f t="shared" si="13"/>
        <v>1.5068271851545205</v>
      </c>
      <c r="AN37">
        <f t="shared" si="14"/>
        <v>19.613293227131944</v>
      </c>
      <c r="AO37">
        <f t="shared" si="15"/>
        <v>16.126446876103174</v>
      </c>
      <c r="AP37">
        <f t="shared" si="16"/>
        <v>10.215508504547865</v>
      </c>
      <c r="AQ37">
        <f t="shared" si="17"/>
        <v>14.158664453038311</v>
      </c>
      <c r="AR37">
        <f t="shared" si="18"/>
        <v>-2.5189874334861013</v>
      </c>
      <c r="AS37">
        <f t="shared" si="19"/>
        <v>21.07500215948145</v>
      </c>
      <c r="AT37">
        <f t="shared" si="20"/>
        <v>0.55034828770250499</v>
      </c>
      <c r="AU37">
        <f t="shared" si="21"/>
        <v>12.336799886463044</v>
      </c>
      <c r="AV37">
        <f t="shared" si="22"/>
        <v>3.0317953038434462</v>
      </c>
      <c r="AW37">
        <f t="shared" si="23"/>
        <v>4.8612509727794428</v>
      </c>
      <c r="AX37">
        <f t="shared" si="24"/>
        <v>18.131341355153822</v>
      </c>
      <c r="AY37">
        <f t="shared" si="25"/>
        <v>3.8153657586343828</v>
      </c>
      <c r="AZ37">
        <f t="shared" si="26"/>
        <v>15.177559081011887</v>
      </c>
      <c r="BA37">
        <f t="shared" si="27"/>
        <v>10.251777104715798</v>
      </c>
      <c r="BB37">
        <f t="shared" si="28"/>
        <v>9.9742801406402126</v>
      </c>
      <c r="BC37" s="2">
        <f t="shared" si="30"/>
        <v>9.1867285743889813</v>
      </c>
      <c r="BD37">
        <f t="shared" si="31"/>
        <v>57.635598594827002</v>
      </c>
      <c r="BE37">
        <f t="shared" si="32"/>
        <v>7.5918112855119757</v>
      </c>
      <c r="BF37" s="12">
        <f t="shared" si="33"/>
        <v>10.35265444098348</v>
      </c>
      <c r="BG37">
        <f t="shared" si="34"/>
        <v>-1.1659258665944989</v>
      </c>
      <c r="BH37">
        <f t="shared" si="35"/>
        <v>1.3593831263941334</v>
      </c>
      <c r="BJ37" s="7">
        <v>25</v>
      </c>
      <c r="BK37">
        <f t="shared" si="36"/>
        <v>5.9645766707065917</v>
      </c>
      <c r="BL37">
        <f t="shared" si="37"/>
        <v>7.3784258636139795</v>
      </c>
      <c r="BM37">
        <f t="shared" si="38"/>
        <v>0.691001997652682</v>
      </c>
      <c r="BN37">
        <f t="shared" si="39"/>
        <v>23.204648084872094</v>
      </c>
      <c r="BO37">
        <f t="shared" si="40"/>
        <v>20.294427691086057</v>
      </c>
      <c r="BP37">
        <f t="shared" si="41"/>
        <v>2.211592091029714</v>
      </c>
      <c r="BQ37">
        <f t="shared" si="42"/>
        <v>71.141423806242784</v>
      </c>
      <c r="BR37">
        <f t="shared" si="43"/>
        <v>82.542184058908632</v>
      </c>
      <c r="BS37">
        <f t="shared" si="44"/>
        <v>160.33499527714795</v>
      </c>
      <c r="BT37">
        <f t="shared" si="45"/>
        <v>5.4212792645926626</v>
      </c>
      <c r="BU37">
        <f t="shared" si="46"/>
        <v>68.78031625101255</v>
      </c>
      <c r="BV37">
        <f t="shared" si="47"/>
        <v>34.896185378421251</v>
      </c>
      <c r="BW37">
        <f t="shared" si="48"/>
        <v>3.0164349977523305E-2</v>
      </c>
      <c r="BX37">
        <f t="shared" si="49"/>
        <v>5.0861704954413911</v>
      </c>
      <c r="BY37">
        <f t="shared" si="50"/>
        <v>41.452190538242093</v>
      </c>
      <c r="BZ37">
        <f t="shared" si="51"/>
        <v>2.0514355617080571</v>
      </c>
      <c r="CA37">
        <f t="shared" si="52"/>
        <v>72.839228385742075</v>
      </c>
      <c r="CB37">
        <f t="shared" si="53"/>
        <v>151.51420485417484</v>
      </c>
      <c r="CC37">
        <f t="shared" si="54"/>
        <v>0.9087854377425354</v>
      </c>
      <c r="CD37">
        <f t="shared" si="55"/>
        <v>105.27359099380817</v>
      </c>
      <c r="CE37">
        <f t="shared" si="56"/>
        <v>184.75439386813696</v>
      </c>
      <c r="CF37">
        <f t="shared" si="57"/>
        <v>0.46168425894427473</v>
      </c>
      <c r="CG37">
        <f t="shared" si="58"/>
        <v>131.45509234463472</v>
      </c>
      <c r="CH37">
        <f t="shared" si="59"/>
        <v>168.6578841011046</v>
      </c>
      <c r="CI37">
        <f t="shared" si="60"/>
        <v>129.23744208706523</v>
      </c>
      <c r="CJ37" s="7">
        <v>25</v>
      </c>
      <c r="CK37" s="13">
        <f t="shared" si="61"/>
        <v>10.099185851733026</v>
      </c>
      <c r="CL37">
        <f t="shared" si="62"/>
        <v>1.1715811415107291</v>
      </c>
      <c r="CM37">
        <f t="shared" si="63"/>
        <v>8.9276047102222975</v>
      </c>
      <c r="CN37">
        <f t="shared" si="64"/>
        <v>11.270766993243754</v>
      </c>
      <c r="CO37">
        <f t="shared" si="65"/>
        <v>2.3431622830214582</v>
      </c>
      <c r="CP37">
        <f t="shared" si="66"/>
        <v>7.7560235687115675</v>
      </c>
      <c r="CQ37">
        <f t="shared" si="67"/>
        <v>12.442348134754484</v>
      </c>
      <c r="CR37">
        <f t="shared" si="68"/>
        <v>3.5147434245321874</v>
      </c>
      <c r="CS37">
        <f t="shared" si="69"/>
        <v>6.5844424272008384</v>
      </c>
      <c r="CT37">
        <f t="shared" si="70"/>
        <v>13.613929276265214</v>
      </c>
    </row>
    <row r="38" spans="1:98" x14ac:dyDescent="0.25">
      <c r="A38" s="7">
        <v>27</v>
      </c>
      <c r="B38" s="9">
        <f t="shared" si="29"/>
        <v>10.635719916821108</v>
      </c>
      <c r="C38">
        <v>0.57792901394695884</v>
      </c>
      <c r="D38">
        <v>0.30185857722708831</v>
      </c>
      <c r="E38">
        <v>3.3265175328835994E-3</v>
      </c>
      <c r="F38">
        <v>0.81682790612506495</v>
      </c>
      <c r="G38">
        <v>8.5146641438031967E-3</v>
      </c>
      <c r="H38">
        <v>0.37974181340983315</v>
      </c>
      <c r="I38">
        <v>-0.10129093295083469</v>
      </c>
      <c r="J38">
        <v>-0.97076326792199463</v>
      </c>
      <c r="K38">
        <v>0.82006286812952056</v>
      </c>
      <c r="L38">
        <v>0.16464735862300484</v>
      </c>
      <c r="M38">
        <v>0.18631550035096289</v>
      </c>
      <c r="N38">
        <v>0.33695486312448497</v>
      </c>
      <c r="O38">
        <v>-0.90752891628772847</v>
      </c>
      <c r="P38">
        <v>0.64012573625904112</v>
      </c>
      <c r="Q38">
        <v>-0.75524155400250248</v>
      </c>
      <c r="R38">
        <v>0.61687063203833126</v>
      </c>
      <c r="S38">
        <v>-0.8435621204260384</v>
      </c>
      <c r="T38">
        <v>-7.1504867702261388E-2</v>
      </c>
      <c r="U38">
        <v>0.36448255867183454</v>
      </c>
      <c r="V38">
        <v>2.6032288583025531E-2</v>
      </c>
      <c r="W38">
        <v>-0.54411450544755402</v>
      </c>
      <c r="X38">
        <v>0.95312356944486831</v>
      </c>
      <c r="Y38">
        <v>-0.98937955870235295</v>
      </c>
      <c r="Z38">
        <v>0.46281319620349737</v>
      </c>
      <c r="AA38">
        <v>0.41416669209875789</v>
      </c>
      <c r="AC38" s="7">
        <v>27</v>
      </c>
      <c r="AD38">
        <f t="shared" si="4"/>
        <v>18.621981328218286</v>
      </c>
      <c r="AE38">
        <f t="shared" si="5"/>
        <v>14.807030664042394</v>
      </c>
      <c r="AF38">
        <f t="shared" si="6"/>
        <v>10.681688258894418</v>
      </c>
      <c r="AG38">
        <f t="shared" si="7"/>
        <v>21.9232673993181</v>
      </c>
      <c r="AH38">
        <f t="shared" si="8"/>
        <v>10.753382003412426</v>
      </c>
      <c r="AI38">
        <f t="shared" si="9"/>
        <v>15.883280287630377</v>
      </c>
      <c r="AJ38">
        <f t="shared" si="10"/>
        <v>9.2360049870842307</v>
      </c>
      <c r="AK38">
        <f t="shared" si="11"/>
        <v>-2.7790231383160755</v>
      </c>
      <c r="AL38">
        <f t="shared" si="12"/>
        <v>21.967970557664621</v>
      </c>
      <c r="AM38">
        <f t="shared" si="13"/>
        <v>12.910941985495542</v>
      </c>
      <c r="AN38">
        <f t="shared" si="14"/>
        <v>13.210368800835459</v>
      </c>
      <c r="AO38">
        <f t="shared" si="15"/>
        <v>15.292017759311271</v>
      </c>
      <c r="AP38">
        <f t="shared" si="16"/>
        <v>-1.9052029110142357</v>
      </c>
      <c r="AQ38">
        <f t="shared" si="17"/>
        <v>19.481462806616527</v>
      </c>
      <c r="AR38">
        <f t="shared" si="18"/>
        <v>0.19921935454376971</v>
      </c>
      <c r="AS38">
        <f t="shared" si="19"/>
        <v>19.160106140012275</v>
      </c>
      <c r="AT38">
        <f t="shared" si="20"/>
        <v>-1.0212612138980877</v>
      </c>
      <c r="AU38">
        <f t="shared" si="21"/>
        <v>9.6476114261993846</v>
      </c>
      <c r="AV38">
        <f t="shared" si="22"/>
        <v>15.672416333165646</v>
      </c>
      <c r="AW38">
        <f t="shared" si="23"/>
        <v>10.995453823137936</v>
      </c>
      <c r="AX38">
        <f t="shared" si="24"/>
        <v>3.1167330285177695</v>
      </c>
      <c r="AY38">
        <f t="shared" si="25"/>
        <v>23.806704240597064</v>
      </c>
      <c r="AZ38">
        <f t="shared" si="26"/>
        <v>-3.0362771627630458</v>
      </c>
      <c r="BA38">
        <f t="shared" si="27"/>
        <v>17.031223655736362</v>
      </c>
      <c r="BB38">
        <f t="shared" si="28"/>
        <v>16.358989368902805</v>
      </c>
      <c r="BC38" s="2">
        <f t="shared" si="30"/>
        <v>11.680643591333808</v>
      </c>
      <c r="BD38">
        <f t="shared" si="31"/>
        <v>67.61353432656729</v>
      </c>
      <c r="BE38">
        <f t="shared" si="32"/>
        <v>8.2227449386787672</v>
      </c>
      <c r="BF38" s="12">
        <f t="shared" si="33"/>
        <v>10.640756659280889</v>
      </c>
      <c r="BG38">
        <f t="shared" si="34"/>
        <v>1.0398869320529194</v>
      </c>
      <c r="BH38">
        <f t="shared" si="35"/>
        <v>1.0813648314544329</v>
      </c>
      <c r="BJ38" s="7">
        <v>26</v>
      </c>
      <c r="BK38">
        <f t="shared" si="36"/>
        <v>29.873535999906558</v>
      </c>
      <c r="BL38">
        <f t="shared" si="37"/>
        <v>8.1965761813458923E-2</v>
      </c>
      <c r="BM38">
        <f t="shared" si="38"/>
        <v>72.904585718239829</v>
      </c>
      <c r="BN38">
        <f t="shared" si="39"/>
        <v>2.8070178645515712E-3</v>
      </c>
      <c r="BO38">
        <f t="shared" si="40"/>
        <v>114.50482940607735</v>
      </c>
      <c r="BP38">
        <f t="shared" si="41"/>
        <v>155.64047928062934</v>
      </c>
      <c r="BQ38">
        <f t="shared" si="42"/>
        <v>76.672851448619127</v>
      </c>
      <c r="BR38">
        <f t="shared" si="43"/>
        <v>4.0359143740690495</v>
      </c>
      <c r="BS38">
        <f t="shared" si="44"/>
        <v>99.292432114099782</v>
      </c>
      <c r="BT38">
        <f t="shared" si="45"/>
        <v>74.084555659820211</v>
      </c>
      <c r="BU38">
        <f t="shared" si="46"/>
        <v>54.454773934629564</v>
      </c>
      <c r="BV38">
        <f t="shared" si="47"/>
        <v>35.655605528005054</v>
      </c>
      <c r="BW38">
        <f t="shared" si="48"/>
        <v>2.1274803502036073</v>
      </c>
      <c r="BX38">
        <f t="shared" si="49"/>
        <v>2.4704235564681234</v>
      </c>
      <c r="BY38">
        <f t="shared" si="50"/>
        <v>138.90468751779949</v>
      </c>
      <c r="BZ38">
        <f t="shared" si="51"/>
        <v>91.000436386196697</v>
      </c>
      <c r="CA38">
        <f t="shared" si="52"/>
        <v>63.770064539066176</v>
      </c>
      <c r="CB38">
        <f t="shared" si="53"/>
        <v>3.7771776347833659</v>
      </c>
      <c r="CC38">
        <f t="shared" si="54"/>
        <v>70.888715873992638</v>
      </c>
      <c r="CD38">
        <f t="shared" si="55"/>
        <v>24.645507977217523</v>
      </c>
      <c r="CE38">
        <f t="shared" si="56"/>
        <v>55.148268970603219</v>
      </c>
      <c r="CF38">
        <f t="shared" si="57"/>
        <v>42.374944556940932</v>
      </c>
      <c r="CG38">
        <f t="shared" si="58"/>
        <v>6.4375341817815226</v>
      </c>
      <c r="CH38">
        <f t="shared" si="59"/>
        <v>0.67333585864513601</v>
      </c>
      <c r="CI38">
        <f t="shared" si="60"/>
        <v>9.737079189030802E-2</v>
      </c>
      <c r="CJ38" s="7">
        <v>26</v>
      </c>
      <c r="CK38" s="13">
        <f t="shared" si="61"/>
        <v>10.383792465354889</v>
      </c>
      <c r="CL38">
        <f t="shared" si="62"/>
        <v>1.1585966545544759</v>
      </c>
      <c r="CM38">
        <f t="shared" si="63"/>
        <v>9.2251958108004128</v>
      </c>
      <c r="CN38">
        <f t="shared" si="64"/>
        <v>11.542389119909364</v>
      </c>
      <c r="CO38">
        <f t="shared" si="65"/>
        <v>2.3171933091089518</v>
      </c>
      <c r="CP38">
        <f t="shared" si="66"/>
        <v>8.0665991562459372</v>
      </c>
      <c r="CQ38">
        <f t="shared" si="67"/>
        <v>12.70098577446384</v>
      </c>
      <c r="CR38">
        <f t="shared" si="68"/>
        <v>3.475789963663428</v>
      </c>
      <c r="CS38">
        <f t="shared" si="69"/>
        <v>6.9080025016914606</v>
      </c>
      <c r="CT38">
        <f t="shared" si="70"/>
        <v>13.859582429018317</v>
      </c>
    </row>
    <row r="39" spans="1:98" x14ac:dyDescent="0.25">
      <c r="A39" s="7">
        <v>28</v>
      </c>
      <c r="B39" s="9">
        <f t="shared" si="29"/>
        <v>10.927304316870869</v>
      </c>
      <c r="C39">
        <v>-0.91100802636799216</v>
      </c>
      <c r="D39">
        <v>0.12149418622394492</v>
      </c>
      <c r="E39">
        <v>0.92223883785515914</v>
      </c>
      <c r="F39">
        <v>0.61723685415204321</v>
      </c>
      <c r="G39">
        <v>0.86455885494552454</v>
      </c>
      <c r="H39">
        <v>0.25376140629291655</v>
      </c>
      <c r="I39">
        <v>0.30906094546342366</v>
      </c>
      <c r="J39">
        <v>0.62541581469161045</v>
      </c>
      <c r="K39">
        <v>-0.22428052613910332</v>
      </c>
      <c r="L39">
        <v>0.38889736625263227</v>
      </c>
      <c r="M39">
        <v>0.26987517929624327</v>
      </c>
      <c r="N39">
        <v>0.72624897000030519</v>
      </c>
      <c r="O39">
        <v>0.2771385845515304</v>
      </c>
      <c r="P39">
        <v>0.21140171514023254</v>
      </c>
      <c r="Q39">
        <v>-0.39243751335184784</v>
      </c>
      <c r="R39">
        <v>-5.8076723532822672E-2</v>
      </c>
      <c r="S39">
        <v>1.0162663655506998E-2</v>
      </c>
      <c r="T39">
        <v>-0.32724997711111792</v>
      </c>
      <c r="U39">
        <v>0.84002197332682282</v>
      </c>
      <c r="V39">
        <v>0.60264900662251653</v>
      </c>
      <c r="W39">
        <v>-0.66698202459791855</v>
      </c>
      <c r="X39">
        <v>0.65251625110629607</v>
      </c>
      <c r="Y39">
        <v>0.46598712118900121</v>
      </c>
      <c r="Z39">
        <v>-0.20108645893734545</v>
      </c>
      <c r="AA39">
        <v>0.21329386272774431</v>
      </c>
      <c r="AC39" s="7">
        <v>28</v>
      </c>
      <c r="AD39">
        <f t="shared" si="4"/>
        <v>-1.6616954925824334</v>
      </c>
      <c r="AE39">
        <f t="shared" si="5"/>
        <v>12.606203122319048</v>
      </c>
      <c r="AF39">
        <f t="shared" si="6"/>
        <v>23.671499996810212</v>
      </c>
      <c r="AG39">
        <f t="shared" si="7"/>
        <v>19.456751274969193</v>
      </c>
      <c r="AH39">
        <f t="shared" si="8"/>
        <v>22.874434248933532</v>
      </c>
      <c r="AI39">
        <f t="shared" si="9"/>
        <v>14.433971879619325</v>
      </c>
      <c r="AJ39">
        <f t="shared" si="10"/>
        <v>15.198142850599508</v>
      </c>
      <c r="AK39">
        <f t="shared" si="11"/>
        <v>19.569774354562284</v>
      </c>
      <c r="AL39">
        <f t="shared" si="12"/>
        <v>7.8280259141482702</v>
      </c>
      <c r="AM39">
        <f t="shared" si="13"/>
        <v>16.301383060358972</v>
      </c>
      <c r="AN39">
        <f t="shared" si="14"/>
        <v>14.656644215534083</v>
      </c>
      <c r="AO39">
        <f t="shared" si="15"/>
        <v>20.963163365665221</v>
      </c>
      <c r="AP39">
        <f t="shared" si="16"/>
        <v>14.757015457859291</v>
      </c>
      <c r="AQ39">
        <f t="shared" si="17"/>
        <v>13.848613542025236</v>
      </c>
      <c r="AR39">
        <f t="shared" si="18"/>
        <v>5.5043051359469466</v>
      </c>
      <c r="AS39">
        <f t="shared" si="19"/>
        <v>10.124756106178106</v>
      </c>
      <c r="AT39">
        <f t="shared" si="20"/>
        <v>11.067739710544378</v>
      </c>
      <c r="AU39">
        <f t="shared" si="21"/>
        <v>6.4051159494202716</v>
      </c>
      <c r="AV39">
        <f t="shared" si="22"/>
        <v>22.535365010154248</v>
      </c>
      <c r="AW39">
        <f t="shared" si="23"/>
        <v>19.255165334500909</v>
      </c>
      <c r="AX39">
        <f t="shared" si="24"/>
        <v>1.7104408672175282</v>
      </c>
      <c r="AY39">
        <f t="shared" si="25"/>
        <v>19.944268737691647</v>
      </c>
      <c r="AZ39">
        <f t="shared" si="26"/>
        <v>17.36666775831479</v>
      </c>
      <c r="BA39">
        <f t="shared" si="27"/>
        <v>8.1485391249346595</v>
      </c>
      <c r="BB39">
        <f t="shared" si="28"/>
        <v>13.874760672378862</v>
      </c>
      <c r="BC39" s="2">
        <f t="shared" si="30"/>
        <v>14.017642087924163</v>
      </c>
      <c r="BD39">
        <f t="shared" si="31"/>
        <v>44.197634886401453</v>
      </c>
      <c r="BE39">
        <f t="shared" si="32"/>
        <v>6.6481301797122967</v>
      </c>
      <c r="BF39" s="12">
        <f t="shared" si="33"/>
        <v>10.9288588775783</v>
      </c>
      <c r="BG39">
        <f t="shared" si="34"/>
        <v>3.0887832103458628</v>
      </c>
      <c r="BH39">
        <f t="shared" si="35"/>
        <v>9.5405817205144938</v>
      </c>
      <c r="BJ39" s="7">
        <v>27</v>
      </c>
      <c r="BK39">
        <f t="shared" si="36"/>
        <v>74.433067758030617</v>
      </c>
      <c r="BL39">
        <f t="shared" si="37"/>
        <v>11.805781047967905</v>
      </c>
      <c r="BM39">
        <f t="shared" si="38"/>
        <v>2.9440399824725128</v>
      </c>
      <c r="BN39">
        <f t="shared" si="39"/>
        <v>114.80857256640299</v>
      </c>
      <c r="BO39">
        <f t="shared" si="40"/>
        <v>7.0812498687227859E-2</v>
      </c>
      <c r="BP39">
        <f t="shared" si="41"/>
        <v>29.105525988497526</v>
      </c>
      <c r="BQ39">
        <f t="shared" si="42"/>
        <v>3.1681460264683771E-4</v>
      </c>
      <c r="BR39">
        <f t="shared" si="43"/>
        <v>170.43055234781994</v>
      </c>
      <c r="BS39">
        <f t="shared" si="44"/>
        <v>152.59299560609492</v>
      </c>
      <c r="BT39">
        <f t="shared" si="45"/>
        <v>6.5445489038699609</v>
      </c>
      <c r="BU39">
        <f t="shared" si="46"/>
        <v>0.46275829023599885</v>
      </c>
      <c r="BV39">
        <f t="shared" si="47"/>
        <v>23.387693947774341</v>
      </c>
      <c r="BW39">
        <f t="shared" si="48"/>
        <v>120.97640732138446</v>
      </c>
      <c r="BX39">
        <f t="shared" si="49"/>
        <v>43.591443425543595</v>
      </c>
      <c r="BY39">
        <f t="shared" si="50"/>
        <v>87.775413000852481</v>
      </c>
      <c r="BZ39">
        <f t="shared" si="51"/>
        <v>55.43009529547993</v>
      </c>
      <c r="CA39">
        <f t="shared" si="52"/>
        <v>96.304793784819211</v>
      </c>
      <c r="CB39">
        <f t="shared" si="53"/>
        <v>1.1910826240445305</v>
      </c>
      <c r="CC39">
        <f t="shared" si="54"/>
        <v>15.361704772395811</v>
      </c>
      <c r="CD39">
        <f t="shared" si="55"/>
        <v>0.75882896140273104</v>
      </c>
      <c r="CE39">
        <f t="shared" si="56"/>
        <v>62.818993133608764</v>
      </c>
      <c r="CF39">
        <f t="shared" si="57"/>
        <v>173.1312492720273</v>
      </c>
      <c r="CG39">
        <f t="shared" si="58"/>
        <v>254.15441468339085</v>
      </c>
      <c r="CH39">
        <f t="shared" si="59"/>
        <v>31.841166404906925</v>
      </c>
      <c r="CI39">
        <f t="shared" si="60"/>
        <v>33.57947624944952</v>
      </c>
      <c r="CJ39" s="7">
        <v>27</v>
      </c>
      <c r="CK39" s="13">
        <f t="shared" si="61"/>
        <v>10.66839907897675</v>
      </c>
      <c r="CL39">
        <f t="shared" si="62"/>
        <v>1.1477772215323048</v>
      </c>
      <c r="CM39">
        <f t="shared" si="63"/>
        <v>9.5206218574444446</v>
      </c>
      <c r="CN39">
        <f t="shared" si="64"/>
        <v>11.816176300509055</v>
      </c>
      <c r="CO39">
        <f t="shared" si="65"/>
        <v>2.2955544430646095</v>
      </c>
      <c r="CP39">
        <f t="shared" si="66"/>
        <v>8.3728446359121396</v>
      </c>
      <c r="CQ39">
        <f t="shared" si="67"/>
        <v>12.96395352204136</v>
      </c>
      <c r="CR39">
        <f t="shared" si="68"/>
        <v>3.4433316645969141</v>
      </c>
      <c r="CS39">
        <f t="shared" si="69"/>
        <v>7.2250674143798355</v>
      </c>
      <c r="CT39">
        <f t="shared" si="70"/>
        <v>14.111730743573663</v>
      </c>
    </row>
    <row r="40" spans="1:98" x14ac:dyDescent="0.25">
      <c r="A40" s="7">
        <v>29</v>
      </c>
      <c r="B40" s="9">
        <f t="shared" si="29"/>
        <v>11.218888716920628</v>
      </c>
      <c r="C40">
        <v>0.53007599108859527</v>
      </c>
      <c r="D40">
        <v>-0.49949644459364606</v>
      </c>
      <c r="E40">
        <v>2.5482955412457597E-2</v>
      </c>
      <c r="F40">
        <v>-0.45329142124698629</v>
      </c>
      <c r="G40">
        <v>0.47880489516891989</v>
      </c>
      <c r="H40">
        <v>-0.15744499038666948</v>
      </c>
      <c r="I40">
        <v>0.32895901364177371</v>
      </c>
      <c r="J40">
        <v>0.96380504776146725</v>
      </c>
      <c r="K40">
        <v>0.29544969023712886</v>
      </c>
      <c r="L40">
        <v>-0.9634388256477554</v>
      </c>
      <c r="M40">
        <v>0.27207251197851501</v>
      </c>
      <c r="N40">
        <v>0.18778038880581072</v>
      </c>
      <c r="O40">
        <v>0.57695242164372695</v>
      </c>
      <c r="P40">
        <v>0.99188207647938476</v>
      </c>
      <c r="Q40">
        <v>2.6398510696737487E-2</v>
      </c>
      <c r="R40">
        <v>5.4628131962035642E-3</v>
      </c>
      <c r="S40">
        <v>5.7710501419110605E-2</v>
      </c>
      <c r="T40">
        <v>-0.77910702841273238</v>
      </c>
      <c r="U40">
        <v>0.90716269417401652</v>
      </c>
      <c r="V40">
        <v>-8.621478926969206E-2</v>
      </c>
      <c r="W40">
        <v>0.91955320902127147</v>
      </c>
      <c r="X40">
        <v>0.15994750816370118</v>
      </c>
      <c r="Y40">
        <v>-0.33896908474990084</v>
      </c>
      <c r="Z40">
        <v>0.50523392437513359</v>
      </c>
      <c r="AA40">
        <v>-0.11362041077913754</v>
      </c>
      <c r="AC40" s="7">
        <v>29</v>
      </c>
      <c r="AD40">
        <f t="shared" si="4"/>
        <v>18.543880767116413</v>
      </c>
      <c r="AE40">
        <f t="shared" si="5"/>
        <v>4.3164680314721604</v>
      </c>
      <c r="AF40">
        <f t="shared" si="6"/>
        <v>11.571031520876726</v>
      </c>
      <c r="AG40">
        <f t="shared" si="7"/>
        <v>4.9549640855913628</v>
      </c>
      <c r="AH40">
        <f t="shared" si="8"/>
        <v>17.835377880114919</v>
      </c>
      <c r="AI40">
        <f t="shared" si="9"/>
        <v>9.0431944347535449</v>
      </c>
      <c r="AJ40">
        <f t="shared" si="10"/>
        <v>15.764693847271273</v>
      </c>
      <c r="AK40">
        <f t="shared" si="11"/>
        <v>24.537477808821894</v>
      </c>
      <c r="AL40">
        <f t="shared" si="12"/>
        <v>15.301636603266727</v>
      </c>
      <c r="AM40">
        <f t="shared" si="13"/>
        <v>-2.0946396400734866</v>
      </c>
      <c r="AN40">
        <f t="shared" si="14"/>
        <v>14.978593025026761</v>
      </c>
      <c r="AO40">
        <f t="shared" si="15"/>
        <v>13.813780540563593</v>
      </c>
      <c r="AP40">
        <f t="shared" si="16"/>
        <v>19.191654835232065</v>
      </c>
      <c r="AQ40">
        <f t="shared" si="17"/>
        <v>24.925467485036997</v>
      </c>
      <c r="AR40">
        <f t="shared" si="18"/>
        <v>11.58368335814461</v>
      </c>
      <c r="AS40">
        <f t="shared" si="19"/>
        <v>11.294378012619001</v>
      </c>
      <c r="AT40">
        <f t="shared" si="20"/>
        <v>12.016376192706234</v>
      </c>
      <c r="AU40">
        <f t="shared" si="21"/>
        <v>0.45259692986044975</v>
      </c>
      <c r="AV40">
        <f t="shared" si="22"/>
        <v>23.754750809848815</v>
      </c>
      <c r="AW40">
        <f t="shared" si="23"/>
        <v>10.027507374194904</v>
      </c>
      <c r="AX40">
        <f t="shared" si="24"/>
        <v>23.925972340874178</v>
      </c>
      <c r="AY40">
        <f t="shared" si="25"/>
        <v>13.429164687619924</v>
      </c>
      <c r="AZ40">
        <f t="shared" si="26"/>
        <v>6.5347568324411185</v>
      </c>
      <c r="BA40">
        <f t="shared" si="27"/>
        <v>18.200594249247835</v>
      </c>
      <c r="BB40">
        <f t="shared" si="28"/>
        <v>9.6487957119762484</v>
      </c>
      <c r="BC40" s="2">
        <f t="shared" si="30"/>
        <v>13.342086308984172</v>
      </c>
      <c r="BD40">
        <f t="shared" si="31"/>
        <v>52.312709805335508</v>
      </c>
      <c r="BE40">
        <f t="shared" si="32"/>
        <v>7.2327525745967218</v>
      </c>
      <c r="BF40" s="12">
        <f t="shared" si="33"/>
        <v>11.216961095875707</v>
      </c>
      <c r="BG40">
        <f t="shared" si="34"/>
        <v>2.1251252131084648</v>
      </c>
      <c r="BH40">
        <f t="shared" si="35"/>
        <v>4.5161571713892981</v>
      </c>
      <c r="BJ40" s="7">
        <v>28</v>
      </c>
      <c r="BK40">
        <f t="shared" si="36"/>
        <v>143.62570761028081</v>
      </c>
      <c r="BL40">
        <f t="shared" si="37"/>
        <v>0.86043590317014129</v>
      </c>
      <c r="BM40">
        <f t="shared" si="38"/>
        <v>207.70181849071679</v>
      </c>
      <c r="BN40">
        <f t="shared" si="39"/>
        <v>65.986980216726494</v>
      </c>
      <c r="BO40">
        <f t="shared" si="40"/>
        <v>134.92798899969696</v>
      </c>
      <c r="BP40">
        <f t="shared" si="41"/>
        <v>13.576242885776614</v>
      </c>
      <c r="BQ40">
        <f t="shared" si="42"/>
        <v>32.593492658191522</v>
      </c>
      <c r="BR40">
        <f t="shared" si="43"/>
        <v>81.51764044793434</v>
      </c>
      <c r="BS40">
        <f t="shared" si="44"/>
        <v>4.5933334058316317</v>
      </c>
      <c r="BT40">
        <f t="shared" si="45"/>
        <v>32.604420107037122</v>
      </c>
      <c r="BU40">
        <f t="shared" si="46"/>
        <v>3.3502866892929912</v>
      </c>
      <c r="BV40">
        <f t="shared" si="47"/>
        <v>104.17281028174334</v>
      </c>
      <c r="BW40">
        <f t="shared" si="48"/>
        <v>28.371455230870676</v>
      </c>
      <c r="BX40">
        <f t="shared" si="49"/>
        <v>0.45881327458437515</v>
      </c>
      <c r="BY40">
        <f t="shared" si="50"/>
        <v>19.053612761781899</v>
      </c>
      <c r="BZ40">
        <f t="shared" si="51"/>
        <v>3.1314516890375121</v>
      </c>
      <c r="CA40">
        <f t="shared" si="52"/>
        <v>4.0772710274100028</v>
      </c>
      <c r="CB40">
        <f t="shared" si="53"/>
        <v>21.898074897906536</v>
      </c>
      <c r="CC40">
        <f t="shared" si="54"/>
        <v>109.84451658661446</v>
      </c>
      <c r="CD40">
        <f t="shared" si="55"/>
        <v>78.00685033024925</v>
      </c>
      <c r="CE40">
        <f t="shared" si="56"/>
        <v>93.50036403660431</v>
      </c>
      <c r="CF40">
        <f t="shared" si="57"/>
        <v>80.491395885846259</v>
      </c>
      <c r="CG40">
        <f t="shared" si="58"/>
        <v>17.598941784302646</v>
      </c>
      <c r="CH40">
        <f t="shared" si="59"/>
        <v>12.644888092961068</v>
      </c>
      <c r="CI40">
        <f t="shared" si="60"/>
        <v>9.1970580984209338</v>
      </c>
      <c r="CJ40" s="7">
        <v>28</v>
      </c>
      <c r="CK40" s="13">
        <f t="shared" si="61"/>
        <v>10.953005692598612</v>
      </c>
      <c r="CL40">
        <f t="shared" si="62"/>
        <v>1.1391845320729941</v>
      </c>
      <c r="CM40">
        <f t="shared" si="63"/>
        <v>9.8138211605256185</v>
      </c>
      <c r="CN40">
        <f t="shared" si="64"/>
        <v>12.092190224671606</v>
      </c>
      <c r="CO40">
        <f t="shared" si="65"/>
        <v>2.2783690641459882</v>
      </c>
      <c r="CP40">
        <f t="shared" si="66"/>
        <v>8.6746366284526246</v>
      </c>
      <c r="CQ40">
        <f t="shared" si="67"/>
        <v>13.2313747567446</v>
      </c>
      <c r="CR40">
        <f t="shared" si="68"/>
        <v>3.4175535962189825</v>
      </c>
      <c r="CS40">
        <f t="shared" si="69"/>
        <v>7.5354520963796299</v>
      </c>
      <c r="CT40">
        <f t="shared" si="70"/>
        <v>14.370559288817596</v>
      </c>
    </row>
    <row r="41" spans="1:98" x14ac:dyDescent="0.25">
      <c r="A41" s="7">
        <v>30</v>
      </c>
      <c r="B41" s="9">
        <f t="shared" si="29"/>
        <v>11.510473116970388</v>
      </c>
      <c r="C41">
        <v>-0.86596270638142037</v>
      </c>
      <c r="D41">
        <v>0.82171086764122436</v>
      </c>
      <c r="E41">
        <v>-0.3469649342326121</v>
      </c>
      <c r="F41">
        <v>-8.2918790246284346E-2</v>
      </c>
      <c r="G41">
        <v>0.52952665791802733</v>
      </c>
      <c r="H41">
        <v>0.44254890591143536</v>
      </c>
      <c r="I41">
        <v>0.56089968565935244</v>
      </c>
      <c r="J41">
        <v>0.30814539017914355</v>
      </c>
      <c r="K41">
        <v>0.73491622669148837</v>
      </c>
      <c r="L41">
        <v>-0.47764519180883203</v>
      </c>
      <c r="M41">
        <v>0.73735770744956808</v>
      </c>
      <c r="N41">
        <v>1.9257179479354125E-2</v>
      </c>
      <c r="O41">
        <v>-0.58470412305063024</v>
      </c>
      <c r="P41">
        <v>0.43412579729606016</v>
      </c>
      <c r="Q41">
        <v>-4.0925321207312182E-2</v>
      </c>
      <c r="R41">
        <v>3.3722952970976827E-2</v>
      </c>
      <c r="S41">
        <v>-0.31955931272316662</v>
      </c>
      <c r="T41">
        <v>0.67027802362132638</v>
      </c>
      <c r="U41">
        <v>0.28495132297738568</v>
      </c>
      <c r="V41">
        <v>-0.43321024201178016</v>
      </c>
      <c r="W41">
        <v>0.70970793786431474</v>
      </c>
      <c r="X41">
        <v>-0.78301339762565991</v>
      </c>
      <c r="Y41">
        <v>0.18289742728965108</v>
      </c>
      <c r="Z41">
        <v>-6.5950498977629946E-2</v>
      </c>
      <c r="AA41">
        <v>-0.60307626575518047</v>
      </c>
      <c r="AC41" s="7">
        <v>30</v>
      </c>
      <c r="AD41">
        <f t="shared" si="4"/>
        <v>-0.45605629890303057</v>
      </c>
      <c r="AE41">
        <f t="shared" si="5"/>
        <v>22.86549706489609</v>
      </c>
      <c r="AF41">
        <f t="shared" si="6"/>
        <v>6.7158485203513605</v>
      </c>
      <c r="AG41">
        <f t="shared" si="7"/>
        <v>10.364638388409046</v>
      </c>
      <c r="AH41">
        <f t="shared" si="8"/>
        <v>18.827874064805442</v>
      </c>
      <c r="AI41">
        <f t="shared" si="9"/>
        <v>17.625949524356486</v>
      </c>
      <c r="AJ41">
        <f t="shared" si="10"/>
        <v>19.261410355184928</v>
      </c>
      <c r="AK41">
        <f t="shared" si="11"/>
        <v>15.768659813431142</v>
      </c>
      <c r="AL41">
        <f t="shared" si="12"/>
        <v>21.666102891900707</v>
      </c>
      <c r="AM41">
        <f t="shared" si="13"/>
        <v>4.910009614315415</v>
      </c>
      <c r="AN41">
        <f t="shared" si="14"/>
        <v>21.699841124615062</v>
      </c>
      <c r="AO41">
        <f t="shared" si="15"/>
        <v>11.776583427504876</v>
      </c>
      <c r="AP41">
        <f t="shared" si="16"/>
        <v>3.4305881097908699</v>
      </c>
      <c r="AQ41">
        <f t="shared" si="17"/>
        <v>17.509552621491956</v>
      </c>
      <c r="AR41">
        <f t="shared" si="18"/>
        <v>10.944935991095983</v>
      </c>
      <c r="AS41">
        <f t="shared" si="19"/>
        <v>11.97648245633744</v>
      </c>
      <c r="AT41">
        <f t="shared" si="20"/>
        <v>7.0945601825700155</v>
      </c>
      <c r="AU41">
        <f t="shared" si="21"/>
        <v>20.772883180788114</v>
      </c>
      <c r="AV41">
        <f t="shared" si="22"/>
        <v>15.448146602644751</v>
      </c>
      <c r="AW41">
        <f t="shared" si="23"/>
        <v>5.5240454497167075</v>
      </c>
      <c r="AX41">
        <f t="shared" si="24"/>
        <v>21.317755639124975</v>
      </c>
      <c r="AY41">
        <f t="shared" si="25"/>
        <v>0.69020015756724185</v>
      </c>
      <c r="AZ41">
        <f t="shared" si="26"/>
        <v>14.037888475184639</v>
      </c>
      <c r="BA41">
        <f t="shared" si="27"/>
        <v>10.599119105773825</v>
      </c>
      <c r="BB41">
        <f t="shared" si="28"/>
        <v>3.1767079086153363</v>
      </c>
      <c r="BC41" s="2">
        <f t="shared" si="30"/>
        <v>12.541968974862773</v>
      </c>
      <c r="BD41">
        <f t="shared" si="31"/>
        <v>51.581769529671909</v>
      </c>
      <c r="BE41">
        <f t="shared" si="32"/>
        <v>7.1820449406608358</v>
      </c>
      <c r="BF41" s="12">
        <f t="shared" si="33"/>
        <v>11.505063314173118</v>
      </c>
      <c r="BG41">
        <f t="shared" si="34"/>
        <v>1.036905660689655</v>
      </c>
      <c r="BH41">
        <f t="shared" si="35"/>
        <v>1.0751733491702498</v>
      </c>
      <c r="BJ41" s="7">
        <v>29</v>
      </c>
      <c r="BK41">
        <f t="shared" si="36"/>
        <v>62.299517018875825</v>
      </c>
      <c r="BL41">
        <f t="shared" si="37"/>
        <v>58.823807714724438</v>
      </c>
      <c r="BM41">
        <f t="shared" si="38"/>
        <v>4.0708183427461462</v>
      </c>
      <c r="BN41">
        <f t="shared" si="39"/>
        <v>42.297764918612856</v>
      </c>
      <c r="BO41">
        <f t="shared" si="40"/>
        <v>40.166429824266707</v>
      </c>
      <c r="BP41">
        <f t="shared" si="41"/>
        <v>3.8700021002218703</v>
      </c>
      <c r="BQ41">
        <f t="shared" si="42"/>
        <v>36.057094828342962</v>
      </c>
      <c r="BR41">
        <f t="shared" si="43"/>
        <v>188.54682196681117</v>
      </c>
      <c r="BS41">
        <f t="shared" si="44"/>
        <v>24.743550198777804</v>
      </c>
      <c r="BT41">
        <f t="shared" si="45"/>
        <v>167.04630133631724</v>
      </c>
      <c r="BU41">
        <f t="shared" si="46"/>
        <v>3.4453584280312919</v>
      </c>
      <c r="BV41">
        <f t="shared" si="47"/>
        <v>7.5977714548928645</v>
      </c>
      <c r="BW41">
        <f t="shared" si="48"/>
        <v>88.817825561820143</v>
      </c>
      <c r="BX41">
        <f t="shared" si="49"/>
        <v>131.37828520028665</v>
      </c>
      <c r="BY41">
        <f t="shared" si="50"/>
        <v>1.9967299495146444</v>
      </c>
      <c r="BZ41">
        <f t="shared" si="51"/>
        <v>0.60738447159544817</v>
      </c>
      <c r="CA41">
        <f t="shared" si="52"/>
        <v>7.3527032560543129</v>
      </c>
      <c r="CB41">
        <f t="shared" si="53"/>
        <v>120.51060011559103</v>
      </c>
      <c r="CC41">
        <f t="shared" si="54"/>
        <v>129.92313521511113</v>
      </c>
      <c r="CD41">
        <f t="shared" si="55"/>
        <v>0.48188587513573811</v>
      </c>
      <c r="CE41">
        <f t="shared" si="56"/>
        <v>149.04868704473427</v>
      </c>
      <c r="CF41">
        <f t="shared" si="57"/>
        <v>4.5488190095181036</v>
      </c>
      <c r="CG41">
        <f t="shared" si="58"/>
        <v>47.643349035139224</v>
      </c>
      <c r="CH41">
        <f t="shared" si="59"/>
        <v>38.192543677256587</v>
      </c>
      <c r="CI41">
        <f t="shared" si="60"/>
        <v>2.1643882136145955</v>
      </c>
      <c r="CJ41" s="7">
        <v>29</v>
      </c>
      <c r="CK41" s="13">
        <f t="shared" si="61"/>
        <v>11.237612306220473</v>
      </c>
      <c r="CL41">
        <f t="shared" si="62"/>
        <v>1.1328692561291749</v>
      </c>
      <c r="CM41">
        <f t="shared" si="63"/>
        <v>10.104743050091299</v>
      </c>
      <c r="CN41">
        <f t="shared" si="64"/>
        <v>12.370481562349648</v>
      </c>
      <c r="CO41">
        <f t="shared" si="65"/>
        <v>2.2657385122583498</v>
      </c>
      <c r="CP41">
        <f t="shared" si="66"/>
        <v>8.9718737939621231</v>
      </c>
      <c r="CQ41">
        <f t="shared" si="67"/>
        <v>13.503350818478824</v>
      </c>
      <c r="CR41">
        <f t="shared" si="68"/>
        <v>3.3986077683875244</v>
      </c>
      <c r="CS41">
        <f t="shared" si="69"/>
        <v>7.8390045378329489</v>
      </c>
      <c r="CT41">
        <f t="shared" si="70"/>
        <v>14.636220074607998</v>
      </c>
    </row>
    <row r="42" spans="1:98" x14ac:dyDescent="0.25">
      <c r="A42" s="7">
        <v>31</v>
      </c>
      <c r="B42" s="9">
        <f t="shared" si="29"/>
        <v>11.802057517020147</v>
      </c>
      <c r="C42">
        <v>-0.12997833185827201</v>
      </c>
      <c r="D42">
        <v>-0.1667226172673727</v>
      </c>
      <c r="E42">
        <v>0.89263588366344182</v>
      </c>
      <c r="F42">
        <v>0.57750175481429489</v>
      </c>
      <c r="G42">
        <v>0.80419324320200203</v>
      </c>
      <c r="H42">
        <v>-0.33024079103976567</v>
      </c>
      <c r="I42">
        <v>-0.73290200506607261</v>
      </c>
      <c r="J42">
        <v>0.39939573351237523</v>
      </c>
      <c r="K42">
        <v>0.70915860469374681</v>
      </c>
      <c r="L42">
        <v>-0.77825251014740437</v>
      </c>
      <c r="M42">
        <v>0.67381817072054195</v>
      </c>
      <c r="N42">
        <v>0.40171514023255095</v>
      </c>
      <c r="O42">
        <v>0.80468153935361797</v>
      </c>
      <c r="P42">
        <v>0.31931516464735865</v>
      </c>
      <c r="Q42">
        <v>0.15445417645802184</v>
      </c>
      <c r="R42">
        <v>0.86248359630115656</v>
      </c>
      <c r="S42">
        <v>-0.95336771752067628</v>
      </c>
      <c r="T42">
        <v>-0.27536851100192261</v>
      </c>
      <c r="U42">
        <v>0.53300576799829091</v>
      </c>
      <c r="V42">
        <v>0.97857600634784991</v>
      </c>
      <c r="W42">
        <v>-0.16251106295968509</v>
      </c>
      <c r="X42">
        <v>-0.74889370403149513</v>
      </c>
      <c r="Y42">
        <v>0.30759605700857562</v>
      </c>
      <c r="Z42">
        <v>0.44035157322916341</v>
      </c>
      <c r="AA42">
        <v>-0.44755394146549887</v>
      </c>
      <c r="AC42" s="7">
        <v>31</v>
      </c>
      <c r="AD42">
        <f t="shared" si="4"/>
        <v>10.005918352889578</v>
      </c>
      <c r="AE42">
        <f t="shared" si="5"/>
        <v>9.4981579505385092</v>
      </c>
      <c r="AF42">
        <f t="shared" si="6"/>
        <v>24.137177125297914</v>
      </c>
      <c r="AG42">
        <f t="shared" si="7"/>
        <v>19.782414737692314</v>
      </c>
      <c r="AH42">
        <f t="shared" si="8"/>
        <v>22.915009645220341</v>
      </c>
      <c r="AI42">
        <f t="shared" si="9"/>
        <v>7.2385398144944633</v>
      </c>
      <c r="AJ42">
        <f t="shared" si="10"/>
        <v>1.6742617840791709</v>
      </c>
      <c r="AK42">
        <f t="shared" si="11"/>
        <v>17.321210661179986</v>
      </c>
      <c r="AL42">
        <f t="shared" si="12"/>
        <v>21.601748936814005</v>
      </c>
      <c r="AM42">
        <f t="shared" si="13"/>
        <v>1.047574111409995</v>
      </c>
      <c r="AN42">
        <f t="shared" si="14"/>
        <v>21.113388018273689</v>
      </c>
      <c r="AO42">
        <f t="shared" si="15"/>
        <v>17.353261982258623</v>
      </c>
      <c r="AP42">
        <f t="shared" si="16"/>
        <v>22.92175729176321</v>
      </c>
      <c r="AQ42">
        <f t="shared" si="17"/>
        <v>16.214596628149085</v>
      </c>
      <c r="AR42">
        <f t="shared" si="18"/>
        <v>13.936422464112143</v>
      </c>
      <c r="AS42">
        <f t="shared" si="19"/>
        <v>23.720509951275609</v>
      </c>
      <c r="AT42">
        <f t="shared" si="20"/>
        <v>-1.3723006300272438</v>
      </c>
      <c r="AU42">
        <f t="shared" si="21"/>
        <v>7.996806594749633</v>
      </c>
      <c r="AV42">
        <f t="shared" si="22"/>
        <v>19.16753544647316</v>
      </c>
      <c r="AW42">
        <f t="shared" si="23"/>
        <v>25.32476291684327</v>
      </c>
      <c r="AX42">
        <f t="shared" si="24"/>
        <v>9.5563564019707741</v>
      </c>
      <c r="AY42">
        <f t="shared" si="25"/>
        <v>1.4532763598001353</v>
      </c>
      <c r="AZ42">
        <f t="shared" si="26"/>
        <v>16.052653111120172</v>
      </c>
      <c r="BA42">
        <f t="shared" si="27"/>
        <v>17.887169514963318</v>
      </c>
      <c r="BB42">
        <f t="shared" si="28"/>
        <v>5.6174177325696197</v>
      </c>
      <c r="BC42" s="2">
        <f t="shared" si="30"/>
        <v>14.086625076156459</v>
      </c>
      <c r="BD42">
        <f t="shared" si="31"/>
        <v>67.534479873001786</v>
      </c>
      <c r="BE42">
        <f t="shared" si="32"/>
        <v>8.217936472923224</v>
      </c>
      <c r="BF42" s="12">
        <f t="shared" si="33"/>
        <v>11.793165532470528</v>
      </c>
      <c r="BG42">
        <f t="shared" si="34"/>
        <v>2.2934595436859304</v>
      </c>
      <c r="BH42">
        <f t="shared" si="35"/>
        <v>5.2599566785240759</v>
      </c>
      <c r="BJ42" s="7">
        <v>30</v>
      </c>
      <c r="BK42">
        <f t="shared" si="36"/>
        <v>130.76174921302524</v>
      </c>
      <c r="BL42">
        <f t="shared" si="37"/>
        <v>111.76361530368743</v>
      </c>
      <c r="BM42">
        <f t="shared" si="38"/>
        <v>9.8051932346214397</v>
      </c>
      <c r="BN42">
        <f t="shared" si="39"/>
        <v>1.4862582897871472</v>
      </c>
      <c r="BO42">
        <f t="shared" si="40"/>
        <v>50.283698914507077</v>
      </c>
      <c r="BP42">
        <f t="shared" si="41"/>
        <v>40.379327149641753</v>
      </c>
      <c r="BQ42">
        <f t="shared" si="42"/>
        <v>85.204095630689736</v>
      </c>
      <c r="BR42">
        <f t="shared" si="43"/>
        <v>22.064036196927344</v>
      </c>
      <c r="BS42">
        <f t="shared" si="44"/>
        <v>120.61837620670198</v>
      </c>
      <c r="BT42">
        <f t="shared" si="45"/>
        <v>37.928781353308857</v>
      </c>
      <c r="BU42">
        <f t="shared" si="46"/>
        <v>68.579197579241324</v>
      </c>
      <c r="BV42">
        <f t="shared" si="47"/>
        <v>0.17513266123762397</v>
      </c>
      <c r="BW42">
        <f t="shared" si="48"/>
        <v>44.536274695342293</v>
      </c>
      <c r="BX42">
        <f t="shared" si="49"/>
        <v>14.092118198460996</v>
      </c>
      <c r="BY42">
        <f t="shared" si="50"/>
        <v>0.22375996519109695</v>
      </c>
      <c r="BZ42">
        <f t="shared" si="51"/>
        <v>7.6520911599853442E-2</v>
      </c>
      <c r="CA42">
        <f t="shared" si="52"/>
        <v>6.083642680311776</v>
      </c>
      <c r="CB42">
        <f t="shared" si="53"/>
        <v>80.943834281032167</v>
      </c>
      <c r="CC42">
        <f t="shared" si="54"/>
        <v>7.7846721337994973</v>
      </c>
      <c r="CD42">
        <f t="shared" si="55"/>
        <v>30.209452741132033</v>
      </c>
      <c r="CE42">
        <f t="shared" si="56"/>
        <v>85.80150083771575</v>
      </c>
      <c r="CF42">
        <f t="shared" si="57"/>
        <v>119.46420250009454</v>
      </c>
      <c r="CG42">
        <f t="shared" si="58"/>
        <v>0.11229264772344043</v>
      </c>
      <c r="CH42">
        <f t="shared" si="59"/>
        <v>3.0190517736441973</v>
      </c>
      <c r="CI42">
        <f t="shared" si="60"/>
        <v>67.587471766506525</v>
      </c>
      <c r="CJ42" s="7">
        <v>30</v>
      </c>
      <c r="CK42" s="13">
        <f t="shared" si="61"/>
        <v>11.522218919842334</v>
      </c>
      <c r="CL42">
        <f t="shared" si="62"/>
        <v>1.1288696161972505</v>
      </c>
      <c r="CM42">
        <f t="shared" si="63"/>
        <v>10.393349303645085</v>
      </c>
      <c r="CN42">
        <f t="shared" si="64"/>
        <v>12.651088536039584</v>
      </c>
      <c r="CO42">
        <f t="shared" si="65"/>
        <v>2.2577392323945009</v>
      </c>
      <c r="CP42">
        <f t="shared" si="66"/>
        <v>9.2644796874478335</v>
      </c>
      <c r="CQ42">
        <f t="shared" si="67"/>
        <v>13.779958152236835</v>
      </c>
      <c r="CR42">
        <f t="shared" si="68"/>
        <v>3.3866088485917514</v>
      </c>
      <c r="CS42">
        <f t="shared" si="69"/>
        <v>8.1356100712505821</v>
      </c>
      <c r="CT42">
        <f t="shared" si="70"/>
        <v>14.908827768434087</v>
      </c>
    </row>
    <row r="43" spans="1:98" x14ac:dyDescent="0.25">
      <c r="A43" s="7">
        <v>32</v>
      </c>
      <c r="B43" s="9">
        <f t="shared" si="29"/>
        <v>12.093641917069908</v>
      </c>
      <c r="C43">
        <v>0.4337595751823482</v>
      </c>
      <c r="D43">
        <v>-0.11014130069887385</v>
      </c>
      <c r="E43">
        <v>-3.7018951994384541E-2</v>
      </c>
      <c r="F43">
        <v>-0.80437635425885801</v>
      </c>
      <c r="G43">
        <v>-0.18753624073000275</v>
      </c>
      <c r="H43">
        <v>4.7914059877316451E-3</v>
      </c>
      <c r="I43">
        <v>-0.66252632221442309</v>
      </c>
      <c r="J43">
        <v>0.49638355662709444</v>
      </c>
      <c r="K43">
        <v>-0.10855433820612204</v>
      </c>
      <c r="L43">
        <v>-0.93719290749839779</v>
      </c>
      <c r="M43">
        <v>0.56389049958800008</v>
      </c>
      <c r="N43">
        <v>0.76042970061342197</v>
      </c>
      <c r="O43">
        <v>-0.16354869228186897</v>
      </c>
      <c r="P43">
        <v>-0.68254646443067712</v>
      </c>
      <c r="Q43">
        <v>0.62858973967711407</v>
      </c>
      <c r="R43">
        <v>0.78698080385753966</v>
      </c>
      <c r="S43">
        <v>0.97326578569902655</v>
      </c>
      <c r="T43">
        <v>0.62053285317545082</v>
      </c>
      <c r="U43">
        <v>-0.51066621906186094</v>
      </c>
      <c r="V43">
        <v>-0.83489486373485522</v>
      </c>
      <c r="W43">
        <v>-0.85070345164342176</v>
      </c>
      <c r="X43">
        <v>-0.41306802575762203</v>
      </c>
      <c r="Y43">
        <v>-0.17099520859401229</v>
      </c>
      <c r="Z43">
        <v>-0.73906674398022398</v>
      </c>
      <c r="AA43">
        <v>-0.97924741355632194</v>
      </c>
      <c r="AC43" s="7">
        <v>32</v>
      </c>
      <c r="AD43">
        <f t="shared" si="4"/>
        <v>18.08766068668432</v>
      </c>
      <c r="AE43">
        <f t="shared" si="5"/>
        <v>10.571625893743487</v>
      </c>
      <c r="AF43">
        <f t="shared" si="6"/>
        <v>11.582085963538473</v>
      </c>
      <c r="AG43">
        <f t="shared" si="7"/>
        <v>0.9781594214161391</v>
      </c>
      <c r="AH43">
        <f t="shared" si="8"/>
        <v>9.5021239166983786</v>
      </c>
      <c r="AI43">
        <f t="shared" si="9"/>
        <v>12.159853198771835</v>
      </c>
      <c r="AJ43">
        <f t="shared" si="10"/>
        <v>2.9383507421202673</v>
      </c>
      <c r="AK43">
        <f t="shared" si="11"/>
        <v>18.953046355807572</v>
      </c>
      <c r="AL43">
        <f t="shared" si="12"/>
        <v>10.593555745007819</v>
      </c>
      <c r="AM43">
        <f t="shared" si="13"/>
        <v>-0.85720043824487036</v>
      </c>
      <c r="AN43">
        <f t="shared" si="14"/>
        <v>19.885908490359533</v>
      </c>
      <c r="AO43">
        <f t="shared" si="15"/>
        <v>22.601836223865256</v>
      </c>
      <c r="AP43">
        <f t="shared" si="16"/>
        <v>9.8336020531169339</v>
      </c>
      <c r="AQ43">
        <f t="shared" si="17"/>
        <v>2.661697233862542</v>
      </c>
      <c r="AR43">
        <f t="shared" si="18"/>
        <v>20.779971657289988</v>
      </c>
      <c r="AS43">
        <f t="shared" si="19"/>
        <v>22.968739504633888</v>
      </c>
      <c r="AT43">
        <f t="shared" si="20"/>
        <v>25.54296666073931</v>
      </c>
      <c r="AU43">
        <f t="shared" si="21"/>
        <v>20.668635489332608</v>
      </c>
      <c r="AV43">
        <f t="shared" si="22"/>
        <v>5.0368688169532598</v>
      </c>
      <c r="AW43">
        <f t="shared" si="23"/>
        <v>0.55643151248667877</v>
      </c>
      <c r="AX43">
        <f t="shared" si="24"/>
        <v>0.33797645566121837</v>
      </c>
      <c r="AY43">
        <f t="shared" si="25"/>
        <v>6.3855546697096708</v>
      </c>
      <c r="AZ43">
        <f t="shared" si="26"/>
        <v>9.7307004433381454</v>
      </c>
      <c r="BA43">
        <f t="shared" si="27"/>
        <v>1.8806571465251825</v>
      </c>
      <c r="BB43">
        <f t="shared" si="28"/>
        <v>-1.4383414967496666</v>
      </c>
      <c r="BC43" s="2">
        <f t="shared" si="30"/>
        <v>10.477698653866721</v>
      </c>
      <c r="BD43">
        <f t="shared" si="31"/>
        <v>73.515687744890258</v>
      </c>
      <c r="BE43">
        <f t="shared" si="32"/>
        <v>8.5741289787878898</v>
      </c>
      <c r="BF43" s="12">
        <f t="shared" si="33"/>
        <v>12.081267750767935</v>
      </c>
      <c r="BG43">
        <f t="shared" si="34"/>
        <v>-1.6035690969012144</v>
      </c>
      <c r="BH43">
        <f t="shared" si="35"/>
        <v>2.5714338485365764</v>
      </c>
      <c r="BJ43" s="7">
        <v>31</v>
      </c>
      <c r="BK43">
        <f t="shared" si="36"/>
        <v>1.6934163942936808</v>
      </c>
      <c r="BL43">
        <f t="shared" si="37"/>
        <v>9.628842843654871</v>
      </c>
      <c r="BM43">
        <f t="shared" si="38"/>
        <v>195.89461269312781</v>
      </c>
      <c r="BN43">
        <f t="shared" si="39"/>
        <v>65.181908705622718</v>
      </c>
      <c r="BO43">
        <f t="shared" si="40"/>
        <v>119.66478959774507</v>
      </c>
      <c r="BP43">
        <f t="shared" si="41"/>
        <v>18.438321795039951</v>
      </c>
      <c r="BQ43">
        <f t="shared" si="42"/>
        <v>74.432171821205046</v>
      </c>
      <c r="BR43">
        <f t="shared" si="43"/>
        <v>35.815529780033138</v>
      </c>
      <c r="BS43">
        <f t="shared" si="44"/>
        <v>111.55944297349622</v>
      </c>
      <c r="BT43">
        <f t="shared" si="45"/>
        <v>105.26174866478488</v>
      </c>
      <c r="BU43">
        <f t="shared" si="46"/>
        <v>54.739914041227365</v>
      </c>
      <c r="BV43">
        <f t="shared" si="47"/>
        <v>32.426729182777336</v>
      </c>
      <c r="BW43">
        <f t="shared" si="48"/>
        <v>155.77072269614663</v>
      </c>
      <c r="BX43">
        <f t="shared" si="49"/>
        <v>4.6950924747246532</v>
      </c>
      <c r="BY43">
        <f t="shared" si="50"/>
        <v>10.006102173365838</v>
      </c>
      <c r="BZ43">
        <f t="shared" si="51"/>
        <v>127.4194752426308</v>
      </c>
      <c r="CA43">
        <f t="shared" si="52"/>
        <v>125.20804193299413</v>
      </c>
      <c r="CB43">
        <f t="shared" si="53"/>
        <v>17.014573497112085</v>
      </c>
      <c r="CC43">
        <f t="shared" si="54"/>
        <v>38.536968369805628</v>
      </c>
      <c r="CD43">
        <f t="shared" si="55"/>
        <v>196.16058752754816</v>
      </c>
      <c r="CE43">
        <f t="shared" si="56"/>
        <v>8.0423990097718523</v>
      </c>
      <c r="CF43">
        <f t="shared" si="57"/>
        <v>110.05460829101608</v>
      </c>
      <c r="CG43">
        <f t="shared" si="58"/>
        <v>4.3441025227403305</v>
      </c>
      <c r="CH43">
        <f t="shared" si="59"/>
        <v>27.39925925375611</v>
      </c>
      <c r="CI43">
        <f t="shared" si="60"/>
        <v>36.703439771225788</v>
      </c>
      <c r="CJ43" s="7">
        <v>31</v>
      </c>
      <c r="CK43" s="13">
        <f t="shared" si="61"/>
        <v>11.806825533464197</v>
      </c>
      <c r="CL43">
        <f t="shared" si="62"/>
        <v>1.1272102620125222</v>
      </c>
      <c r="CM43">
        <f t="shared" si="63"/>
        <v>10.679615271451675</v>
      </c>
      <c r="CN43">
        <f t="shared" si="64"/>
        <v>12.934035795476719</v>
      </c>
      <c r="CO43">
        <f t="shared" si="65"/>
        <v>2.2544205240250443</v>
      </c>
      <c r="CP43">
        <f t="shared" si="66"/>
        <v>9.5524050094391519</v>
      </c>
      <c r="CQ43">
        <f t="shared" si="67"/>
        <v>14.061246057489242</v>
      </c>
      <c r="CR43">
        <f t="shared" si="68"/>
        <v>3.3816307860375665</v>
      </c>
      <c r="CS43">
        <f t="shared" si="69"/>
        <v>8.4251947474266302</v>
      </c>
      <c r="CT43">
        <f t="shared" si="70"/>
        <v>15.188456319501764</v>
      </c>
    </row>
    <row r="44" spans="1:98" x14ac:dyDescent="0.25">
      <c r="A44" s="7">
        <v>33</v>
      </c>
      <c r="B44" s="9">
        <f t="shared" si="29"/>
        <v>12.385226317119669</v>
      </c>
      <c r="C44">
        <v>0.98339793084505756</v>
      </c>
      <c r="D44">
        <v>0.14206366161076689</v>
      </c>
      <c r="E44">
        <v>0.20944853053376877</v>
      </c>
      <c r="F44">
        <v>0.32865382854701375</v>
      </c>
      <c r="G44">
        <v>-0.84936063722647792</v>
      </c>
      <c r="H44">
        <v>-0.28482924893948181</v>
      </c>
      <c r="I44">
        <v>0.22202215643787948</v>
      </c>
      <c r="J44">
        <v>-0.7754448072756126</v>
      </c>
      <c r="K44">
        <v>0.27518539994506663</v>
      </c>
      <c r="L44">
        <v>-0.9353007599108859</v>
      </c>
      <c r="M44">
        <v>-0.47660756248664815</v>
      </c>
      <c r="N44">
        <v>0.71117282631916257</v>
      </c>
      <c r="O44">
        <v>-0.68083742790002133</v>
      </c>
      <c r="P44">
        <v>0.39469588305307179</v>
      </c>
      <c r="Q44">
        <v>-0.77007354960783714</v>
      </c>
      <c r="R44">
        <v>-0.74321726126895959</v>
      </c>
      <c r="S44">
        <v>0.42478713339640484</v>
      </c>
      <c r="T44">
        <v>-0.36484878078554639</v>
      </c>
      <c r="U44">
        <v>-0.51860103152562032</v>
      </c>
      <c r="V44">
        <v>-0.34983367412335586</v>
      </c>
      <c r="W44">
        <v>0.60240485854670855</v>
      </c>
      <c r="X44">
        <v>0.62688070314645827</v>
      </c>
      <c r="Y44">
        <v>-0.86034730063783682</v>
      </c>
      <c r="Z44">
        <v>-0.84588152714621412</v>
      </c>
      <c r="AA44">
        <v>-0.48271126438184764</v>
      </c>
      <c r="AC44" s="7">
        <v>33</v>
      </c>
      <c r="AD44">
        <f t="shared" ref="AD44:AD75" si="71">$B44+$G$7*C44</f>
        <v>25.974564726553648</v>
      </c>
      <c r="AE44">
        <f t="shared" ref="AE44:AE75" si="72">$B44+$G$7*D44</f>
        <v>14.348369733186303</v>
      </c>
      <c r="AF44">
        <f t="shared" ref="AF44:AF75" si="73">$B44+$G$7*E44</f>
        <v>15.279544956102551</v>
      </c>
      <c r="AG44">
        <f t="shared" ref="AG44:AG75" si="74">$B44+$G$7*F44</f>
        <v>16.926814168381021</v>
      </c>
      <c r="AH44">
        <f t="shared" ref="AH44:AH75" si="75">$B44+$G$7*G44</f>
        <v>0.64811688370387444</v>
      </c>
      <c r="AI44">
        <f t="shared" ref="AI44:AI75" si="76">$B44+$G$7*H44</f>
        <v>8.4492397430810211</v>
      </c>
      <c r="AJ44">
        <f t="shared" ref="AJ44:AJ75" si="77">$B44+$G$7*I44</f>
        <v>15.453296854581486</v>
      </c>
      <c r="AK44">
        <f t="shared" ref="AK44:AK75" si="78">$B44+$G$7*J44</f>
        <v>1.6695418791310281</v>
      </c>
      <c r="AL44">
        <f t="shared" ref="AL44:AL75" si="79">$B44+$G$7*K44</f>
        <v>16.187946871936607</v>
      </c>
      <c r="AM44">
        <f t="shared" ref="AM44:AM75" si="80">$B44+$G$7*L44</f>
        <v>-0.53946890784148316</v>
      </c>
      <c r="AN44">
        <f t="shared" ref="AN44:AN75" si="81">$B44+$G$7*M44</f>
        <v>5.7991015633682963</v>
      </c>
      <c r="AO44">
        <f t="shared" ref="AO44:AO75" si="82">$B44+$G$7*N44</f>
        <v>22.21275177890287</v>
      </c>
      <c r="AP44">
        <f t="shared" ref="AP44:AP75" si="83">$B44+$G$7*O44</f>
        <v>2.9768983968123521</v>
      </c>
      <c r="AQ44">
        <f t="shared" ref="AQ44:AQ75" si="84">$B44+$G$7*P44</f>
        <v>17.839433363304373</v>
      </c>
      <c r="AR44">
        <f t="shared" ref="AR44:AR75" si="85">$B44+$G$7*Q44</f>
        <v>1.7437659911026113</v>
      </c>
      <c r="AS44">
        <f t="shared" ref="AS44:AS75" si="86">$B44+$G$7*R44</f>
        <v>2.1148865509605361</v>
      </c>
      <c r="AT44">
        <f t="shared" ref="AT44:AT75" si="87">$B44+$G$7*S44</f>
        <v>18.255257081508816</v>
      </c>
      <c r="AU44">
        <f t="shared" ref="AU44:AU75" si="88">$B44+$G$7*T44</f>
        <v>7.3434691658679787</v>
      </c>
      <c r="AV44">
        <f t="shared" ref="AV44:AV75" si="89">$B44+$G$7*U44</f>
        <v>5.2188039606813597</v>
      </c>
      <c r="AW44">
        <f t="shared" ref="AW44:AW75" si="90">$B44+$G$7*V44</f>
        <v>7.5509592970612713</v>
      </c>
      <c r="AX44">
        <f t="shared" ref="AX44:AX75" si="91">$B44+$G$7*W44</f>
        <v>20.709713511478274</v>
      </c>
      <c r="AY44">
        <f t="shared" ref="AY44:AY75" si="92">$B44+$G$7*X44</f>
        <v>21.047939294439701</v>
      </c>
      <c r="AZ44">
        <f t="shared" ref="AZ44:AZ75" si="93">$B44+$G$7*Y44</f>
        <v>0.49629483648926964</v>
      </c>
      <c r="BA44">
        <f t="shared" ref="BA44:BA75" si="94">$B44+$G$7*Z44</f>
        <v>0.69619386532183469</v>
      </c>
      <c r="BB44">
        <f t="shared" ref="BB44:BB75" si="95">$B44+$G$7*AA44</f>
        <v>5.7147559815824041</v>
      </c>
      <c r="BC44" s="2">
        <f t="shared" si="30"/>
        <v>10.164727661907921</v>
      </c>
      <c r="BD44">
        <f t="shared" si="31"/>
        <v>67.984296513453558</v>
      </c>
      <c r="BE44">
        <f t="shared" si="32"/>
        <v>8.2452590325261195</v>
      </c>
      <c r="BF44" s="12">
        <f t="shared" si="33"/>
        <v>12.369369969065346</v>
      </c>
      <c r="BG44">
        <f t="shared" si="34"/>
        <v>-2.2046423071574246</v>
      </c>
      <c r="BH44">
        <f t="shared" si="35"/>
        <v>4.8604477025084121</v>
      </c>
      <c r="BJ44" s="7">
        <v>32</v>
      </c>
      <c r="BK44">
        <f t="shared" si="36"/>
        <v>41.631547933943992</v>
      </c>
      <c r="BL44">
        <f t="shared" si="37"/>
        <v>5.4620341690622558</v>
      </c>
      <c r="BM44">
        <f t="shared" si="38"/>
        <v>1.3164718551253929</v>
      </c>
      <c r="BN44">
        <f t="shared" si="39"/>
        <v>117.84941411209154</v>
      </c>
      <c r="BO44">
        <f t="shared" si="40"/>
        <v>7.3595050480556115</v>
      </c>
      <c r="BP44">
        <f t="shared" si="41"/>
        <v>0.13415861164992174</v>
      </c>
      <c r="BQ44">
        <f t="shared" si="42"/>
        <v>58.280784917308793</v>
      </c>
      <c r="BR44">
        <f t="shared" si="43"/>
        <v>54.041071254230644</v>
      </c>
      <c r="BS44">
        <f t="shared" si="44"/>
        <v>0.6434257834568109</v>
      </c>
      <c r="BT44">
        <f t="shared" si="45"/>
        <v>153.83773387637942</v>
      </c>
      <c r="BU44">
        <f t="shared" si="46"/>
        <v>34.515662758522588</v>
      </c>
      <c r="BV44">
        <f t="shared" si="47"/>
        <v>113.25858314081638</v>
      </c>
      <c r="BW44">
        <f t="shared" si="48"/>
        <v>0.8914110480689178</v>
      </c>
      <c r="BX44">
        <f t="shared" si="49"/>
        <v>136.38170998392502</v>
      </c>
      <c r="BY44">
        <f t="shared" si="50"/>
        <v>94.197015421708301</v>
      </c>
      <c r="BZ44">
        <f t="shared" si="51"/>
        <v>107.26482362285573</v>
      </c>
      <c r="CA44">
        <f t="shared" si="52"/>
        <v>239.30086273893278</v>
      </c>
      <c r="CB44">
        <f t="shared" si="53"/>
        <v>67.261014193579769</v>
      </c>
      <c r="CC44">
        <f t="shared" si="54"/>
        <v>67.642857462270797</v>
      </c>
      <c r="CD44">
        <f t="shared" si="55"/>
        <v>122.35165049463883</v>
      </c>
      <c r="CE44">
        <f t="shared" si="56"/>
        <v>153.55461100674961</v>
      </c>
      <c r="CF44">
        <f t="shared" si="57"/>
        <v>34.600427584193326</v>
      </c>
      <c r="CG44">
        <f t="shared" si="58"/>
        <v>20.2798560341854</v>
      </c>
      <c r="CH44">
        <f t="shared" si="59"/>
        <v>122.94730441439643</v>
      </c>
      <c r="CI44">
        <f t="shared" si="60"/>
        <v>179.34517719780754</v>
      </c>
      <c r="CJ44" s="7">
        <v>32</v>
      </c>
      <c r="CK44" s="13">
        <f t="shared" si="61"/>
        <v>12.091432147086058</v>
      </c>
      <c r="CL44">
        <f t="shared" si="62"/>
        <v>1.1279015226169813</v>
      </c>
      <c r="CM44">
        <f t="shared" si="63"/>
        <v>10.963530624469076</v>
      </c>
      <c r="CN44">
        <f t="shared" si="64"/>
        <v>13.21933366970304</v>
      </c>
      <c r="CO44">
        <f t="shared" si="65"/>
        <v>2.2558030452339626</v>
      </c>
      <c r="CP44">
        <f t="shared" si="66"/>
        <v>9.8356291018520956</v>
      </c>
      <c r="CQ44">
        <f t="shared" si="67"/>
        <v>14.347235192320021</v>
      </c>
      <c r="CR44">
        <f t="shared" si="68"/>
        <v>3.3837045678509439</v>
      </c>
      <c r="CS44">
        <f t="shared" si="69"/>
        <v>8.7077275792351152</v>
      </c>
      <c r="CT44">
        <f t="shared" si="70"/>
        <v>15.475136714937001</v>
      </c>
    </row>
    <row r="45" spans="1:98" x14ac:dyDescent="0.25">
      <c r="A45" s="7">
        <v>34</v>
      </c>
      <c r="B45" s="9">
        <f t="shared" si="29"/>
        <v>12.676810717169428</v>
      </c>
      <c r="C45">
        <v>-0.98840296639912106</v>
      </c>
      <c r="D45">
        <v>0.36613055818353835</v>
      </c>
      <c r="E45">
        <v>-0.97613452558977021</v>
      </c>
      <c r="F45">
        <v>-0.8137760551774651</v>
      </c>
      <c r="G45">
        <v>0.39292580950346379</v>
      </c>
      <c r="H45">
        <v>0.39042329172643209</v>
      </c>
      <c r="I45">
        <v>0.45060579241309862</v>
      </c>
      <c r="J45">
        <v>0.39622180852687161</v>
      </c>
      <c r="K45">
        <v>0.32828760643330179</v>
      </c>
      <c r="L45">
        <v>-0.21701712088381608</v>
      </c>
      <c r="M45">
        <v>0.99298074282052062</v>
      </c>
      <c r="N45">
        <v>-0.34080019531846062</v>
      </c>
      <c r="O45">
        <v>0.71629993591113017</v>
      </c>
      <c r="P45">
        <v>-0.45542771691030615</v>
      </c>
      <c r="Q45">
        <v>0.56028931546983252</v>
      </c>
      <c r="R45">
        <v>-0.48576311532944727</v>
      </c>
      <c r="S45">
        <v>0.14047669911801508</v>
      </c>
      <c r="T45">
        <v>0.3238929410687581</v>
      </c>
      <c r="U45">
        <v>-0.99188207647938476</v>
      </c>
      <c r="V45">
        <v>-1.0895107882931021E-2</v>
      </c>
      <c r="W45">
        <v>0.7330240791039766</v>
      </c>
      <c r="X45">
        <v>7.7120273445844933E-2</v>
      </c>
      <c r="Y45">
        <v>0.41032135990478236</v>
      </c>
      <c r="Z45">
        <v>3.5615100558488821E-2</v>
      </c>
      <c r="AA45">
        <v>-0.880062257759331</v>
      </c>
      <c r="AC45" s="7">
        <v>34</v>
      </c>
      <c r="AD45">
        <f t="shared" si="71"/>
        <v>-0.98169106932898309</v>
      </c>
      <c r="AE45">
        <f t="shared" si="72"/>
        <v>17.736280440596154</v>
      </c>
      <c r="AF45">
        <f t="shared" si="73"/>
        <v>-0.81215644993934077</v>
      </c>
      <c r="AG45">
        <f t="shared" si="74"/>
        <v>1.4314360255653842</v>
      </c>
      <c r="AH45">
        <f t="shared" si="75"/>
        <v>18.106557544636221</v>
      </c>
      <c r="AI45">
        <f t="shared" si="76"/>
        <v>18.071975856104004</v>
      </c>
      <c r="AJ45">
        <f t="shared" si="77"/>
        <v>18.903623292512901</v>
      </c>
      <c r="AK45">
        <f t="shared" si="78"/>
        <v>18.152104158800604</v>
      </c>
      <c r="AL45">
        <f t="shared" si="79"/>
        <v>17.213337833523624</v>
      </c>
      <c r="AM45">
        <f t="shared" si="80"/>
        <v>9.6779035567720388</v>
      </c>
      <c r="AN45">
        <f t="shared" si="81"/>
        <v>26.398571690007259</v>
      </c>
      <c r="AO45">
        <f t="shared" si="82"/>
        <v>7.9673751581541516</v>
      </c>
      <c r="AP45">
        <f t="shared" si="83"/>
        <v>22.575186467652777</v>
      </c>
      <c r="AQ45">
        <f t="shared" si="84"/>
        <v>6.3833651322150997</v>
      </c>
      <c r="AR45">
        <f t="shared" si="85"/>
        <v>20.419313397205379</v>
      </c>
      <c r="AS45">
        <f t="shared" si="86"/>
        <v>5.9641675907392182</v>
      </c>
      <c r="AT45">
        <f t="shared" si="87"/>
        <v>14.618024281971731</v>
      </c>
      <c r="AU45">
        <f t="shared" si="88"/>
        <v>17.152609014637783</v>
      </c>
      <c r="AV45">
        <f t="shared" si="89"/>
        <v>-1.0297680509469416</v>
      </c>
      <c r="AW45">
        <f t="shared" si="90"/>
        <v>12.526253853681609</v>
      </c>
      <c r="AX45">
        <f t="shared" si="91"/>
        <v>22.806293361746121</v>
      </c>
      <c r="AY45">
        <f t="shared" si="92"/>
        <v>13.742517143034172</v>
      </c>
      <c r="AZ45">
        <f t="shared" si="93"/>
        <v>18.346942452726015</v>
      </c>
      <c r="BA45">
        <f t="shared" si="94"/>
        <v>13.168967186890109</v>
      </c>
      <c r="BB45">
        <f t="shared" si="95"/>
        <v>0.51544300737059778</v>
      </c>
      <c r="BC45" s="2">
        <f t="shared" si="30"/>
        <v>12.762185315053104</v>
      </c>
      <c r="BD45">
        <f t="shared" si="31"/>
        <v>67.753387171362235</v>
      </c>
      <c r="BE45">
        <f t="shared" si="32"/>
        <v>8.2312445700126204</v>
      </c>
      <c r="BF45" s="12">
        <f t="shared" si="33"/>
        <v>12.657472187362757</v>
      </c>
      <c r="BG45">
        <f t="shared" si="34"/>
        <v>0.10471312769034746</v>
      </c>
      <c r="BH45">
        <f t="shared" si="35"/>
        <v>1.0964839110695013E-2</v>
      </c>
      <c r="BJ45" s="7">
        <v>33</v>
      </c>
      <c r="BK45">
        <f t="shared" ref="BK45:BK76" si="96">(AD44-(O$5+O$6*$BJ45))^2</f>
        <v>196.30749920007625</v>
      </c>
      <c r="BL45">
        <f t="shared" ref="BL45:BL76" si="97">(AE44-(P$5+P$6*$BJ45))^2</f>
        <v>1.2816833206230707</v>
      </c>
      <c r="BM45">
        <f t="shared" ref="BM45:BM76" si="98">(AF44-(Q$5+Q$6*$BJ45))^2</f>
        <v>20.712207568435485</v>
      </c>
      <c r="BN45">
        <f t="shared" ref="BN45:BN76" si="99">(AG44-(R$5+R$6*$BJ45))^2</f>
        <v>24.677891236097285</v>
      </c>
      <c r="BO45">
        <f t="shared" ref="BO45:BO76" si="100">(AH44-(S$5+S$6*$BJ45))^2</f>
        <v>139.38029259418724</v>
      </c>
      <c r="BP45">
        <f t="shared" ref="BP45:BP76" si="101">(AI44-(T$5+T$6*$BJ45))^2</f>
        <v>12.998813715264435</v>
      </c>
      <c r="BQ45">
        <f t="shared" ref="BQ45:BQ76" si="102">(AJ44-(U$5+U$6*$BJ45))^2</f>
        <v>21.251129753065985</v>
      </c>
      <c r="BR45">
        <f t="shared" ref="BR45:BR76" si="103">(AK44-(V$5+V$6*$BJ45))^2</f>
        <v>103.98740372626318</v>
      </c>
      <c r="BS45">
        <f t="shared" ref="BS45:BS76" si="104">(AL44-(W$5+W$6*$BJ45))^2</f>
        <v>19.679315318190092</v>
      </c>
      <c r="BT45">
        <f t="shared" ref="BT45:BT76" si="105">(AM44-(X$5+X$6*$BJ45))^2</f>
        <v>151.88213804648848</v>
      </c>
      <c r="BU45">
        <f t="shared" ref="BU45:BU76" si="106">(AN44-(Y$5+Y$6*$BJ45))^2</f>
        <v>72.385446120503246</v>
      </c>
      <c r="BV45">
        <f t="shared" ref="BV45:BV76" si="107">(AO44-(Z$5+Z$6*$BJ45))^2</f>
        <v>99.052201920797557</v>
      </c>
      <c r="BW45">
        <f t="shared" ref="BW45:BW76" si="108">(AP44-(AA$5+AA$6*$BJ45))^2</f>
        <v>66.221411707151105</v>
      </c>
      <c r="BX45">
        <f t="shared" ref="BX45:BX76" si="109">(AQ44-(AB$5+AB$6*$BJ45))^2</f>
        <v>10.286794527684355</v>
      </c>
      <c r="BY45">
        <f t="shared" ref="BY45:BY76" si="110">(AR44-(AC$5+AC$6*$BJ45))^2</f>
        <v>92.774804244464434</v>
      </c>
      <c r="BZ45">
        <f t="shared" ref="BZ45:BZ76" si="111">(AS44-(AD$5+AD$6*$BJ45))^2</f>
        <v>113.98465277206499</v>
      </c>
      <c r="CA45">
        <f t="shared" ref="CA45:CA76" si="112">(AT44-(AE$5+AE$6*$BJ45))^2</f>
        <v>62.811454877194613</v>
      </c>
      <c r="CB45">
        <f t="shared" ref="CB45:CB76" si="113">(AU44-(AF$5+AF$6*$BJ45))^2</f>
        <v>29.916088437655787</v>
      </c>
      <c r="CC45">
        <f t="shared" ref="CC45:CC76" si="114">(AV44-(AG$5+AG$6*$BJ45))^2</f>
        <v>69.626823851104248</v>
      </c>
      <c r="CD45">
        <f t="shared" ref="CD45:CD76" si="115">(AW44-(AH$5+AH$6*$BJ45))^2</f>
        <v>19.056812948677312</v>
      </c>
      <c r="CE45">
        <f t="shared" ref="CE45:CE76" si="116">(AX44-(AI$5+AI$6*$BJ45))^2</f>
        <v>58.409312483263889</v>
      </c>
      <c r="CF45">
        <f t="shared" ref="CF45:CF76" si="117">(AY44-(AJ$5+AJ$6*$BJ45))^2</f>
        <v>71.510230691529785</v>
      </c>
      <c r="CG45">
        <f t="shared" ref="CG45:CG76" si="118">(AZ44-(AK$5+AK$6*$BJ45))^2</f>
        <v>196.09342583995056</v>
      </c>
      <c r="CH45">
        <f t="shared" ref="CH45:CH76" si="119">(BA44-(AL$5+AL$6*$BJ45))^2</f>
        <v>158.47542283681469</v>
      </c>
      <c r="CI45">
        <f t="shared" ref="CI45:CI76" si="120">(BB44-(AM$5+AM$6*$BJ45))^2</f>
        <v>42.468298475163891</v>
      </c>
      <c r="CJ45" s="7">
        <v>33</v>
      </c>
      <c r="CK45" s="13">
        <f t="shared" si="61"/>
        <v>12.376038760707919</v>
      </c>
      <c r="CL45">
        <f t="shared" si="62"/>
        <v>1.1309390877405487</v>
      </c>
      <c r="CM45">
        <f t="shared" si="63"/>
        <v>11.24509967296737</v>
      </c>
      <c r="CN45">
        <f t="shared" si="64"/>
        <v>13.506977848448468</v>
      </c>
      <c r="CO45">
        <f t="shared" si="65"/>
        <v>2.2618781754810975</v>
      </c>
      <c r="CP45">
        <f t="shared" si="66"/>
        <v>10.114160585226822</v>
      </c>
      <c r="CQ45">
        <f t="shared" si="67"/>
        <v>14.637916936189017</v>
      </c>
      <c r="CR45">
        <f t="shared" si="68"/>
        <v>3.3928172632216462</v>
      </c>
      <c r="CS45">
        <f t="shared" si="69"/>
        <v>8.983221497486273</v>
      </c>
      <c r="CT45">
        <f t="shared" si="70"/>
        <v>15.768856023929565</v>
      </c>
    </row>
    <row r="46" spans="1:98" x14ac:dyDescent="0.25">
      <c r="A46" s="7">
        <v>35</v>
      </c>
      <c r="B46" s="9">
        <f t="shared" si="29"/>
        <v>12.968395117219188</v>
      </c>
      <c r="C46">
        <v>-0.5187231055635243</v>
      </c>
      <c r="D46">
        <v>6.8514053773613748E-2</v>
      </c>
      <c r="E46">
        <v>0.74925992614520709</v>
      </c>
      <c r="F46">
        <v>1.1810663167211022E-2</v>
      </c>
      <c r="G46">
        <v>-0.5858638264107181</v>
      </c>
      <c r="H46">
        <v>-0.67656483657338173</v>
      </c>
      <c r="I46">
        <v>-0.8129215369121372</v>
      </c>
      <c r="J46">
        <v>2.7466658528396692E-4</v>
      </c>
      <c r="K46">
        <v>-0.18747520371105075</v>
      </c>
      <c r="L46">
        <v>0.22885830256050288</v>
      </c>
      <c r="M46">
        <v>0.59538560136722918</v>
      </c>
      <c r="N46">
        <v>0.12491225928525651</v>
      </c>
      <c r="O46">
        <v>0.22251045258949542</v>
      </c>
      <c r="P46">
        <v>-0.84887234107486187</v>
      </c>
      <c r="Q46">
        <v>-0.14011047700430312</v>
      </c>
      <c r="R46">
        <v>0.77202673421430101</v>
      </c>
      <c r="S46">
        <v>-0.64653462324900057</v>
      </c>
      <c r="T46">
        <v>-0.64220099490340887</v>
      </c>
      <c r="U46">
        <v>-8.0874050111392481E-3</v>
      </c>
      <c r="V46">
        <v>-0.53233436078981899</v>
      </c>
      <c r="W46">
        <v>-5.1606799523911229E-2</v>
      </c>
      <c r="X46">
        <v>-0.34385204626606036</v>
      </c>
      <c r="Y46">
        <v>0.46104312265388958</v>
      </c>
      <c r="Z46">
        <v>-0.87188329721976376</v>
      </c>
      <c r="AA46">
        <v>0.28305917538987391</v>
      </c>
      <c r="AC46" s="7">
        <v>35</v>
      </c>
      <c r="AD46">
        <f t="shared" si="71"/>
        <v>5.800285849145161</v>
      </c>
      <c r="AE46">
        <f t="shared" si="72"/>
        <v>13.915174272765826</v>
      </c>
      <c r="AF46">
        <f t="shared" si="73"/>
        <v>23.322237009346352</v>
      </c>
      <c r="AG46">
        <f t="shared" si="74"/>
        <v>13.131603817974892</v>
      </c>
      <c r="AH46">
        <f t="shared" si="75"/>
        <v>4.8724844495003499</v>
      </c>
      <c r="AI46">
        <f t="shared" si="76"/>
        <v>3.6191091041619963</v>
      </c>
      <c r="AJ46">
        <f t="shared" si="77"/>
        <v>1.7348288070651705</v>
      </c>
      <c r="AK46">
        <f t="shared" si="78"/>
        <v>12.972190668399554</v>
      </c>
      <c r="AL46">
        <f t="shared" si="79"/>
        <v>10.377720572665517</v>
      </c>
      <c r="AM46">
        <f t="shared" si="80"/>
        <v>16.130932706281207</v>
      </c>
      <c r="AN46">
        <f t="shared" si="81"/>
        <v>21.195884892524017</v>
      </c>
      <c r="AO46">
        <f t="shared" si="82"/>
        <v>14.694527448467467</v>
      </c>
      <c r="AP46">
        <f t="shared" si="83"/>
        <v>16.043213301223879</v>
      </c>
      <c r="AQ46">
        <f t="shared" si="84"/>
        <v>1.2380333303462674</v>
      </c>
      <c r="AR46">
        <f t="shared" si="85"/>
        <v>11.032242287324038</v>
      </c>
      <c r="AS46">
        <f t="shared" si="86"/>
        <v>23.636846029407732</v>
      </c>
      <c r="AT46">
        <f t="shared" si="87"/>
        <v>4.0340893665485833</v>
      </c>
      <c r="AU46">
        <f t="shared" si="88"/>
        <v>4.0939747296165692</v>
      </c>
      <c r="AV46">
        <f t="shared" si="89"/>
        <v>12.856637221352882</v>
      </c>
      <c r="AW46">
        <f t="shared" si="90"/>
        <v>5.6121952017626233</v>
      </c>
      <c r="AX46">
        <f t="shared" si="91"/>
        <v>12.255253223219473</v>
      </c>
      <c r="AY46">
        <f t="shared" si="92"/>
        <v>8.2167867673109658</v>
      </c>
      <c r="AZ46">
        <f t="shared" si="93"/>
        <v>19.339438637416535</v>
      </c>
      <c r="BA46">
        <f t="shared" si="94"/>
        <v>0.92005048701345338</v>
      </c>
      <c r="BB46">
        <f t="shared" si="95"/>
        <v>16.879921472539927</v>
      </c>
      <c r="BC46" s="2">
        <f t="shared" si="30"/>
        <v>11.117026466135218</v>
      </c>
      <c r="BD46">
        <f t="shared" si="31"/>
        <v>47.575456824293347</v>
      </c>
      <c r="BE46">
        <f t="shared" si="32"/>
        <v>6.8974964171279822</v>
      </c>
      <c r="BF46" s="12">
        <f t="shared" si="33"/>
        <v>12.945574405660164</v>
      </c>
      <c r="BG46">
        <f t="shared" si="34"/>
        <v>-1.8285479395249453</v>
      </c>
      <c r="BH46">
        <f t="shared" si="35"/>
        <v>3.343587567140923</v>
      </c>
      <c r="BJ46" s="7">
        <v>34</v>
      </c>
      <c r="BK46">
        <f t="shared" si="96"/>
        <v>176.18462356776863</v>
      </c>
      <c r="BL46">
        <f t="shared" si="97"/>
        <v>17.745117990190529</v>
      </c>
      <c r="BM46">
        <f t="shared" si="98"/>
        <v>140.05309888959954</v>
      </c>
      <c r="BN46">
        <f t="shared" si="99"/>
        <v>113.48249932306685</v>
      </c>
      <c r="BO46">
        <f t="shared" si="100"/>
        <v>29.304923976114342</v>
      </c>
      <c r="BP46">
        <f t="shared" si="101"/>
        <v>33.134982255081404</v>
      </c>
      <c r="BQ46">
        <f t="shared" si="102"/>
        <v>60.674053484356321</v>
      </c>
      <c r="BR46">
        <f t="shared" si="103"/>
        <v>36.239926390896876</v>
      </c>
      <c r="BS46">
        <f t="shared" si="104"/>
        <v>26.065241454508449</v>
      </c>
      <c r="BT46">
        <f t="shared" si="105"/>
        <v>5.5005227245238384</v>
      </c>
      <c r="BU46">
        <f t="shared" si="106"/>
        <v>139.1301981975142</v>
      </c>
      <c r="BV46">
        <f t="shared" si="107"/>
        <v>21.101153840166901</v>
      </c>
      <c r="BW46">
        <f t="shared" si="108"/>
        <v>123.73958298485643</v>
      </c>
      <c r="BX46">
        <f t="shared" si="109"/>
        <v>72.947651572176227</v>
      </c>
      <c r="BY46">
        <f t="shared" si="110"/>
        <v>76.427856927788568</v>
      </c>
      <c r="BZ46">
        <f t="shared" si="111"/>
        <v>49.0904581586232</v>
      </c>
      <c r="CA46">
        <f t="shared" si="112"/>
        <v>16.255895253797615</v>
      </c>
      <c r="CB46">
        <f t="shared" si="113"/>
        <v>15.951273809455198</v>
      </c>
      <c r="CC46">
        <f t="shared" si="114"/>
        <v>221.84664276012779</v>
      </c>
      <c r="CD46">
        <f t="shared" si="115"/>
        <v>9.6853445613648892E-2</v>
      </c>
      <c r="CE46">
        <f t="shared" si="116"/>
        <v>88.39300268127954</v>
      </c>
      <c r="CF46">
        <f t="shared" si="117"/>
        <v>0.68417782788507586</v>
      </c>
      <c r="CG46">
        <f t="shared" si="118"/>
        <v>12.82855239065703</v>
      </c>
      <c r="CH46">
        <f t="shared" si="119"/>
        <v>0.18663024370773404</v>
      </c>
      <c r="CI46">
        <f t="shared" si="120"/>
        <v>143.85531009993039</v>
      </c>
      <c r="CJ46" s="7">
        <v>34</v>
      </c>
      <c r="CK46" s="13">
        <f t="shared" si="61"/>
        <v>12.660645374329782</v>
      </c>
      <c r="CL46">
        <f t="shared" si="62"/>
        <v>1.1363041411345374</v>
      </c>
      <c r="CM46">
        <f t="shared" si="63"/>
        <v>11.524341233195244</v>
      </c>
      <c r="CN46">
        <f t="shared" si="64"/>
        <v>13.79694951546432</v>
      </c>
      <c r="CO46">
        <f t="shared" si="65"/>
        <v>2.2726082822690747</v>
      </c>
      <c r="CP46">
        <f t="shared" si="66"/>
        <v>10.388037092060706</v>
      </c>
      <c r="CQ46">
        <f t="shared" si="67"/>
        <v>14.933253656598858</v>
      </c>
      <c r="CR46">
        <f t="shared" si="68"/>
        <v>3.4089124234036121</v>
      </c>
      <c r="CS46">
        <f t="shared" si="69"/>
        <v>9.2517329509261703</v>
      </c>
      <c r="CT46">
        <f t="shared" si="70"/>
        <v>16.069557797733395</v>
      </c>
    </row>
    <row r="47" spans="1:98" x14ac:dyDescent="0.25">
      <c r="A47" s="7">
        <v>36</v>
      </c>
      <c r="B47" s="9">
        <f t="shared" si="29"/>
        <v>13.259979517268947</v>
      </c>
      <c r="C47">
        <v>-0.85448774681844542</v>
      </c>
      <c r="D47">
        <v>-0.81121250038148141</v>
      </c>
      <c r="E47">
        <v>-0.67052217169713435</v>
      </c>
      <c r="F47">
        <v>0.60673848689230025</v>
      </c>
      <c r="G47">
        <v>-0.8546098208563494</v>
      </c>
      <c r="H47">
        <v>-0.98510696737571335</v>
      </c>
      <c r="I47">
        <v>0.15945921201208524</v>
      </c>
      <c r="J47">
        <v>-0.16318247016815701</v>
      </c>
      <c r="K47">
        <v>0.36149174474318668</v>
      </c>
      <c r="L47">
        <v>0.4480422376171147</v>
      </c>
      <c r="M47">
        <v>-0.78630939664906763</v>
      </c>
      <c r="N47">
        <v>0.82000183111056857</v>
      </c>
      <c r="O47">
        <v>0.3528855250709555</v>
      </c>
      <c r="P47">
        <v>-0.48496963408307137</v>
      </c>
      <c r="Q47">
        <v>-0.70043031098361164</v>
      </c>
      <c r="R47">
        <v>-0.52848902859584346</v>
      </c>
      <c r="S47">
        <v>-0.63774529251991341</v>
      </c>
      <c r="T47">
        <v>0.51988280892361227</v>
      </c>
      <c r="U47">
        <v>-0.59172338023010962</v>
      </c>
      <c r="V47">
        <v>0.10739463484603418</v>
      </c>
      <c r="W47">
        <v>-0.4277779473250527</v>
      </c>
      <c r="X47">
        <v>0.52537614062929161</v>
      </c>
      <c r="Y47">
        <v>0.52061525315103618</v>
      </c>
      <c r="Z47">
        <v>0.27884762108218641</v>
      </c>
      <c r="AA47">
        <v>-0.15048677022614221</v>
      </c>
      <c r="AC47" s="7">
        <v>36</v>
      </c>
      <c r="AD47">
        <f t="shared" si="71"/>
        <v>1.4520197951530047</v>
      </c>
      <c r="AE47">
        <f t="shared" si="72"/>
        <v>2.0500299700149789</v>
      </c>
      <c r="AF47">
        <f t="shared" si="73"/>
        <v>3.994195630179787</v>
      </c>
      <c r="AG47">
        <f t="shared" si="74"/>
        <v>21.644352074695536</v>
      </c>
      <c r="AH47">
        <f t="shared" si="75"/>
        <v>1.4503328835172873</v>
      </c>
      <c r="AI47">
        <f t="shared" si="76"/>
        <v>-0.35297565506508199</v>
      </c>
      <c r="AJ47">
        <f t="shared" si="77"/>
        <v>15.463507841425372</v>
      </c>
      <c r="AK47">
        <f t="shared" si="78"/>
        <v>11.005000388223126</v>
      </c>
      <c r="AL47">
        <f t="shared" si="79"/>
        <v>18.255346598538395</v>
      </c>
      <c r="AM47">
        <f t="shared" si="80"/>
        <v>19.451366948262343</v>
      </c>
      <c r="AN47">
        <f t="shared" si="81"/>
        <v>2.3941599437014176</v>
      </c>
      <c r="AO47">
        <f t="shared" si="82"/>
        <v>24.591386702294599</v>
      </c>
      <c r="AP47">
        <f t="shared" si="83"/>
        <v>18.136419328220288</v>
      </c>
      <c r="AQ47">
        <f t="shared" si="84"/>
        <v>6.558301316470903</v>
      </c>
      <c r="AR47">
        <f t="shared" si="85"/>
        <v>3.5809022794289156</v>
      </c>
      <c r="AS47">
        <f t="shared" si="86"/>
        <v>5.9569173183374922</v>
      </c>
      <c r="AT47">
        <f t="shared" si="87"/>
        <v>4.4471314043700261</v>
      </c>
      <c r="AU47">
        <f t="shared" si="88"/>
        <v>20.444114445882295</v>
      </c>
      <c r="AV47">
        <f t="shared" si="89"/>
        <v>5.0830970910356523</v>
      </c>
      <c r="AW47">
        <f t="shared" si="90"/>
        <v>14.744040028791716</v>
      </c>
      <c r="AX47">
        <f t="shared" si="91"/>
        <v>7.3486194178047102</v>
      </c>
      <c r="AY47">
        <f t="shared" si="92"/>
        <v>20.520025469489596</v>
      </c>
      <c r="AZ47">
        <f t="shared" si="93"/>
        <v>20.4542359156966</v>
      </c>
      <c r="BA47">
        <f t="shared" si="94"/>
        <v>17.113307421157423</v>
      </c>
      <c r="BB47">
        <f t="shared" si="95"/>
        <v>11.18043919833778</v>
      </c>
      <c r="BC47" s="2">
        <f t="shared" si="30"/>
        <v>11.078650950238567</v>
      </c>
      <c r="BD47">
        <f t="shared" si="31"/>
        <v>63.308282284093082</v>
      </c>
      <c r="BE47">
        <f t="shared" si="32"/>
        <v>7.9566501923920896</v>
      </c>
      <c r="BF47" s="12">
        <f t="shared" si="33"/>
        <v>13.233676623957574</v>
      </c>
      <c r="BG47">
        <f t="shared" si="34"/>
        <v>-2.1550256737190079</v>
      </c>
      <c r="BH47">
        <f t="shared" si="35"/>
        <v>4.6441356543880641</v>
      </c>
      <c r="BJ47" s="7">
        <v>35</v>
      </c>
      <c r="BK47">
        <f t="shared" si="96"/>
        <v>46.507711997154047</v>
      </c>
      <c r="BL47">
        <f t="shared" si="97"/>
        <v>7.0324169462540323E-3</v>
      </c>
      <c r="BM47">
        <f t="shared" si="98"/>
        <v>144.14936292851439</v>
      </c>
      <c r="BN47">
        <f t="shared" si="99"/>
        <v>0.85050493605977584</v>
      </c>
      <c r="BO47">
        <f t="shared" si="100"/>
        <v>64.959830246663486</v>
      </c>
      <c r="BP47">
        <f t="shared" si="101"/>
        <v>80.238909358699985</v>
      </c>
      <c r="BQ47">
        <f t="shared" si="102"/>
        <v>93.128394524625463</v>
      </c>
      <c r="BR47">
        <f t="shared" si="103"/>
        <v>0.33047204747388231</v>
      </c>
      <c r="BS47">
        <f t="shared" si="104"/>
        <v>4.3527300663101309</v>
      </c>
      <c r="BT47">
        <f t="shared" si="105"/>
        <v>14.969665409357306</v>
      </c>
      <c r="BU47">
        <f t="shared" si="106"/>
        <v>39.645908364064944</v>
      </c>
      <c r="BV47">
        <f t="shared" si="107"/>
        <v>3.3592775039553033</v>
      </c>
      <c r="BW47">
        <f t="shared" si="108"/>
        <v>18.105465207704526</v>
      </c>
      <c r="BX47">
        <f t="shared" si="109"/>
        <v>195.39696245492519</v>
      </c>
      <c r="BY47">
        <f t="shared" si="110"/>
        <v>0.89500159351544162</v>
      </c>
      <c r="BZ47">
        <f t="shared" si="111"/>
        <v>109.9738192972855</v>
      </c>
      <c r="CA47">
        <f t="shared" si="112"/>
        <v>46.353628017430907</v>
      </c>
      <c r="CB47">
        <f t="shared" si="113"/>
        <v>88.55571852589614</v>
      </c>
      <c r="CC47">
        <f t="shared" si="114"/>
        <v>1.7155451364560816</v>
      </c>
      <c r="CD47">
        <f t="shared" si="115"/>
        <v>47.630930175808423</v>
      </c>
      <c r="CE47">
        <f t="shared" si="116"/>
        <v>2.2103004858409863</v>
      </c>
      <c r="CF47">
        <f t="shared" si="117"/>
        <v>25.22429650502923</v>
      </c>
      <c r="CG47">
        <f t="shared" si="118"/>
        <v>18.563848917506494</v>
      </c>
      <c r="CH47">
        <f t="shared" si="119"/>
        <v>168.92206837085732</v>
      </c>
      <c r="CI47">
        <f t="shared" si="120"/>
        <v>16.749559067101547</v>
      </c>
      <c r="CJ47" s="7">
        <v>35</v>
      </c>
      <c r="CK47" s="13">
        <f t="shared" si="61"/>
        <v>12.945251987951643</v>
      </c>
      <c r="CL47">
        <f t="shared" si="62"/>
        <v>1.1439639363467395</v>
      </c>
      <c r="CM47">
        <f t="shared" si="63"/>
        <v>11.801288051604903</v>
      </c>
      <c r="CN47">
        <f t="shared" si="64"/>
        <v>14.089215924298383</v>
      </c>
      <c r="CO47">
        <f t="shared" si="65"/>
        <v>2.2879278726934791</v>
      </c>
      <c r="CP47">
        <f t="shared" si="66"/>
        <v>10.657324115258163</v>
      </c>
      <c r="CQ47">
        <f t="shared" si="67"/>
        <v>15.233179860645123</v>
      </c>
      <c r="CR47">
        <f t="shared" si="68"/>
        <v>3.4318918090402186</v>
      </c>
      <c r="CS47">
        <f t="shared" si="69"/>
        <v>9.5133601789114248</v>
      </c>
      <c r="CT47">
        <f t="shared" si="70"/>
        <v>16.377143796991863</v>
      </c>
    </row>
    <row r="48" spans="1:98" x14ac:dyDescent="0.25">
      <c r="A48" s="7">
        <v>37</v>
      </c>
      <c r="B48" s="9">
        <f t="shared" si="29"/>
        <v>13.551563917318708</v>
      </c>
      <c r="C48">
        <v>-0.63011566515091411</v>
      </c>
      <c r="D48">
        <v>0.80578020569475384</v>
      </c>
      <c r="E48">
        <v>-0.57585375530259109</v>
      </c>
      <c r="F48">
        <v>-0.95995971556749171</v>
      </c>
      <c r="G48">
        <v>3.2074953459273026E-2</v>
      </c>
      <c r="H48">
        <v>-0.22177800836207162</v>
      </c>
      <c r="I48">
        <v>0.64940336313974423</v>
      </c>
      <c r="J48">
        <v>-0.12234870448927271</v>
      </c>
      <c r="K48">
        <v>-0.84484389782403024</v>
      </c>
      <c r="L48">
        <v>-2.6276436658833613E-2</v>
      </c>
      <c r="M48">
        <v>-4.9897762993255435E-2</v>
      </c>
      <c r="N48">
        <v>0.5680410168767358</v>
      </c>
      <c r="O48">
        <v>0.54490798669392992</v>
      </c>
      <c r="P48">
        <v>-0.29288613544114506</v>
      </c>
      <c r="Q48">
        <v>0.1871089815973388</v>
      </c>
      <c r="R48">
        <v>0.11160618915372167</v>
      </c>
      <c r="S48">
        <v>-0.54887539292580945</v>
      </c>
      <c r="T48">
        <v>-0.52476577043977168</v>
      </c>
      <c r="U48">
        <v>0.12900173955504024</v>
      </c>
      <c r="V48">
        <v>0.42637409588915687</v>
      </c>
      <c r="W48">
        <v>0.4488967558824426</v>
      </c>
      <c r="X48">
        <v>-0.43382061220130008</v>
      </c>
      <c r="Y48">
        <v>-0.12698751792962437</v>
      </c>
      <c r="Z48">
        <v>-0.66527298806726276</v>
      </c>
      <c r="AA48">
        <v>0.72795800653096099</v>
      </c>
      <c r="AC48" s="7">
        <v>37</v>
      </c>
      <c r="AD48">
        <f t="shared" si="71"/>
        <v>4.8441477816521523</v>
      </c>
      <c r="AE48">
        <f t="shared" si="72"/>
        <v>24.686445896783233</v>
      </c>
      <c r="AF48">
        <f t="shared" si="73"/>
        <v>5.5939800037287322</v>
      </c>
      <c r="AG48">
        <f t="shared" si="74"/>
        <v>0.28611254194255231</v>
      </c>
      <c r="AH48">
        <f t="shared" si="75"/>
        <v>13.99479994960357</v>
      </c>
      <c r="AI48">
        <f t="shared" si="76"/>
        <v>10.486867203128323</v>
      </c>
      <c r="AJ48">
        <f t="shared" si="77"/>
        <v>22.525512091428681</v>
      </c>
      <c r="AK48">
        <f t="shared" si="78"/>
        <v>11.860856730420505</v>
      </c>
      <c r="AL48">
        <f t="shared" si="79"/>
        <v>1.8768702144244749</v>
      </c>
      <c r="AM48">
        <f t="shared" si="80"/>
        <v>13.188456187730443</v>
      </c>
      <c r="AN48">
        <f t="shared" si="81"/>
        <v>12.86203878621904</v>
      </c>
      <c r="AO48">
        <f t="shared" si="82"/>
        <v>21.401185486222744</v>
      </c>
      <c r="AP48">
        <f t="shared" si="83"/>
        <v>21.081515731254211</v>
      </c>
      <c r="AQ48">
        <f t="shared" si="84"/>
        <v>9.504241175322683</v>
      </c>
      <c r="AR48">
        <f t="shared" si="85"/>
        <v>16.137177726965227</v>
      </c>
      <c r="AS48">
        <f t="shared" si="86"/>
        <v>15.093822880273741</v>
      </c>
      <c r="AT48">
        <f t="shared" si="87"/>
        <v>5.9667874752223762</v>
      </c>
      <c r="AU48">
        <f t="shared" si="88"/>
        <v>6.2999525232766489</v>
      </c>
      <c r="AV48">
        <f t="shared" si="89"/>
        <v>15.334207788363535</v>
      </c>
      <c r="AW48">
        <f t="shared" si="90"/>
        <v>19.443524532972191</v>
      </c>
      <c r="AX48">
        <f t="shared" si="91"/>
        <v>19.754759729762128</v>
      </c>
      <c r="AY48">
        <f t="shared" si="92"/>
        <v>7.5567016918864383</v>
      </c>
      <c r="AZ48">
        <f t="shared" si="93"/>
        <v>11.796754088263226</v>
      </c>
      <c r="BA48">
        <f t="shared" si="94"/>
        <v>4.358317230565417</v>
      </c>
      <c r="BB48">
        <f t="shared" si="95"/>
        <v>23.611039729013108</v>
      </c>
      <c r="BC48" s="2">
        <f t="shared" si="30"/>
        <v>12.781843007057013</v>
      </c>
      <c r="BD48">
        <f t="shared" si="31"/>
        <v>50.381189459244808</v>
      </c>
      <c r="BE48">
        <f t="shared" si="32"/>
        <v>7.0979707987033036</v>
      </c>
      <c r="BF48" s="12">
        <f t="shared" si="33"/>
        <v>13.521778842254982</v>
      </c>
      <c r="BG48">
        <f t="shared" si="34"/>
        <v>-0.73993583519796857</v>
      </c>
      <c r="BH48">
        <f t="shared" si="35"/>
        <v>0.54750504021011526</v>
      </c>
      <c r="BJ48" s="7">
        <v>36</v>
      </c>
      <c r="BK48">
        <f t="shared" si="96"/>
        <v>132.16031439608491</v>
      </c>
      <c r="BL48">
        <f t="shared" si="97"/>
        <v>146.13943793301411</v>
      </c>
      <c r="BM48">
        <f t="shared" si="98"/>
        <v>57.997180015836484</v>
      </c>
      <c r="BN48">
        <f t="shared" si="99"/>
        <v>86.673371292372693</v>
      </c>
      <c r="BO48">
        <f t="shared" si="100"/>
        <v>137.38214593099727</v>
      </c>
      <c r="BP48">
        <f t="shared" si="101"/>
        <v>173.99594221420284</v>
      </c>
      <c r="BQ48">
        <f t="shared" si="102"/>
        <v>14.497113809716557</v>
      </c>
      <c r="BR48">
        <f t="shared" si="103"/>
        <v>2.7473178144144366</v>
      </c>
      <c r="BS48">
        <f t="shared" si="104"/>
        <v>29.541299534613966</v>
      </c>
      <c r="BT48">
        <f t="shared" si="105"/>
        <v>48.314382254719149</v>
      </c>
      <c r="BU48">
        <f t="shared" si="106"/>
        <v>163.87546386181106</v>
      </c>
      <c r="BV48">
        <f t="shared" si="107"/>
        <v>130.62141399228022</v>
      </c>
      <c r="BW48">
        <f t="shared" si="108"/>
        <v>36.137568837442089</v>
      </c>
      <c r="BX48">
        <f t="shared" si="109"/>
        <v>80.108822098924819</v>
      </c>
      <c r="BY48">
        <f t="shared" si="110"/>
        <v>75.666722326673991</v>
      </c>
      <c r="BZ48">
        <f t="shared" si="111"/>
        <v>54.353288085091108</v>
      </c>
      <c r="CA48">
        <f t="shared" si="112"/>
        <v>44.243554016645142</v>
      </c>
      <c r="CB48">
        <f t="shared" si="113"/>
        <v>43.481624864949261</v>
      </c>
      <c r="CC48">
        <f t="shared" si="114"/>
        <v>88.078311412406549</v>
      </c>
      <c r="CD48">
        <f t="shared" si="115"/>
        <v>3.7313010497070458</v>
      </c>
      <c r="CE48">
        <f t="shared" si="116"/>
        <v>45.303195277739654</v>
      </c>
      <c r="CF48">
        <f t="shared" si="117"/>
        <v>48.400677157811636</v>
      </c>
      <c r="CG48">
        <f t="shared" si="118"/>
        <v>26.602501494864502</v>
      </c>
      <c r="CH48">
        <f t="shared" si="119"/>
        <v>8.2954154754814535</v>
      </c>
      <c r="CI48">
        <f t="shared" si="120"/>
        <v>3.5522673573610777</v>
      </c>
      <c r="CJ48" s="7">
        <v>36</v>
      </c>
      <c r="CK48" s="13">
        <f t="shared" si="61"/>
        <v>13.229858601573506</v>
      </c>
      <c r="CL48">
        <f t="shared" si="62"/>
        <v>1.1538727744802326</v>
      </c>
      <c r="CM48">
        <f t="shared" si="63"/>
        <v>12.075985827093273</v>
      </c>
      <c r="CN48">
        <f t="shared" si="64"/>
        <v>14.383731376053738</v>
      </c>
      <c r="CO48">
        <f t="shared" si="65"/>
        <v>2.3077455489604652</v>
      </c>
      <c r="CP48">
        <f t="shared" si="66"/>
        <v>10.922113052613041</v>
      </c>
      <c r="CQ48">
        <f t="shared" si="67"/>
        <v>15.537604150533971</v>
      </c>
      <c r="CR48">
        <f t="shared" si="68"/>
        <v>3.4616183234406979</v>
      </c>
      <c r="CS48">
        <f t="shared" si="69"/>
        <v>9.7682402781328079</v>
      </c>
      <c r="CT48">
        <f t="shared" si="70"/>
        <v>16.691476925014204</v>
      </c>
    </row>
    <row r="49" spans="1:98" x14ac:dyDescent="0.25">
      <c r="A49" s="7">
        <v>38</v>
      </c>
      <c r="B49" s="9">
        <f t="shared" si="29"/>
        <v>13.843148317368469</v>
      </c>
      <c r="C49">
        <v>-0.56108279671620842</v>
      </c>
      <c r="D49">
        <v>0.95776238288521998</v>
      </c>
      <c r="E49">
        <v>-0.52397228919339578</v>
      </c>
      <c r="F49">
        <v>-0.39402447584459976</v>
      </c>
      <c r="G49">
        <v>0.43400372325815617</v>
      </c>
      <c r="H49">
        <v>0.47947630237739181</v>
      </c>
      <c r="I49">
        <v>-0.79320657979064302</v>
      </c>
      <c r="J49">
        <v>7.6937162388988956E-2</v>
      </c>
      <c r="K49">
        <v>0.37949766533402518</v>
      </c>
      <c r="L49">
        <v>-0.47489852595599236</v>
      </c>
      <c r="M49">
        <v>0.55229346598712126</v>
      </c>
      <c r="N49">
        <v>-0.79369487594225896</v>
      </c>
      <c r="O49">
        <v>-0.34623249000518819</v>
      </c>
      <c r="P49">
        <v>-0.76598406933805352</v>
      </c>
      <c r="Q49">
        <v>0.2713400677510911</v>
      </c>
      <c r="R49">
        <v>-0.81249427777947325</v>
      </c>
      <c r="S49">
        <v>-0.7322305978576007</v>
      </c>
      <c r="T49">
        <v>0.8011413922544024</v>
      </c>
      <c r="U49">
        <v>-0.90331736198004087</v>
      </c>
      <c r="V49">
        <v>-0.12991729483932002</v>
      </c>
      <c r="W49">
        <v>0.52928250984221936</v>
      </c>
      <c r="X49">
        <v>0.7338175603503525</v>
      </c>
      <c r="Y49">
        <v>-0.78618732261116364</v>
      </c>
      <c r="Z49">
        <v>0.57359538560136714</v>
      </c>
      <c r="AA49">
        <v>0.85149693288979766</v>
      </c>
      <c r="AC49" s="7">
        <v>38</v>
      </c>
      <c r="AD49">
        <f t="shared" si="71"/>
        <v>6.0896807117003515</v>
      </c>
      <c r="AE49">
        <f t="shared" si="72"/>
        <v>27.078235283301701</v>
      </c>
      <c r="AF49">
        <f t="shared" si="73"/>
        <v>6.6025018489585747</v>
      </c>
      <c r="AG49">
        <f t="shared" si="74"/>
        <v>8.3982192851802147</v>
      </c>
      <c r="AH49">
        <f t="shared" si="75"/>
        <v>19.840540910254315</v>
      </c>
      <c r="AI49">
        <f t="shared" si="76"/>
        <v>20.468915494559209</v>
      </c>
      <c r="AJ49">
        <f t="shared" si="77"/>
        <v>2.8820182363828817</v>
      </c>
      <c r="AK49">
        <f t="shared" si="78"/>
        <v>14.906324375779636</v>
      </c>
      <c r="AL49">
        <f t="shared" si="79"/>
        <v>19.087334864906303</v>
      </c>
      <c r="AM49">
        <f t="shared" si="80"/>
        <v>7.2806403265171458</v>
      </c>
      <c r="AN49">
        <f t="shared" si="81"/>
        <v>21.475158285264904</v>
      </c>
      <c r="AO49">
        <f t="shared" si="82"/>
        <v>2.8752705898400102</v>
      </c>
      <c r="AP49">
        <f t="shared" si="83"/>
        <v>9.0586451905637482</v>
      </c>
      <c r="AQ49">
        <f t="shared" si="84"/>
        <v>3.2581995311479588</v>
      </c>
      <c r="AR49">
        <f t="shared" si="85"/>
        <v>17.592731155660296</v>
      </c>
      <c r="AS49">
        <f t="shared" si="86"/>
        <v>2.6154861979394628</v>
      </c>
      <c r="AT49">
        <f t="shared" si="87"/>
        <v>3.724630598423941</v>
      </c>
      <c r="AU49">
        <f t="shared" si="88"/>
        <v>24.913927654675717</v>
      </c>
      <c r="AV49">
        <f t="shared" si="89"/>
        <v>1.3604239409653918</v>
      </c>
      <c r="AW49">
        <f t="shared" si="90"/>
        <v>12.047852609055759</v>
      </c>
      <c r="AX49">
        <f t="shared" si="91"/>
        <v>21.15717544193209</v>
      </c>
      <c r="AY49">
        <f t="shared" si="92"/>
        <v>23.98359588757733</v>
      </c>
      <c r="AZ49">
        <f t="shared" si="93"/>
        <v>2.9790156554366582</v>
      </c>
      <c r="BA49">
        <f t="shared" si="94"/>
        <v>21.769524365697663</v>
      </c>
      <c r="BB49">
        <f t="shared" si="95"/>
        <v>25.609778704409322</v>
      </c>
      <c r="BC49" s="2">
        <f t="shared" si="30"/>
        <v>13.082233085845223</v>
      </c>
      <c r="BD49">
        <f t="shared" si="31"/>
        <v>78.658910525052647</v>
      </c>
      <c r="BE49">
        <f t="shared" si="32"/>
        <v>8.8689858791776555</v>
      </c>
      <c r="BF49" s="12">
        <f t="shared" si="33"/>
        <v>13.809881060552392</v>
      </c>
      <c r="BG49">
        <f t="shared" si="34"/>
        <v>-0.72764797470716935</v>
      </c>
      <c r="BH49">
        <f t="shared" si="35"/>
        <v>0.5294715750954454</v>
      </c>
      <c r="BJ49" s="7">
        <v>37</v>
      </c>
      <c r="BK49">
        <f t="shared" si="96"/>
        <v>71.101146751874793</v>
      </c>
      <c r="BL49">
        <f t="shared" si="97"/>
        <v>104.85906562974202</v>
      </c>
      <c r="BM49">
        <f t="shared" si="98"/>
        <v>39.810699010365475</v>
      </c>
      <c r="BN49">
        <f t="shared" si="99"/>
        <v>148.19432456612816</v>
      </c>
      <c r="BO49">
        <f t="shared" si="100"/>
        <v>0.3414751571650147</v>
      </c>
      <c r="BP49">
        <f t="shared" si="101"/>
        <v>6.8223313034793041</v>
      </c>
      <c r="BQ49">
        <f t="shared" si="102"/>
        <v>112.33129160756398</v>
      </c>
      <c r="BR49">
        <f t="shared" si="103"/>
        <v>1.1381205670957741</v>
      </c>
      <c r="BS49">
        <f t="shared" si="104"/>
        <v>127.67646240465793</v>
      </c>
      <c r="BT49">
        <f t="shared" si="105"/>
        <v>0.20186993631161282</v>
      </c>
      <c r="BU49">
        <f t="shared" si="106"/>
        <v>6.9151451879158117</v>
      </c>
      <c r="BV49">
        <f t="shared" si="107"/>
        <v>63.012661275051002</v>
      </c>
      <c r="BW49">
        <f t="shared" si="108"/>
        <v>74.300002576260525</v>
      </c>
      <c r="BX49">
        <f t="shared" si="109"/>
        <v>39.647022201038567</v>
      </c>
      <c r="BY49">
        <f t="shared" si="110"/>
        <v>12.647529261621857</v>
      </c>
      <c r="BZ49">
        <f t="shared" si="111"/>
        <v>2.5124072252352083</v>
      </c>
      <c r="CA49">
        <f t="shared" si="112"/>
        <v>29.032717915383198</v>
      </c>
      <c r="CB49">
        <f t="shared" si="113"/>
        <v>62.343297659635837</v>
      </c>
      <c r="CC49">
        <f t="shared" si="114"/>
        <v>0.31858102514302283</v>
      </c>
      <c r="CD49">
        <f t="shared" si="115"/>
        <v>40.100193681495909</v>
      </c>
      <c r="CE49">
        <f t="shared" si="116"/>
        <v>28.493735621433846</v>
      </c>
      <c r="CF49">
        <f t="shared" si="117"/>
        <v>40.069708658846402</v>
      </c>
      <c r="CG49">
        <f t="shared" si="118"/>
        <v>14.177748097555812</v>
      </c>
      <c r="CH49">
        <f t="shared" si="119"/>
        <v>103.85428497039706</v>
      </c>
      <c r="CI49">
        <f t="shared" si="120"/>
        <v>105.43117414520093</v>
      </c>
      <c r="CJ49" s="7">
        <v>37</v>
      </c>
      <c r="CK49" s="13">
        <f t="shared" si="61"/>
        <v>13.514465215195367</v>
      </c>
      <c r="CL49">
        <f t="shared" si="62"/>
        <v>1.1659733175479818</v>
      </c>
      <c r="CM49">
        <f t="shared" si="63"/>
        <v>12.348491897647385</v>
      </c>
      <c r="CN49">
        <f t="shared" si="64"/>
        <v>14.680438532743349</v>
      </c>
      <c r="CO49">
        <f t="shared" si="65"/>
        <v>2.3319466350959637</v>
      </c>
      <c r="CP49">
        <f t="shared" si="66"/>
        <v>11.182518580099403</v>
      </c>
      <c r="CQ49">
        <f t="shared" si="67"/>
        <v>15.84641185029133</v>
      </c>
      <c r="CR49">
        <f t="shared" si="68"/>
        <v>3.4979199526439455</v>
      </c>
      <c r="CS49">
        <f t="shared" si="69"/>
        <v>10.016545262551421</v>
      </c>
      <c r="CT49">
        <f t="shared" si="70"/>
        <v>17.012385167839312</v>
      </c>
    </row>
    <row r="50" spans="1:98" x14ac:dyDescent="0.25">
      <c r="A50" s="7">
        <v>39</v>
      </c>
      <c r="B50" s="9">
        <f t="shared" si="29"/>
        <v>14.134732717418228</v>
      </c>
      <c r="C50">
        <v>-0.32419812616351817</v>
      </c>
      <c r="D50">
        <v>-0.95953245643482776</v>
      </c>
      <c r="E50">
        <v>-1.0681478316598714E-3</v>
      </c>
      <c r="F50">
        <v>-0.73052156132694479</v>
      </c>
      <c r="G50">
        <v>0.10922574541459396</v>
      </c>
      <c r="H50">
        <v>-0.63054292428357805</v>
      </c>
      <c r="I50">
        <v>5.0019837031159309E-2</v>
      </c>
      <c r="J50">
        <v>0.22507400738547934</v>
      </c>
      <c r="K50">
        <v>-0.75145725882747882</v>
      </c>
      <c r="L50">
        <v>-6.2715536973174224E-2</v>
      </c>
      <c r="M50">
        <v>0.37760551774651319</v>
      </c>
      <c r="N50">
        <v>-0.81560716574602499</v>
      </c>
      <c r="O50">
        <v>0.43827631458479566</v>
      </c>
      <c r="P50">
        <v>0.48094119083223985</v>
      </c>
      <c r="Q50">
        <v>-0.54087954344309819</v>
      </c>
      <c r="R50">
        <v>0.65019684438612013</v>
      </c>
      <c r="S50">
        <v>-0.63304544206060975</v>
      </c>
      <c r="T50">
        <v>-0.65434736167485585</v>
      </c>
      <c r="U50">
        <v>-0.97466963713492238</v>
      </c>
      <c r="V50">
        <v>0.13022247993408009</v>
      </c>
      <c r="W50">
        <v>0.41050447096163833</v>
      </c>
      <c r="X50">
        <v>-0.29398480178228092</v>
      </c>
      <c r="Y50">
        <v>-0.35239722891933956</v>
      </c>
      <c r="Z50">
        <v>0.62620929593798635</v>
      </c>
      <c r="AA50">
        <v>-0.58391064180425434</v>
      </c>
      <c r="AC50" s="7">
        <v>39</v>
      </c>
      <c r="AD50">
        <f t="shared" si="71"/>
        <v>9.6547171408605763</v>
      </c>
      <c r="AE50">
        <f t="shared" si="72"/>
        <v>0.87518553276708388</v>
      </c>
      <c r="AF50">
        <f t="shared" si="73"/>
        <v>14.119972240605698</v>
      </c>
      <c r="AG50">
        <f t="shared" si="74"/>
        <v>4.0398317613737511</v>
      </c>
      <c r="AH50">
        <f t="shared" si="75"/>
        <v>15.644096903476765</v>
      </c>
      <c r="AI50">
        <f t="shared" si="76"/>
        <v>5.4214123910266601</v>
      </c>
      <c r="AJ50">
        <f t="shared" si="77"/>
        <v>14.825944760153611</v>
      </c>
      <c r="AK50">
        <f t="shared" si="78"/>
        <v>17.244976045772994</v>
      </c>
      <c r="AL50">
        <f t="shared" si="79"/>
        <v>3.7505264158481424</v>
      </c>
      <c r="AM50">
        <f t="shared" si="80"/>
        <v>13.268081864568188</v>
      </c>
      <c r="AN50">
        <f t="shared" si="81"/>
        <v>19.352772134602432</v>
      </c>
      <c r="AO50">
        <f t="shared" si="82"/>
        <v>2.8640543512784173</v>
      </c>
      <c r="AP50">
        <f t="shared" si="83"/>
        <v>20.191167217554199</v>
      </c>
      <c r="AQ50">
        <f t="shared" si="84"/>
        <v>20.780742834237586</v>
      </c>
      <c r="AR50">
        <f t="shared" si="85"/>
        <v>6.6604489874614137</v>
      </c>
      <c r="AS50">
        <f t="shared" si="86"/>
        <v>23.119645817160368</v>
      </c>
      <c r="AT50">
        <f t="shared" si="87"/>
        <v>5.3868307024944446</v>
      </c>
      <c r="AU50">
        <f t="shared" si="88"/>
        <v>5.0924646220616818</v>
      </c>
      <c r="AV50">
        <f t="shared" si="89"/>
        <v>0.66600848993807205</v>
      </c>
      <c r="AW50">
        <f t="shared" si="90"/>
        <v>15.934245704820233</v>
      </c>
      <c r="AX50">
        <f t="shared" si="91"/>
        <v>19.807394820428392</v>
      </c>
      <c r="AY50">
        <f t="shared" si="92"/>
        <v>10.072227770700742</v>
      </c>
      <c r="AZ50">
        <f t="shared" si="93"/>
        <v>9.2650405530097579</v>
      </c>
      <c r="BA50">
        <f t="shared" si="94"/>
        <v>22.788167680741811</v>
      </c>
      <c r="BB50">
        <f t="shared" si="95"/>
        <v>6.0658126358708735</v>
      </c>
      <c r="BC50" s="2">
        <f t="shared" si="30"/>
        <v>11.475670775152558</v>
      </c>
      <c r="BD50">
        <f t="shared" si="31"/>
        <v>51.874231090690614</v>
      </c>
      <c r="BE50">
        <f t="shared" si="32"/>
        <v>7.2023767667826579</v>
      </c>
      <c r="BF50" s="12">
        <f t="shared" si="33"/>
        <v>14.097983278849803</v>
      </c>
      <c r="BG50">
        <f t="shared" si="34"/>
        <v>-2.6223125036972448</v>
      </c>
      <c r="BH50">
        <f t="shared" si="35"/>
        <v>6.8765228670469121</v>
      </c>
      <c r="BJ50" s="7">
        <v>38</v>
      </c>
      <c r="BK50">
        <f t="shared" si="96"/>
        <v>56.472133026196637</v>
      </c>
      <c r="BL50">
        <f t="shared" si="97"/>
        <v>151.88913870076766</v>
      </c>
      <c r="BM50">
        <f t="shared" si="98"/>
        <v>31.301995115462109</v>
      </c>
      <c r="BN50">
        <f t="shared" si="99"/>
        <v>17.526995243164148</v>
      </c>
      <c r="BO50">
        <f t="shared" si="100"/>
        <v>38.32853569047478</v>
      </c>
      <c r="BP50">
        <f t="shared" si="101"/>
        <v>50.538435671231134</v>
      </c>
      <c r="BQ50">
        <f t="shared" si="102"/>
        <v>86.782530603315024</v>
      </c>
      <c r="BR50">
        <f t="shared" si="103"/>
        <v>2.9359455744406553</v>
      </c>
      <c r="BS50">
        <f t="shared" si="104"/>
        <v>30.857449920613011</v>
      </c>
      <c r="BT50">
        <f t="shared" si="105"/>
        <v>32.457644814950406</v>
      </c>
      <c r="BU50">
        <f t="shared" si="106"/>
        <v>32.345303486964141</v>
      </c>
      <c r="BV50">
        <f t="shared" si="107"/>
        <v>118.5612461232035</v>
      </c>
      <c r="BW50">
        <f t="shared" si="108"/>
        <v>13.98707813892355</v>
      </c>
      <c r="BX50">
        <f t="shared" si="109"/>
        <v>164.73220910774361</v>
      </c>
      <c r="BY50">
        <f t="shared" si="110"/>
        <v>22.189875493662253</v>
      </c>
      <c r="BZ50">
        <f t="shared" si="111"/>
        <v>122.60377796314502</v>
      </c>
      <c r="CA50">
        <f t="shared" si="112"/>
        <v>62.198989433831969</v>
      </c>
      <c r="CB50">
        <f t="shared" si="113"/>
        <v>107.5892298348041</v>
      </c>
      <c r="CC50">
        <f t="shared" si="114"/>
        <v>187.99235174726542</v>
      </c>
      <c r="CD50">
        <f t="shared" si="115"/>
        <v>1.8546933686777205</v>
      </c>
      <c r="CE50">
        <f t="shared" si="116"/>
        <v>40.997704649395587</v>
      </c>
      <c r="CF50">
        <f t="shared" si="117"/>
        <v>95.512129145817937</v>
      </c>
      <c r="CG50">
        <f t="shared" si="118"/>
        <v>165.08878353010547</v>
      </c>
      <c r="CH50">
        <f t="shared" si="119"/>
        <v>47.668481946029843</v>
      </c>
      <c r="CI50">
        <f t="shared" si="120"/>
        <v>143.7318318848771</v>
      </c>
      <c r="CJ50" s="7">
        <v>38</v>
      </c>
      <c r="CK50" s="13">
        <f t="shared" si="61"/>
        <v>13.799071828817228</v>
      </c>
      <c r="CL50">
        <f t="shared" si="62"/>
        <v>1.1801981529825136</v>
      </c>
      <c r="CM50">
        <f t="shared" si="63"/>
        <v>12.618873675834713</v>
      </c>
      <c r="CN50">
        <f t="shared" si="64"/>
        <v>14.979269981799742</v>
      </c>
      <c r="CO50">
        <f t="shared" si="65"/>
        <v>2.3603963059650273</v>
      </c>
      <c r="CP50">
        <f t="shared" si="66"/>
        <v>11.438675522852201</v>
      </c>
      <c r="CQ50">
        <f t="shared" si="67"/>
        <v>16.159468134782255</v>
      </c>
      <c r="CR50">
        <f t="shared" si="68"/>
        <v>3.5405944589475409</v>
      </c>
      <c r="CS50">
        <f t="shared" si="69"/>
        <v>10.258477369869688</v>
      </c>
      <c r="CT50">
        <f t="shared" si="70"/>
        <v>17.339666287764768</v>
      </c>
    </row>
    <row r="51" spans="1:98" x14ac:dyDescent="0.25">
      <c r="A51" s="7">
        <v>40</v>
      </c>
      <c r="B51" s="9">
        <f t="shared" si="29"/>
        <v>14.426317117467988</v>
      </c>
      <c r="C51">
        <v>0.46232490005188143</v>
      </c>
      <c r="D51">
        <v>0.29770805993835259</v>
      </c>
      <c r="E51">
        <v>-0.79570909756767483</v>
      </c>
      <c r="F51">
        <v>0.24106570635090185</v>
      </c>
      <c r="G51">
        <v>-0.12424085207678459</v>
      </c>
      <c r="H51">
        <v>-0.30722983489486377</v>
      </c>
      <c r="I51">
        <v>0.21018097476119268</v>
      </c>
      <c r="J51">
        <v>-0.64275032807397681</v>
      </c>
      <c r="K51">
        <v>-0.99554429761650443</v>
      </c>
      <c r="L51">
        <v>0.23795281838435001</v>
      </c>
      <c r="M51">
        <v>0.69109164708395632</v>
      </c>
      <c r="N51">
        <v>-0.16507461775566878</v>
      </c>
      <c r="O51">
        <v>-0.99786370433668015</v>
      </c>
      <c r="P51">
        <v>0.37919248023926522</v>
      </c>
      <c r="Q51">
        <v>0.5875118259224219</v>
      </c>
      <c r="R51">
        <v>-0.98260444959868165</v>
      </c>
      <c r="S51">
        <v>-0.65684987945188755</v>
      </c>
      <c r="T51">
        <v>0.1786248359630116</v>
      </c>
      <c r="U51">
        <v>-0.74309518723105561</v>
      </c>
      <c r="V51">
        <v>-0.7993713187047945</v>
      </c>
      <c r="W51">
        <v>-0.96435438093203529</v>
      </c>
      <c r="X51">
        <v>-7.4739829706717109E-2</v>
      </c>
      <c r="Y51">
        <v>0.89190343943601791</v>
      </c>
      <c r="Z51">
        <v>-0.37205114902188174</v>
      </c>
      <c r="AA51">
        <v>-0.11441389202551344</v>
      </c>
      <c r="AC51" s="7">
        <v>40</v>
      </c>
      <c r="AD51">
        <f t="shared" si="71"/>
        <v>20.815073209840371</v>
      </c>
      <c r="AE51">
        <f t="shared" si="72"/>
        <v>18.540272869074869</v>
      </c>
      <c r="AF51">
        <f t="shared" si="73"/>
        <v>3.4306053479501841</v>
      </c>
      <c r="AG51">
        <f t="shared" si="74"/>
        <v>17.75754587010179</v>
      </c>
      <c r="AH51">
        <f t="shared" si="75"/>
        <v>12.709462800216158</v>
      </c>
      <c r="AI51">
        <f t="shared" si="76"/>
        <v>10.180782258275116</v>
      </c>
      <c r="AJ51">
        <f t="shared" si="77"/>
        <v>17.330757226265177</v>
      </c>
      <c r="AK51">
        <f t="shared" si="78"/>
        <v>5.5443056275046381</v>
      </c>
      <c r="AL51">
        <f t="shared" si="79"/>
        <v>0.66913100028008365</v>
      </c>
      <c r="AM51">
        <f t="shared" si="80"/>
        <v>17.714529623390984</v>
      </c>
      <c r="AN51">
        <f t="shared" si="81"/>
        <v>23.976345615175603</v>
      </c>
      <c r="AO51">
        <f t="shared" si="82"/>
        <v>12.145190858068542</v>
      </c>
      <c r="AP51">
        <f t="shared" si="83"/>
        <v>0.63707967920144526</v>
      </c>
      <c r="AQ51">
        <f t="shared" si="84"/>
        <v>19.666286385916528</v>
      </c>
      <c r="AR51">
        <f t="shared" si="85"/>
        <v>22.545001092269018</v>
      </c>
      <c r="AS51">
        <f t="shared" si="86"/>
        <v>0.84794363366617276</v>
      </c>
      <c r="AT51">
        <f t="shared" si="87"/>
        <v>5.3494673335792271</v>
      </c>
      <c r="AU51">
        <f t="shared" si="88"/>
        <v>16.894690568432118</v>
      </c>
      <c r="AV51">
        <f t="shared" si="89"/>
        <v>4.157664262944575</v>
      </c>
      <c r="AW51">
        <f t="shared" si="90"/>
        <v>3.3799979988786504</v>
      </c>
      <c r="AX51">
        <f t="shared" si="91"/>
        <v>1.1001369232059908</v>
      </c>
      <c r="AY51">
        <f t="shared" si="92"/>
        <v>13.393505468499741</v>
      </c>
      <c r="AZ51">
        <f t="shared" si="93"/>
        <v>26.751315255931448</v>
      </c>
      <c r="BA51">
        <f t="shared" si="94"/>
        <v>9.2850321797089457</v>
      </c>
      <c r="BB51">
        <f t="shared" si="95"/>
        <v>12.845259186891445</v>
      </c>
      <c r="BC51" s="2">
        <f t="shared" si="30"/>
        <v>11.906695291010751</v>
      </c>
      <c r="BD51">
        <f t="shared" si="31"/>
        <v>65.797265652033857</v>
      </c>
      <c r="BE51">
        <f t="shared" si="32"/>
        <v>8.1115513714722827</v>
      </c>
      <c r="BF51" s="12">
        <f t="shared" si="33"/>
        <v>14.38608549714721</v>
      </c>
      <c r="BG51">
        <f t="shared" si="34"/>
        <v>-2.4793902061364594</v>
      </c>
      <c r="BH51">
        <f t="shared" si="35"/>
        <v>6.147375794285395</v>
      </c>
      <c r="BJ51" s="7">
        <v>39</v>
      </c>
      <c r="BK51">
        <f t="shared" si="96"/>
        <v>18.300731820199523</v>
      </c>
      <c r="BL51">
        <f t="shared" si="97"/>
        <v>201.24964275347057</v>
      </c>
      <c r="BM51">
        <f t="shared" si="98"/>
        <v>2.6532610345133194</v>
      </c>
      <c r="BN51">
        <f t="shared" si="99"/>
        <v>75.169524448179317</v>
      </c>
      <c r="BO51">
        <f t="shared" si="100"/>
        <v>3.0816577495994939</v>
      </c>
      <c r="BP51">
        <f t="shared" si="101"/>
        <v>67.232031262093528</v>
      </c>
      <c r="BQ51">
        <f t="shared" si="102"/>
        <v>5.5570814997814457</v>
      </c>
      <c r="BR51">
        <f t="shared" si="103"/>
        <v>14.340850918816061</v>
      </c>
      <c r="BS51">
        <f t="shared" si="104"/>
        <v>102.77855026347511</v>
      </c>
      <c r="BT51">
        <f t="shared" si="105"/>
        <v>2.6662535272873071E-3</v>
      </c>
      <c r="BU51">
        <f t="shared" si="106"/>
        <v>10.684707175689406</v>
      </c>
      <c r="BV51">
        <f t="shared" si="107"/>
        <v>125.45163496791621</v>
      </c>
      <c r="BW51">
        <f t="shared" si="108"/>
        <v>49.784132712322581</v>
      </c>
      <c r="BX51">
        <f t="shared" si="109"/>
        <v>19.320981892923665</v>
      </c>
      <c r="BY51">
        <f t="shared" si="110"/>
        <v>42.548823888317322</v>
      </c>
      <c r="BZ51">
        <f t="shared" si="111"/>
        <v>85.601738578730178</v>
      </c>
      <c r="CA51">
        <f t="shared" si="112"/>
        <v>41.999582306806538</v>
      </c>
      <c r="CB51">
        <f t="shared" si="113"/>
        <v>95.934488915208163</v>
      </c>
      <c r="CC51">
        <f t="shared" si="114"/>
        <v>216.29943800661181</v>
      </c>
      <c r="CD51">
        <f t="shared" si="115"/>
        <v>4.95441311078112</v>
      </c>
      <c r="CE51">
        <f t="shared" si="116"/>
        <v>22.238215835669724</v>
      </c>
      <c r="CF51">
        <f t="shared" si="117"/>
        <v>19.910666868463125</v>
      </c>
      <c r="CG51">
        <f t="shared" si="118"/>
        <v>46.625375365595772</v>
      </c>
      <c r="CH51">
        <f t="shared" si="119"/>
        <v>57.863428740012438</v>
      </c>
      <c r="CI51">
        <f t="shared" si="120"/>
        <v>61.356377092330121</v>
      </c>
      <c r="CJ51" s="7">
        <v>39</v>
      </c>
      <c r="CK51" s="13">
        <f t="shared" si="61"/>
        <v>14.083678442439091</v>
      </c>
      <c r="CL51">
        <f t="shared" si="62"/>
        <v>1.1964715161236317</v>
      </c>
      <c r="CM51">
        <f t="shared" si="63"/>
        <v>12.887206926315459</v>
      </c>
      <c r="CN51">
        <f t="shared" si="64"/>
        <v>15.280149958562722</v>
      </c>
      <c r="CO51">
        <f t="shared" si="65"/>
        <v>2.3929430322472633</v>
      </c>
      <c r="CP51">
        <f t="shared" si="66"/>
        <v>11.690735410191827</v>
      </c>
      <c r="CQ51">
        <f t="shared" si="67"/>
        <v>16.476621474686354</v>
      </c>
      <c r="CR51">
        <f t="shared" si="68"/>
        <v>3.589414548370895</v>
      </c>
      <c r="CS51">
        <f t="shared" si="69"/>
        <v>10.494263894068196</v>
      </c>
      <c r="CT51">
        <f t="shared" si="70"/>
        <v>17.673092990809984</v>
      </c>
    </row>
    <row r="52" spans="1:98" x14ac:dyDescent="0.25">
      <c r="A52" s="7">
        <v>41</v>
      </c>
      <c r="B52" s="9">
        <f t="shared" si="29"/>
        <v>14.717901517517747</v>
      </c>
      <c r="C52">
        <v>0.59312723166600545</v>
      </c>
      <c r="D52">
        <v>0.39555040131839969</v>
      </c>
      <c r="E52">
        <v>-0.8852504043702506</v>
      </c>
      <c r="F52">
        <v>-0.12637714774010433</v>
      </c>
      <c r="G52">
        <v>-4.019287697988827E-2</v>
      </c>
      <c r="H52">
        <v>0.27603991821039453</v>
      </c>
      <c r="I52">
        <v>-0.3860896633808405</v>
      </c>
      <c r="J52">
        <v>-0.2916653950621052</v>
      </c>
      <c r="K52">
        <v>-0.80266731772820221</v>
      </c>
      <c r="L52">
        <v>0.12350840784936068</v>
      </c>
      <c r="M52">
        <v>3.5554063539536829E-2</v>
      </c>
      <c r="N52">
        <v>0.61748100222785118</v>
      </c>
      <c r="O52">
        <v>-0.25138096255378883</v>
      </c>
      <c r="P52">
        <v>-0.76848658711508533</v>
      </c>
      <c r="Q52">
        <v>0.63298440504165776</v>
      </c>
      <c r="R52">
        <v>0.43980224005859547</v>
      </c>
      <c r="S52">
        <v>-0.69890438550981171</v>
      </c>
      <c r="T52">
        <v>-7.4739829706717109E-2</v>
      </c>
      <c r="U52">
        <v>-0.73259681997131265</v>
      </c>
      <c r="V52">
        <v>8.0782494582964492E-2</v>
      </c>
      <c r="W52">
        <v>0.67107150486770228</v>
      </c>
      <c r="X52">
        <v>0.15958128604998922</v>
      </c>
      <c r="Y52">
        <v>-0.13547166356395157</v>
      </c>
      <c r="Z52">
        <v>-0.60667744987334826</v>
      </c>
      <c r="AA52">
        <v>0.40989410077211819</v>
      </c>
      <c r="AC52" s="7">
        <v>41</v>
      </c>
      <c r="AD52">
        <f t="shared" si="71"/>
        <v>22.914183427561795</v>
      </c>
      <c r="AE52">
        <f t="shared" si="72"/>
        <v>20.183916945152475</v>
      </c>
      <c r="AF52">
        <f t="shared" si="73"/>
        <v>2.4848400632009096</v>
      </c>
      <c r="AG52">
        <f t="shared" si="74"/>
        <v>12.971526246640856</v>
      </c>
      <c r="AH52">
        <f t="shared" si="75"/>
        <v>14.162485861457649</v>
      </c>
      <c r="AI52">
        <f t="shared" si="76"/>
        <v>18.532430453784709</v>
      </c>
      <c r="AJ52">
        <f t="shared" si="77"/>
        <v>9.3826217416511533</v>
      </c>
      <c r="AK52">
        <f t="shared" si="78"/>
        <v>10.6874478918789</v>
      </c>
      <c r="AL52">
        <f t="shared" si="79"/>
        <v>3.6260357847640261</v>
      </c>
      <c r="AM52">
        <f t="shared" si="80"/>
        <v>16.424634364955271</v>
      </c>
      <c r="AN52">
        <f t="shared" si="81"/>
        <v>15.209214531420569</v>
      </c>
      <c r="AO52">
        <f t="shared" si="82"/>
        <v>23.250722298887503</v>
      </c>
      <c r="AP52">
        <f t="shared" si="83"/>
        <v>11.244128731665789</v>
      </c>
      <c r="AQ52">
        <f t="shared" si="84"/>
        <v>4.098371042765022</v>
      </c>
      <c r="AR52">
        <f t="shared" si="85"/>
        <v>23.464960076623669</v>
      </c>
      <c r="AS52">
        <f t="shared" si="86"/>
        <v>20.795422413100191</v>
      </c>
      <c r="AT52">
        <f t="shared" si="87"/>
        <v>5.0599106751241898</v>
      </c>
      <c r="AU52">
        <f t="shared" si="88"/>
        <v>13.6850898685495</v>
      </c>
      <c r="AV52">
        <f t="shared" si="89"/>
        <v>4.5943230636660655</v>
      </c>
      <c r="AW52">
        <f t="shared" si="90"/>
        <v>15.834215292454026</v>
      </c>
      <c r="AX52">
        <f t="shared" si="91"/>
        <v>23.991276506967637</v>
      </c>
      <c r="AY52">
        <f t="shared" si="92"/>
        <v>16.923116753309891</v>
      </c>
      <c r="AZ52">
        <f t="shared" si="93"/>
        <v>12.845851329779876</v>
      </c>
      <c r="BA52">
        <f t="shared" si="94"/>
        <v>6.3343724159090176</v>
      </c>
      <c r="BB52">
        <f t="shared" si="95"/>
        <v>20.382129062349321</v>
      </c>
      <c r="BC52" s="2">
        <f t="shared" si="30"/>
        <v>13.963329073744799</v>
      </c>
      <c r="BD52">
        <f t="shared" si="31"/>
        <v>46.965690988475103</v>
      </c>
      <c r="BE52">
        <f t="shared" si="32"/>
        <v>6.8531519017511284</v>
      </c>
      <c r="BF52" s="12">
        <f t="shared" si="33"/>
        <v>14.674187715444621</v>
      </c>
      <c r="BG52">
        <f t="shared" si="34"/>
        <v>-0.71085864169982216</v>
      </c>
      <c r="BH52">
        <f t="shared" si="35"/>
        <v>0.50532000847931613</v>
      </c>
      <c r="BJ52" s="7">
        <v>40</v>
      </c>
      <c r="BK52">
        <f t="shared" si="96"/>
        <v>42.958101199726755</v>
      </c>
      <c r="BL52">
        <f t="shared" si="97"/>
        <v>10.057201945184804</v>
      </c>
      <c r="BM52">
        <f t="shared" si="98"/>
        <v>87.502029506838426</v>
      </c>
      <c r="BN52">
        <f t="shared" si="99"/>
        <v>24.231548187690358</v>
      </c>
      <c r="BO52">
        <f t="shared" si="100"/>
        <v>2.0114736105461075</v>
      </c>
      <c r="BP52">
        <f t="shared" si="101"/>
        <v>13.698838616518781</v>
      </c>
      <c r="BQ52">
        <f t="shared" si="102"/>
        <v>21.079968517556527</v>
      </c>
      <c r="BR52">
        <f t="shared" si="103"/>
        <v>66.894716208460693</v>
      </c>
      <c r="BS52">
        <f t="shared" si="104"/>
        <v>184.29383377462824</v>
      </c>
      <c r="BT52">
        <f t="shared" si="105"/>
        <v>18.142819699152703</v>
      </c>
      <c r="BU52">
        <f t="shared" si="106"/>
        <v>57.701654954762503</v>
      </c>
      <c r="BV52">
        <f t="shared" si="107"/>
        <v>4.9288563281409576</v>
      </c>
      <c r="BW52">
        <f t="shared" si="108"/>
        <v>164.73991974353586</v>
      </c>
      <c r="BX52">
        <f t="shared" si="109"/>
        <v>8.9337182306681733</v>
      </c>
      <c r="BY52">
        <f t="shared" si="110"/>
        <v>82.089567021710153</v>
      </c>
      <c r="BZ52">
        <f t="shared" si="111"/>
        <v>174.21257812799567</v>
      </c>
      <c r="CA52">
        <f t="shared" si="112"/>
        <v>45.891774904767296</v>
      </c>
      <c r="CB52">
        <f t="shared" si="113"/>
        <v>2.7620297591875369</v>
      </c>
      <c r="CC52">
        <f t="shared" si="114"/>
        <v>132.64457168712943</v>
      </c>
      <c r="CD52">
        <f t="shared" si="115"/>
        <v>112.9345600561122</v>
      </c>
      <c r="CE52">
        <f t="shared" si="116"/>
        <v>205.31851322796362</v>
      </c>
      <c r="CF52">
        <f t="shared" si="117"/>
        <v>2.1452258345478938</v>
      </c>
      <c r="CG52">
        <f t="shared" si="118"/>
        <v>108.0016152191818</v>
      </c>
      <c r="CH52">
        <f t="shared" si="119"/>
        <v>38.594067576492179</v>
      </c>
      <c r="CI52">
        <f t="shared" si="120"/>
        <v>1.7728145290465938</v>
      </c>
      <c r="CJ52" s="7">
        <v>40</v>
      </c>
      <c r="CK52" s="13">
        <f t="shared" si="61"/>
        <v>14.368285056060952</v>
      </c>
      <c r="CL52">
        <f t="shared" si="62"/>
        <v>1.2147110779973074</v>
      </c>
      <c r="CM52">
        <f t="shared" si="63"/>
        <v>13.153573978063644</v>
      </c>
      <c r="CN52">
        <f t="shared" si="64"/>
        <v>15.582996134058259</v>
      </c>
      <c r="CO52">
        <f t="shared" si="65"/>
        <v>2.4294221559946148</v>
      </c>
      <c r="CP52">
        <f t="shared" si="66"/>
        <v>11.938862900066336</v>
      </c>
      <c r="CQ52">
        <f t="shared" si="67"/>
        <v>16.797707212055567</v>
      </c>
      <c r="CR52">
        <f t="shared" si="68"/>
        <v>3.6441332339919219</v>
      </c>
      <c r="CS52">
        <f t="shared" si="69"/>
        <v>10.724151822069029</v>
      </c>
      <c r="CT52">
        <f t="shared" si="70"/>
        <v>18.012418290052874</v>
      </c>
    </row>
    <row r="53" spans="1:98" x14ac:dyDescent="0.25">
      <c r="A53" s="7">
        <v>42</v>
      </c>
      <c r="B53" s="9">
        <f t="shared" si="29"/>
        <v>15.009485917567508</v>
      </c>
      <c r="C53">
        <v>0.94872890408032462</v>
      </c>
      <c r="D53">
        <v>0.37455366679891355</v>
      </c>
      <c r="E53">
        <v>0.54734946745200963</v>
      </c>
      <c r="F53">
        <v>0.94647053437910089</v>
      </c>
      <c r="G53">
        <v>-0.80901516769920956</v>
      </c>
      <c r="H53">
        <v>0.54881435590685745</v>
      </c>
      <c r="I53">
        <v>-5.0141911069063405E-2</v>
      </c>
      <c r="J53">
        <v>-0.92388683736686295</v>
      </c>
      <c r="K53">
        <v>-0.54972991119113734</v>
      </c>
      <c r="L53">
        <v>0.84545426801355017</v>
      </c>
      <c r="M53">
        <v>0.77855769524216445</v>
      </c>
      <c r="N53">
        <v>0.61088900418103576</v>
      </c>
      <c r="O53">
        <v>-0.74327829828791159</v>
      </c>
      <c r="P53">
        <v>0.77593310342722854</v>
      </c>
      <c r="Q53">
        <v>-0.80925931577501753</v>
      </c>
      <c r="R53">
        <v>1.129184850611864E-3</v>
      </c>
      <c r="S53">
        <v>-0.50962858973967706</v>
      </c>
      <c r="T53">
        <v>6.4394054994354466E-3</v>
      </c>
      <c r="U53">
        <v>0.2713400677510911</v>
      </c>
      <c r="V53">
        <v>0.74364452040162354</v>
      </c>
      <c r="W53">
        <v>0.4081240272225104</v>
      </c>
      <c r="X53">
        <v>0.52482680745872368</v>
      </c>
      <c r="Y53">
        <v>0.7806329538865322</v>
      </c>
      <c r="Z53">
        <v>-0.61375774407177952</v>
      </c>
      <c r="AA53">
        <v>0.87878048036133904</v>
      </c>
      <c r="AC53" s="7">
        <v>42</v>
      </c>
      <c r="AD53">
        <f t="shared" si="71"/>
        <v>28.119741422457622</v>
      </c>
      <c r="AE53">
        <f t="shared" si="72"/>
        <v>20.185352543858766</v>
      </c>
      <c r="AF53">
        <f t="shared" si="73"/>
        <v>22.573175964217366</v>
      </c>
      <c r="AG53">
        <f t="shared" si="74"/>
        <v>28.08853355719684</v>
      </c>
      <c r="AH53">
        <f t="shared" si="75"/>
        <v>3.8299007797564606</v>
      </c>
      <c r="AI53">
        <f t="shared" si="76"/>
        <v>22.593418903845979</v>
      </c>
      <c r="AJ53">
        <f t="shared" si="77"/>
        <v>14.316586963196405</v>
      </c>
      <c r="AK53">
        <f t="shared" si="78"/>
        <v>2.2425169305459747</v>
      </c>
      <c r="AL53">
        <f t="shared" si="79"/>
        <v>7.4129010940211515</v>
      </c>
      <c r="AM53">
        <f t="shared" si="80"/>
        <v>26.69261417864033</v>
      </c>
      <c r="AN53">
        <f t="shared" si="81"/>
        <v>25.768186602266958</v>
      </c>
      <c r="AO53">
        <f t="shared" si="82"/>
        <v>23.451213470608501</v>
      </c>
      <c r="AP53">
        <f t="shared" si="83"/>
        <v>4.7383026955905176</v>
      </c>
      <c r="AQ53">
        <f t="shared" si="84"/>
        <v>25.731918002099022</v>
      </c>
      <c r="AR53">
        <f t="shared" si="85"/>
        <v>3.8265269564850257</v>
      </c>
      <c r="AS53">
        <f t="shared" si="86"/>
        <v>15.025089850197897</v>
      </c>
      <c r="AT53">
        <f t="shared" si="87"/>
        <v>7.9670515663544608</v>
      </c>
      <c r="AU53">
        <f t="shared" si="88"/>
        <v>15.098470506351624</v>
      </c>
      <c r="AV53">
        <f t="shared" si="89"/>
        <v>18.759068755859335</v>
      </c>
      <c r="AW53">
        <f t="shared" si="90"/>
        <v>25.285729874451654</v>
      </c>
      <c r="AX53">
        <f t="shared" si="91"/>
        <v>20.649253243681173</v>
      </c>
      <c r="AY53">
        <f t="shared" si="92"/>
        <v>22.261940767427426</v>
      </c>
      <c r="AZ53">
        <f t="shared" si="93"/>
        <v>25.79686410007416</v>
      </c>
      <c r="BA53">
        <f t="shared" si="94"/>
        <v>6.5281159410871439</v>
      </c>
      <c r="BB53">
        <f t="shared" si="95"/>
        <v>27.153141055191298</v>
      </c>
      <c r="BC53" s="2">
        <f t="shared" si="30"/>
        <v>17.763824629018526</v>
      </c>
      <c r="BD53">
        <f t="shared" si="31"/>
        <v>79.14316827257646</v>
      </c>
      <c r="BE53">
        <f t="shared" si="32"/>
        <v>8.8962446162735684</v>
      </c>
      <c r="BF53" s="12">
        <f t="shared" si="33"/>
        <v>14.962289933742031</v>
      </c>
      <c r="BG53">
        <f t="shared" si="34"/>
        <v>2.8015346952764943</v>
      </c>
      <c r="BH53">
        <f t="shared" si="35"/>
        <v>7.8485966488379599</v>
      </c>
      <c r="BJ53" s="7">
        <v>41</v>
      </c>
      <c r="BK53">
        <f t="shared" si="96"/>
        <v>69.308548693362425</v>
      </c>
      <c r="BL53">
        <f t="shared" si="97"/>
        <v>20.31686640154911</v>
      </c>
      <c r="BM53">
        <f t="shared" si="98"/>
        <v>112.22829457946847</v>
      </c>
      <c r="BN53">
        <f t="shared" si="99"/>
        <v>1.3024226026186005E-4</v>
      </c>
      <c r="BO53">
        <f t="shared" si="100"/>
        <v>4.1753419431525593E-2</v>
      </c>
      <c r="BP53">
        <f t="shared" si="101"/>
        <v>19.266867346884421</v>
      </c>
      <c r="BQ53">
        <f t="shared" si="102"/>
        <v>13.160271605544496</v>
      </c>
      <c r="BR53">
        <f t="shared" si="103"/>
        <v>10.896316710456999</v>
      </c>
      <c r="BS53">
        <f t="shared" si="104"/>
        <v>120.44397765273143</v>
      </c>
      <c r="BT53">
        <f t="shared" si="105"/>
        <v>7.45780932032865</v>
      </c>
      <c r="BU53">
        <f t="shared" si="106"/>
        <v>2.1524719572876045</v>
      </c>
      <c r="BV53">
        <f t="shared" si="107"/>
        <v>73.697225038922468</v>
      </c>
      <c r="BW53">
        <f t="shared" si="108"/>
        <v>6.578509588929025</v>
      </c>
      <c r="BX53">
        <f t="shared" si="109"/>
        <v>165.66669628599988</v>
      </c>
      <c r="BY53">
        <f t="shared" si="110"/>
        <v>93.683262279666366</v>
      </c>
      <c r="BZ53">
        <f t="shared" si="111"/>
        <v>43.153570096277697</v>
      </c>
      <c r="CA53">
        <f t="shared" si="112"/>
        <v>53.58501278653474</v>
      </c>
      <c r="CB53">
        <f t="shared" si="113"/>
        <v>3.5847373103070463</v>
      </c>
      <c r="CC53">
        <f t="shared" si="114"/>
        <v>129.55356589642253</v>
      </c>
      <c r="CD53">
        <f t="shared" si="115"/>
        <v>2.3362487858493117</v>
      </c>
      <c r="CE53">
        <f t="shared" si="116"/>
        <v>67.646953052112593</v>
      </c>
      <c r="CF53">
        <f t="shared" si="117"/>
        <v>3.0316127941238422</v>
      </c>
      <c r="CG53">
        <f t="shared" si="118"/>
        <v>14.278542600757481</v>
      </c>
      <c r="CH53">
        <f t="shared" si="119"/>
        <v>89.854294225830046</v>
      </c>
      <c r="CI53">
        <f t="shared" si="120"/>
        <v>35.135408612351291</v>
      </c>
      <c r="CJ53" s="7">
        <v>41</v>
      </c>
      <c r="CK53" s="13">
        <f t="shared" si="61"/>
        <v>14.652891669682813</v>
      </c>
      <c r="CL53">
        <f t="shared" si="62"/>
        <v>1.2348297140277822</v>
      </c>
      <c r="CM53">
        <f t="shared" si="63"/>
        <v>13.41806195565503</v>
      </c>
      <c r="CN53">
        <f t="shared" si="64"/>
        <v>15.887721383710595</v>
      </c>
      <c r="CO53">
        <f t="shared" si="65"/>
        <v>2.4696594280555644</v>
      </c>
      <c r="CP53">
        <f t="shared" si="66"/>
        <v>12.183232241627248</v>
      </c>
      <c r="CQ53">
        <f t="shared" si="67"/>
        <v>17.122551097738377</v>
      </c>
      <c r="CR53">
        <f t="shared" si="68"/>
        <v>3.7044891420833466</v>
      </c>
      <c r="CS53">
        <f t="shared" si="69"/>
        <v>10.948402527599466</v>
      </c>
      <c r="CT53">
        <f t="shared" si="70"/>
        <v>18.357380811766159</v>
      </c>
    </row>
    <row r="54" spans="1:98" x14ac:dyDescent="0.25">
      <c r="A54" s="7">
        <v>43</v>
      </c>
      <c r="B54" s="9">
        <f t="shared" si="29"/>
        <v>15.301070317617269</v>
      </c>
      <c r="C54">
        <v>-0.81353190710165713</v>
      </c>
      <c r="D54">
        <v>0.7661671803949095</v>
      </c>
      <c r="E54">
        <v>0.94366283150730923</v>
      </c>
      <c r="F54">
        <v>-0.61296426282540362</v>
      </c>
      <c r="G54">
        <v>0.95245216223639639</v>
      </c>
      <c r="H54">
        <v>-0.89996032593768116</v>
      </c>
      <c r="I54">
        <v>0.53483687856685069</v>
      </c>
      <c r="J54">
        <v>0.36973174230170591</v>
      </c>
      <c r="K54">
        <v>0.13034455397198408</v>
      </c>
      <c r="L54">
        <v>-0.99536118655964845</v>
      </c>
      <c r="M54">
        <v>-0.94360179448835724</v>
      </c>
      <c r="N54">
        <v>0.44645527512436289</v>
      </c>
      <c r="O54">
        <v>-6.7232276375621791E-2</v>
      </c>
      <c r="P54">
        <v>0.62883388775292204</v>
      </c>
      <c r="Q54">
        <v>-0.29654835657826473</v>
      </c>
      <c r="R54">
        <v>0.10733359782708218</v>
      </c>
      <c r="S54">
        <v>-0.33652760399182102</v>
      </c>
      <c r="T54">
        <v>0.73760185552537605</v>
      </c>
      <c r="U54">
        <v>-0.84984893337809386</v>
      </c>
      <c r="V54">
        <v>-0.57951597643971064</v>
      </c>
      <c r="W54">
        <v>-0.15408795434430977</v>
      </c>
      <c r="X54">
        <v>0.57799005096591083</v>
      </c>
      <c r="Y54">
        <v>0.20371105075228124</v>
      </c>
      <c r="Z54">
        <v>-0.67894528031250956</v>
      </c>
      <c r="AA54">
        <v>0.60545670949430819</v>
      </c>
      <c r="AC54" s="7">
        <v>43</v>
      </c>
      <c r="AD54">
        <f t="shared" si="71"/>
        <v>4.059069449284662</v>
      </c>
      <c r="AE54">
        <f t="shared" si="72"/>
        <v>25.888549471291356</v>
      </c>
      <c r="AF54">
        <f t="shared" si="73"/>
        <v>28.341318989625094</v>
      </c>
      <c r="AG54">
        <f t="shared" si="74"/>
        <v>6.8306652667690706</v>
      </c>
      <c r="AH54">
        <f t="shared" si="75"/>
        <v>28.462776627396778</v>
      </c>
      <c r="AI54">
        <f t="shared" si="76"/>
        <v>2.8647360111964328</v>
      </c>
      <c r="AJ54">
        <f t="shared" si="77"/>
        <v>22.691851921606048</v>
      </c>
      <c r="AK54">
        <f t="shared" si="78"/>
        <v>20.410303934297673</v>
      </c>
      <c r="AL54">
        <f t="shared" si="79"/>
        <v>17.102270216654993</v>
      </c>
      <c r="AM54">
        <f t="shared" si="80"/>
        <v>1.5464145678829393</v>
      </c>
      <c r="AN54">
        <f t="shared" si="81"/>
        <v>2.2616651014273028</v>
      </c>
      <c r="AO54">
        <f t="shared" si="82"/>
        <v>21.470527897346333</v>
      </c>
      <c r="AP54">
        <f t="shared" si="83"/>
        <v>14.37200373424567</v>
      </c>
      <c r="AQ54">
        <f t="shared" si="84"/>
        <v>23.990773881108787</v>
      </c>
      <c r="AR54">
        <f t="shared" si="85"/>
        <v>11.203140226549708</v>
      </c>
      <c r="AS54">
        <f t="shared" si="86"/>
        <v>16.784287373322179</v>
      </c>
      <c r="AT54">
        <f t="shared" si="87"/>
        <v>10.650676665852117</v>
      </c>
      <c r="AU54">
        <f t="shared" si="88"/>
        <v>25.49381214853338</v>
      </c>
      <c r="AV54">
        <f t="shared" si="89"/>
        <v>3.557213237658603</v>
      </c>
      <c r="AW54">
        <f t="shared" si="90"/>
        <v>7.2928790549557583</v>
      </c>
      <c r="AX54">
        <f t="shared" si="91"/>
        <v>13.171766105432427</v>
      </c>
      <c r="AY54">
        <f t="shared" si="92"/>
        <v>23.288175184832305</v>
      </c>
      <c r="AZ54">
        <f t="shared" si="93"/>
        <v>18.116104109721412</v>
      </c>
      <c r="BA54">
        <f t="shared" si="94"/>
        <v>5.9188895276635787</v>
      </c>
      <c r="BB54">
        <f t="shared" si="95"/>
        <v>23.667730302868819</v>
      </c>
      <c r="BC54" s="2">
        <f t="shared" si="30"/>
        <v>15.177504040300937</v>
      </c>
      <c r="BD54">
        <f t="shared" si="31"/>
        <v>81.093686978992011</v>
      </c>
      <c r="BE54">
        <f t="shared" si="32"/>
        <v>9.0052033280205297</v>
      </c>
      <c r="BF54" s="12">
        <f t="shared" si="33"/>
        <v>15.250392152039439</v>
      </c>
      <c r="BG54">
        <f t="shared" si="34"/>
        <v>-7.2888111738501848E-2</v>
      </c>
      <c r="BH54">
        <f t="shared" si="35"/>
        <v>5.3126768328043313E-3</v>
      </c>
      <c r="BJ54" s="7">
        <v>42</v>
      </c>
      <c r="BK54">
        <f t="shared" si="96"/>
        <v>174.30748429282863</v>
      </c>
      <c r="BL54">
        <f t="shared" si="97"/>
        <v>17.651167819927171</v>
      </c>
      <c r="BM54">
        <f t="shared" si="98"/>
        <v>84.654386037767225</v>
      </c>
      <c r="BN54">
        <f t="shared" si="99"/>
        <v>225.09890987489254</v>
      </c>
      <c r="BO54">
        <f t="shared" si="100"/>
        <v>116.12254060422376</v>
      </c>
      <c r="BP54">
        <f t="shared" si="101"/>
        <v>67.065329603348928</v>
      </c>
      <c r="BQ54">
        <f t="shared" si="102"/>
        <v>1.0720330575142583</v>
      </c>
      <c r="BR54">
        <f t="shared" si="103"/>
        <v>144.26575667886277</v>
      </c>
      <c r="BS54">
        <f t="shared" si="104"/>
        <v>56.911140619353603</v>
      </c>
      <c r="BT54">
        <f t="shared" si="105"/>
        <v>162.82357599774542</v>
      </c>
      <c r="BU54">
        <f t="shared" si="106"/>
        <v>77.364014420716927</v>
      </c>
      <c r="BV54">
        <f t="shared" si="107"/>
        <v>71.986402373933601</v>
      </c>
      <c r="BW54">
        <f t="shared" si="108"/>
        <v>88.500890533457351</v>
      </c>
      <c r="BX54">
        <f t="shared" si="109"/>
        <v>71.744535520508478</v>
      </c>
      <c r="BY54">
        <f t="shared" si="110"/>
        <v>105.28193458057062</v>
      </c>
      <c r="BZ54">
        <f t="shared" si="111"/>
        <v>0.38368770930539747</v>
      </c>
      <c r="CA54">
        <f t="shared" si="112"/>
        <v>21.802479774200261</v>
      </c>
      <c r="CB54">
        <f t="shared" si="113"/>
        <v>0.68167267864844105</v>
      </c>
      <c r="CC54">
        <f t="shared" si="114"/>
        <v>6.1549116389522096</v>
      </c>
      <c r="CD54">
        <f t="shared" si="115"/>
        <v>114.09066313511491</v>
      </c>
      <c r="CE54">
        <f t="shared" si="116"/>
        <v>20.6600286268798</v>
      </c>
      <c r="CF54">
        <f t="shared" si="117"/>
        <v>45.645929241296962</v>
      </c>
      <c r="CG54">
        <f t="shared" si="118"/>
        <v>79.329347046403697</v>
      </c>
      <c r="CH54">
        <f t="shared" si="119"/>
        <v>92.188520614963153</v>
      </c>
      <c r="CI54">
        <f t="shared" si="120"/>
        <v>154.27226412281351</v>
      </c>
      <c r="CJ54" s="7">
        <v>42</v>
      </c>
      <c r="CK54" s="13">
        <f t="shared" si="61"/>
        <v>14.937498283304675</v>
      </c>
      <c r="CL54">
        <f t="shared" si="62"/>
        <v>1.2567371832665897</v>
      </c>
      <c r="CM54">
        <f t="shared" si="63"/>
        <v>13.680761100038087</v>
      </c>
      <c r="CN54">
        <f t="shared" si="64"/>
        <v>16.194235466571264</v>
      </c>
      <c r="CO54">
        <f t="shared" si="65"/>
        <v>2.5134743665331793</v>
      </c>
      <c r="CP54">
        <f t="shared" si="66"/>
        <v>12.424023916771496</v>
      </c>
      <c r="CQ54">
        <f t="shared" si="67"/>
        <v>17.450972649837855</v>
      </c>
      <c r="CR54">
        <f t="shared" si="68"/>
        <v>3.770211549799769</v>
      </c>
      <c r="CS54">
        <f t="shared" si="69"/>
        <v>11.167286733504906</v>
      </c>
      <c r="CT54">
        <f t="shared" si="70"/>
        <v>18.707709833104445</v>
      </c>
    </row>
    <row r="55" spans="1:98" x14ac:dyDescent="0.25">
      <c r="A55" s="7">
        <v>44</v>
      </c>
      <c r="B55" s="9">
        <f t="shared" si="29"/>
        <v>15.592654717667028</v>
      </c>
      <c r="C55">
        <v>-1.7609179967650435E-2</v>
      </c>
      <c r="D55">
        <v>-0.25736259041108434</v>
      </c>
      <c r="E55">
        <v>-0.95483260597552411</v>
      </c>
      <c r="F55">
        <v>-0.38273262733848079</v>
      </c>
      <c r="G55">
        <v>0.77343058565019684</v>
      </c>
      <c r="H55">
        <v>0.75359355449079857</v>
      </c>
      <c r="I55">
        <v>-0.72917874691000084</v>
      </c>
      <c r="J55">
        <v>0.93444624164555812</v>
      </c>
      <c r="K55">
        <v>-0.46873378704184088</v>
      </c>
      <c r="L55">
        <v>0.27762688070314656</v>
      </c>
      <c r="M55">
        <v>-0.47178563798944062</v>
      </c>
      <c r="N55">
        <v>-0.99383526108584852</v>
      </c>
      <c r="O55">
        <v>0.78807947019867552</v>
      </c>
      <c r="P55">
        <v>7.9317606128116669E-2</v>
      </c>
      <c r="Q55">
        <v>-0.55772576067384871</v>
      </c>
      <c r="R55">
        <v>-0.79900509659108243</v>
      </c>
      <c r="S55">
        <v>0.70897549363689083</v>
      </c>
      <c r="T55">
        <v>-0.14865565965758232</v>
      </c>
      <c r="U55">
        <v>0.36960966826380193</v>
      </c>
      <c r="V55">
        <v>-0.85454878383739741</v>
      </c>
      <c r="W55">
        <v>0.32523575548570216</v>
      </c>
      <c r="X55">
        <v>-0.23349711600085454</v>
      </c>
      <c r="Y55">
        <v>0.9923703726310007</v>
      </c>
      <c r="Z55">
        <v>0.19248023926511437</v>
      </c>
      <c r="AA55">
        <v>0.38029114658040108</v>
      </c>
      <c r="AC55" s="7">
        <v>44</v>
      </c>
      <c r="AD55">
        <f t="shared" si="71"/>
        <v>15.349317714214729</v>
      </c>
      <c r="AE55">
        <f t="shared" si="72"/>
        <v>12.036223261664894</v>
      </c>
      <c r="AF55">
        <f t="shared" si="73"/>
        <v>2.3980536309910221</v>
      </c>
      <c r="AG55">
        <f t="shared" si="74"/>
        <v>10.303765011782673</v>
      </c>
      <c r="AH55">
        <f t="shared" si="75"/>
        <v>26.280505113666322</v>
      </c>
      <c r="AI55">
        <f t="shared" si="76"/>
        <v>26.006381972862172</v>
      </c>
      <c r="AJ55">
        <f t="shared" si="77"/>
        <v>5.5163097896154483</v>
      </c>
      <c r="AK55">
        <f t="shared" si="78"/>
        <v>28.505541561178156</v>
      </c>
      <c r="AL55">
        <f t="shared" si="79"/>
        <v>9.1153357644194557</v>
      </c>
      <c r="AM55">
        <f t="shared" si="80"/>
        <v>19.429113505198323</v>
      </c>
      <c r="AN55">
        <f t="shared" si="81"/>
        <v>9.0731629735265109</v>
      </c>
      <c r="AO55">
        <f t="shared" si="82"/>
        <v>1.8590853633791724</v>
      </c>
      <c r="AP55">
        <f t="shared" si="83"/>
        <v>26.482934509952464</v>
      </c>
      <c r="AQ55">
        <f t="shared" si="84"/>
        <v>16.688725552974692</v>
      </c>
      <c r="AR55">
        <f t="shared" si="85"/>
        <v>7.8855771819811515</v>
      </c>
      <c r="AS55">
        <f t="shared" si="86"/>
        <v>4.5513963339848438</v>
      </c>
      <c r="AT55">
        <f t="shared" si="87"/>
        <v>25.389815770007306</v>
      </c>
      <c r="AU55">
        <f t="shared" si="88"/>
        <v>13.538418073271629</v>
      </c>
      <c r="AV55">
        <f t="shared" si="89"/>
        <v>20.700201422711714</v>
      </c>
      <c r="AW55">
        <f t="shared" si="90"/>
        <v>3.7838515397332255</v>
      </c>
      <c r="AX55">
        <f t="shared" si="91"/>
        <v>20.08700904312828</v>
      </c>
      <c r="AY55">
        <f t="shared" si="92"/>
        <v>12.366014486447732</v>
      </c>
      <c r="AZ55">
        <f t="shared" si="93"/>
        <v>29.305981132326266</v>
      </c>
      <c r="BA55">
        <f t="shared" si="94"/>
        <v>18.25249263928513</v>
      </c>
      <c r="BB55">
        <f t="shared" si="95"/>
        <v>20.847806190837026</v>
      </c>
      <c r="BC55" s="2">
        <f t="shared" si="30"/>
        <v>15.430120781565615</v>
      </c>
      <c r="BD55">
        <f t="shared" si="31"/>
        <v>75.544211186687832</v>
      </c>
      <c r="BE55">
        <f t="shared" si="32"/>
        <v>8.6916172940763925</v>
      </c>
      <c r="BF55" s="12">
        <f t="shared" si="33"/>
        <v>15.538494370336849</v>
      </c>
      <c r="BG55">
        <f t="shared" si="34"/>
        <v>-0.10837358877123471</v>
      </c>
      <c r="BH55">
        <f t="shared" si="35"/>
        <v>1.174483474315669E-2</v>
      </c>
      <c r="BJ55" s="7">
        <v>43</v>
      </c>
      <c r="BK55">
        <f t="shared" si="96"/>
        <v>125.13316477196139</v>
      </c>
      <c r="BL55">
        <f t="shared" si="97"/>
        <v>92.102340586699313</v>
      </c>
      <c r="BM55">
        <f t="shared" si="98"/>
        <v>215.36021584192338</v>
      </c>
      <c r="BN55">
        <f t="shared" si="99"/>
        <v>40.700504554079423</v>
      </c>
      <c r="BO55">
        <f t="shared" si="100"/>
        <v>185.44348626277821</v>
      </c>
      <c r="BP55">
        <f t="shared" si="101"/>
        <v>139.24921471658533</v>
      </c>
      <c r="BQ55">
        <f t="shared" si="102"/>
        <v>83.535746366012674</v>
      </c>
      <c r="BR55">
        <f t="shared" si="103"/>
        <v>34.710228516675727</v>
      </c>
      <c r="BS55">
        <f t="shared" si="104"/>
        <v>3.2016173979538021</v>
      </c>
      <c r="BT55">
        <f t="shared" si="105"/>
        <v>159.38077980473113</v>
      </c>
      <c r="BU55">
        <f t="shared" si="106"/>
        <v>225.2100459275477</v>
      </c>
      <c r="BV55">
        <f t="shared" si="107"/>
        <v>38.478134995489413</v>
      </c>
      <c r="BW55">
        <f t="shared" si="108"/>
        <v>1.2231203159555434E-2</v>
      </c>
      <c r="BX55">
        <f t="shared" si="109"/>
        <v>41.433625895465077</v>
      </c>
      <c r="BY55">
        <f t="shared" si="110"/>
        <v>10.146531872195967</v>
      </c>
      <c r="BZ55">
        <f t="shared" si="111"/>
        <v>4.8366697699377479</v>
      </c>
      <c r="CA55">
        <f t="shared" si="112"/>
        <v>5.0263955958387863</v>
      </c>
      <c r="CB55">
        <f t="shared" si="113"/>
        <v>85.082763224910536</v>
      </c>
      <c r="CC55">
        <f t="shared" si="114"/>
        <v>169.58869289299727</v>
      </c>
      <c r="CD55">
        <f t="shared" si="115"/>
        <v>57.91512035748439</v>
      </c>
      <c r="CE55">
        <f t="shared" si="116"/>
        <v>10.690152155134305</v>
      </c>
      <c r="CF55">
        <f t="shared" si="117"/>
        <v>55.630891744816431</v>
      </c>
      <c r="CG55">
        <f t="shared" si="118"/>
        <v>0.92222959622048117</v>
      </c>
      <c r="CH55">
        <f t="shared" si="119"/>
        <v>110.81330991270589</v>
      </c>
      <c r="CI55">
        <f t="shared" si="120"/>
        <v>74.949564867747426</v>
      </c>
      <c r="CJ55" s="7">
        <v>43</v>
      </c>
      <c r="CK55" s="13">
        <f t="shared" si="61"/>
        <v>15.222104896926536</v>
      </c>
      <c r="CL55">
        <f t="shared" si="62"/>
        <v>1.2803416647466035</v>
      </c>
      <c r="CM55">
        <f t="shared" si="63"/>
        <v>13.941763232179934</v>
      </c>
      <c r="CN55">
        <f t="shared" si="64"/>
        <v>16.502446561673139</v>
      </c>
      <c r="CO55">
        <f t="shared" si="65"/>
        <v>2.560683329493207</v>
      </c>
      <c r="CP55">
        <f t="shared" si="66"/>
        <v>12.661421567433329</v>
      </c>
      <c r="CQ55">
        <f t="shared" si="67"/>
        <v>17.782788226419743</v>
      </c>
      <c r="CR55">
        <f t="shared" si="68"/>
        <v>3.8410249942398105</v>
      </c>
      <c r="CS55">
        <f t="shared" si="69"/>
        <v>11.381079902686725</v>
      </c>
      <c r="CT55">
        <f t="shared" si="70"/>
        <v>19.063129891166348</v>
      </c>
    </row>
    <row r="56" spans="1:98" x14ac:dyDescent="0.25">
      <c r="A56" s="7">
        <v>45</v>
      </c>
      <c r="B56" s="9">
        <f t="shared" si="29"/>
        <v>15.884239117716788</v>
      </c>
      <c r="C56">
        <v>0.18948942533646651</v>
      </c>
      <c r="D56">
        <v>-0.56816309091463979</v>
      </c>
      <c r="E56">
        <v>-0.66966765343180645</v>
      </c>
      <c r="F56">
        <v>0.85106967375713372</v>
      </c>
      <c r="G56">
        <v>-0.63786736655781739</v>
      </c>
      <c r="H56">
        <v>-0.55577257606738484</v>
      </c>
      <c r="I56">
        <v>0.84661397137363803</v>
      </c>
      <c r="J56">
        <v>-0.79174169133579519</v>
      </c>
      <c r="K56">
        <v>0.87322611163670771</v>
      </c>
      <c r="L56">
        <v>-0.73961607715079203</v>
      </c>
      <c r="M56">
        <v>5.7283242286446656E-2</v>
      </c>
      <c r="N56">
        <v>0.47734000671407206</v>
      </c>
      <c r="O56">
        <v>-0.27414777062288276</v>
      </c>
      <c r="P56">
        <v>0.63322855311746573</v>
      </c>
      <c r="Q56">
        <v>0.41599780266731767</v>
      </c>
      <c r="R56">
        <v>-0.83806878872035884</v>
      </c>
      <c r="S56">
        <v>0.81591235084078484</v>
      </c>
      <c r="T56">
        <v>0.65392010254219191</v>
      </c>
      <c r="U56">
        <v>0.31339457380901514</v>
      </c>
      <c r="V56">
        <v>9.4515823847163283E-2</v>
      </c>
      <c r="W56">
        <v>0.63170262764366591</v>
      </c>
      <c r="X56">
        <v>-9.8727378154850887E-2</v>
      </c>
      <c r="Y56">
        <v>0.88189336832789089</v>
      </c>
      <c r="Z56">
        <v>0.27390362254707479</v>
      </c>
      <c r="AA56">
        <v>-1.0040589617603124E-2</v>
      </c>
      <c r="AC56" s="7">
        <v>45</v>
      </c>
      <c r="AD56">
        <f t="shared" si="71"/>
        <v>18.502747704259804</v>
      </c>
      <c r="AE56">
        <f t="shared" si="72"/>
        <v>8.032930637177035</v>
      </c>
      <c r="AF56">
        <f t="shared" si="73"/>
        <v>6.6302636120776537</v>
      </c>
      <c r="AG56">
        <f t="shared" si="74"/>
        <v>27.644965314032632</v>
      </c>
      <c r="AH56">
        <f t="shared" si="75"/>
        <v>7.0697040931821498</v>
      </c>
      <c r="AI56">
        <f t="shared" si="76"/>
        <v>8.2041521682023983</v>
      </c>
      <c r="AJ56">
        <f t="shared" si="77"/>
        <v>27.583393039328929</v>
      </c>
      <c r="AK56">
        <f t="shared" si="78"/>
        <v>4.9433519763598142</v>
      </c>
      <c r="AL56">
        <f t="shared" si="79"/>
        <v>27.951139775915422</v>
      </c>
      <c r="AM56">
        <f t="shared" si="80"/>
        <v>5.6636632448113318</v>
      </c>
      <c r="AN56">
        <f t="shared" si="81"/>
        <v>16.675822402777385</v>
      </c>
      <c r="AO56">
        <f t="shared" si="82"/>
        <v>22.480485341282467</v>
      </c>
      <c r="AP56">
        <f t="shared" si="83"/>
        <v>12.095857311803453</v>
      </c>
      <c r="AQ56">
        <f t="shared" si="84"/>
        <v>24.63467150009415</v>
      </c>
      <c r="AR56">
        <f t="shared" si="85"/>
        <v>21.632812244334254</v>
      </c>
      <c r="AS56">
        <f t="shared" si="86"/>
        <v>4.303169010604897</v>
      </c>
      <c r="AT56">
        <f t="shared" si="87"/>
        <v>27.159134762945893</v>
      </c>
      <c r="AU56">
        <f t="shared" si="88"/>
        <v>24.920603022348324</v>
      </c>
      <c r="AV56">
        <f t="shared" si="89"/>
        <v>20.214963014513408</v>
      </c>
      <c r="AW56">
        <f t="shared" si="90"/>
        <v>17.190330451671326</v>
      </c>
      <c r="AX56">
        <f t="shared" si="91"/>
        <v>24.613585104647676</v>
      </c>
      <c r="AY56">
        <f t="shared" si="92"/>
        <v>14.519949332329986</v>
      </c>
      <c r="AZ56">
        <f t="shared" si="93"/>
        <v>28.070910502051383</v>
      </c>
      <c r="BA56">
        <f t="shared" si="94"/>
        <v>19.669247100358689</v>
      </c>
      <c r="BB56">
        <f t="shared" si="95"/>
        <v>15.745490635678996</v>
      </c>
      <c r="BC56" s="2">
        <f t="shared" si="30"/>
        <v>17.44613373211158</v>
      </c>
      <c r="BD56">
        <f t="shared" si="31"/>
        <v>68.632310323687605</v>
      </c>
      <c r="BE56">
        <f t="shared" si="32"/>
        <v>8.2844619815463947</v>
      </c>
      <c r="BF56" s="12">
        <f t="shared" si="33"/>
        <v>15.82659658863426</v>
      </c>
      <c r="BG56">
        <f t="shared" si="34"/>
        <v>1.61953714347732</v>
      </c>
      <c r="BH56">
        <f t="shared" si="35"/>
        <v>2.6229005591026775</v>
      </c>
      <c r="BJ56" s="7">
        <v>44</v>
      </c>
      <c r="BK56">
        <f t="shared" si="96"/>
        <v>5.027593645342638E-2</v>
      </c>
      <c r="BL56">
        <f t="shared" si="97"/>
        <v>20.819687343172316</v>
      </c>
      <c r="BM56">
        <f t="shared" si="98"/>
        <v>133.6770082765002</v>
      </c>
      <c r="BN56">
        <f t="shared" si="99"/>
        <v>9.1913141046427089</v>
      </c>
      <c r="BO56">
        <f t="shared" si="100"/>
        <v>125.35930162961374</v>
      </c>
      <c r="BP56">
        <f t="shared" si="101"/>
        <v>122.77095433928315</v>
      </c>
      <c r="BQ56">
        <f t="shared" si="102"/>
        <v>68.999919387222405</v>
      </c>
      <c r="BR56">
        <f t="shared" si="103"/>
        <v>188.28220113582677</v>
      </c>
      <c r="BS56">
        <f t="shared" si="104"/>
        <v>42.951553712254544</v>
      </c>
      <c r="BT56">
        <f t="shared" si="105"/>
        <v>25.194820182523706</v>
      </c>
      <c r="BU56">
        <f t="shared" si="106"/>
        <v>72.108323526967197</v>
      </c>
      <c r="BV56">
        <f t="shared" si="107"/>
        <v>187.93908743977647</v>
      </c>
      <c r="BW56">
        <f t="shared" si="108"/>
        <v>136.03796446897741</v>
      </c>
      <c r="BX56">
        <f t="shared" si="109"/>
        <v>1.339406876334799</v>
      </c>
      <c r="BY56">
        <f t="shared" si="110"/>
        <v>46.297165178219856</v>
      </c>
      <c r="BZ56">
        <f t="shared" si="111"/>
        <v>104.30593826414656</v>
      </c>
      <c r="CA56">
        <f t="shared" si="112"/>
        <v>149.839673883383</v>
      </c>
      <c r="CB56">
        <f t="shared" si="113"/>
        <v>9.4681588055171488</v>
      </c>
      <c r="CC56">
        <f t="shared" si="114"/>
        <v>14.582389983644992</v>
      </c>
      <c r="CD56">
        <f t="shared" si="115"/>
        <v>130.3683646478797</v>
      </c>
      <c r="CE56">
        <f t="shared" si="116"/>
        <v>10.944452092647651</v>
      </c>
      <c r="CF56">
        <f t="shared" si="117"/>
        <v>14.344007879971242</v>
      </c>
      <c r="CG56">
        <f t="shared" si="118"/>
        <v>141.24348811600265</v>
      </c>
      <c r="CH56">
        <f t="shared" si="119"/>
        <v>2.222289793806361</v>
      </c>
      <c r="CI56">
        <f t="shared" si="120"/>
        <v>30.908388868038394</v>
      </c>
      <c r="CJ56" s="7">
        <v>44</v>
      </c>
      <c r="CK56" s="13">
        <f t="shared" si="61"/>
        <v>15.506711510548397</v>
      </c>
      <c r="CL56">
        <f t="shared" si="62"/>
        <v>1.3055511153109709</v>
      </c>
      <c r="CM56">
        <f t="shared" si="63"/>
        <v>14.201160395237427</v>
      </c>
      <c r="CN56">
        <f t="shared" si="64"/>
        <v>16.812262625859368</v>
      </c>
      <c r="CO56">
        <f t="shared" si="65"/>
        <v>2.6111022306219418</v>
      </c>
      <c r="CP56">
        <f t="shared" si="66"/>
        <v>12.895609279926456</v>
      </c>
      <c r="CQ56">
        <f t="shared" si="67"/>
        <v>18.117813741170337</v>
      </c>
      <c r="CR56">
        <f t="shared" si="68"/>
        <v>3.9166533459329127</v>
      </c>
      <c r="CS56">
        <f t="shared" si="69"/>
        <v>11.590058164615485</v>
      </c>
      <c r="CT56">
        <f t="shared" si="70"/>
        <v>19.42336485648131</v>
      </c>
    </row>
    <row r="57" spans="1:98" x14ac:dyDescent="0.25">
      <c r="A57" s="7">
        <v>46</v>
      </c>
      <c r="B57" s="9">
        <f t="shared" si="29"/>
        <v>16.175823517766545</v>
      </c>
      <c r="C57">
        <v>-0.51561021759697256</v>
      </c>
      <c r="D57">
        <v>-0.88476210821863455</v>
      </c>
      <c r="E57">
        <v>0.75457014679403067</v>
      </c>
      <c r="F57">
        <v>0.61937314981536296</v>
      </c>
      <c r="G57">
        <v>0.54313791314432214</v>
      </c>
      <c r="H57">
        <v>-0.38157292397839293</v>
      </c>
      <c r="I57">
        <v>0.64842677083651235</v>
      </c>
      <c r="J57">
        <v>-0.59685048982207711</v>
      </c>
      <c r="K57">
        <v>0.7678151799066133</v>
      </c>
      <c r="L57">
        <v>-0.70207831049531544</v>
      </c>
      <c r="M57">
        <v>0.30332346568193613</v>
      </c>
      <c r="N57">
        <v>-0.9038666951506088</v>
      </c>
      <c r="O57">
        <v>-0.49906918546098211</v>
      </c>
      <c r="P57">
        <v>0.30661946470534374</v>
      </c>
      <c r="Q57">
        <v>-0.28110599078341014</v>
      </c>
      <c r="R57">
        <v>-0.67485580004272594</v>
      </c>
      <c r="S57">
        <v>-1.6022217474898515E-2</v>
      </c>
      <c r="T57">
        <v>-0.445600756859035</v>
      </c>
      <c r="U57">
        <v>-0.73613696707052823</v>
      </c>
      <c r="V57">
        <v>0.68840601825006864</v>
      </c>
      <c r="W57">
        <v>0.31009857478560754</v>
      </c>
      <c r="X57">
        <v>9.8483230079043027E-2</v>
      </c>
      <c r="Y57">
        <v>0.75621814630573447</v>
      </c>
      <c r="Z57">
        <v>-0.23587755973998226</v>
      </c>
      <c r="AA57">
        <v>-0.35258033997619553</v>
      </c>
      <c r="AC57" s="7">
        <v>46</v>
      </c>
      <c r="AD57">
        <f t="shared" si="71"/>
        <v>9.0507304964033235</v>
      </c>
      <c r="AE57">
        <f t="shared" si="72"/>
        <v>3.9495097099925793</v>
      </c>
      <c r="AF57">
        <f t="shared" si="73"/>
        <v>26.60304606604744</v>
      </c>
      <c r="AG57">
        <f t="shared" si="74"/>
        <v>24.734791429489931</v>
      </c>
      <c r="AH57">
        <f t="shared" si="75"/>
        <v>23.681315112984141</v>
      </c>
      <c r="AI57">
        <f t="shared" si="76"/>
        <v>10.902959472421511</v>
      </c>
      <c r="AJ57">
        <f t="shared" si="77"/>
        <v>25.136276398790777</v>
      </c>
      <c r="AK57">
        <f t="shared" si="78"/>
        <v>7.9280908028331023</v>
      </c>
      <c r="AL57">
        <f t="shared" si="79"/>
        <v>26.786075978522824</v>
      </c>
      <c r="AM57">
        <f t="shared" si="80"/>
        <v>6.473972972844324</v>
      </c>
      <c r="AN57">
        <f t="shared" si="81"/>
        <v>20.367377204616446</v>
      </c>
      <c r="AO57">
        <f t="shared" si="82"/>
        <v>3.6855080390027375</v>
      </c>
      <c r="AP57">
        <f t="shared" si="83"/>
        <v>9.2793070230430903</v>
      </c>
      <c r="AQ57">
        <f t="shared" si="84"/>
        <v>20.412923818780826</v>
      </c>
      <c r="AR57">
        <f t="shared" si="85"/>
        <v>12.291287748617293</v>
      </c>
      <c r="AS57">
        <f t="shared" si="86"/>
        <v>6.8501542676094029</v>
      </c>
      <c r="AT57">
        <f t="shared" si="87"/>
        <v>15.954416365578579</v>
      </c>
      <c r="AU57">
        <f t="shared" si="88"/>
        <v>10.018174319487503</v>
      </c>
      <c r="AV57">
        <f t="shared" si="89"/>
        <v>6.0033246264790492</v>
      </c>
      <c r="AW57">
        <f t="shared" si="90"/>
        <v>25.688739959488366</v>
      </c>
      <c r="AX57">
        <f t="shared" si="91"/>
        <v>20.461000800398786</v>
      </c>
      <c r="AY57">
        <f t="shared" si="92"/>
        <v>17.536739479881913</v>
      </c>
      <c r="AZ57">
        <f t="shared" si="93"/>
        <v>26.62581937312963</v>
      </c>
      <c r="BA57">
        <f t="shared" si="94"/>
        <v>12.916288509650752</v>
      </c>
      <c r="BB57">
        <f t="shared" si="95"/>
        <v>11.303600985904499</v>
      </c>
      <c r="BC57" s="2">
        <f t="shared" si="30"/>
        <v>15.385657238479956</v>
      </c>
      <c r="BD57">
        <f t="shared" si="31"/>
        <v>64.277014156839343</v>
      </c>
      <c r="BE57">
        <f t="shared" si="32"/>
        <v>8.0172946906571507</v>
      </c>
      <c r="BF57" s="12">
        <f t="shared" si="33"/>
        <v>16.114698806931667</v>
      </c>
      <c r="BG57">
        <f t="shared" si="34"/>
        <v>-0.72904156845171109</v>
      </c>
      <c r="BH57">
        <f t="shared" si="35"/>
        <v>0.53150160853053097</v>
      </c>
      <c r="BJ57" s="7">
        <v>45</v>
      </c>
      <c r="BK57">
        <f t="shared" si="96"/>
        <v>6.7653540128885803</v>
      </c>
      <c r="BL57">
        <f t="shared" si="97"/>
        <v>78.7422316324256</v>
      </c>
      <c r="BM57">
        <f t="shared" si="98"/>
        <v>58.116773593074434</v>
      </c>
      <c r="BN57">
        <f t="shared" si="99"/>
        <v>201.19604705174544</v>
      </c>
      <c r="BO57">
        <f t="shared" si="100"/>
        <v>68.12025410975302</v>
      </c>
      <c r="BP57">
        <f t="shared" si="101"/>
        <v>48.763326414706398</v>
      </c>
      <c r="BQ57">
        <f t="shared" si="102"/>
        <v>181.96925890751095</v>
      </c>
      <c r="BR57">
        <f t="shared" si="103"/>
        <v>102.12666040024263</v>
      </c>
      <c r="BS57">
        <f t="shared" si="104"/>
        <v>142.22816618217468</v>
      </c>
      <c r="BT57">
        <f t="shared" si="105"/>
        <v>80.7239480465973</v>
      </c>
      <c r="BU57">
        <f t="shared" si="106"/>
        <v>1.4046102599004355</v>
      </c>
      <c r="BV57">
        <f t="shared" si="107"/>
        <v>43.713153200533867</v>
      </c>
      <c r="BW57">
        <f t="shared" si="108"/>
        <v>9.3657447252460742</v>
      </c>
      <c r="BX57">
        <f t="shared" si="109"/>
        <v>42.203780227046856</v>
      </c>
      <c r="BY57">
        <f t="shared" si="110"/>
        <v>44.11292522681795</v>
      </c>
      <c r="BZ57">
        <f t="shared" si="111"/>
        <v>113.22311368055415</v>
      </c>
      <c r="CA57">
        <f t="shared" si="112"/>
        <v>189.17102196668458</v>
      </c>
      <c r="CB57">
        <f t="shared" si="113"/>
        <v>63.353202614548167</v>
      </c>
      <c r="CC57">
        <f t="shared" si="114"/>
        <v>9.191658952917745</v>
      </c>
      <c r="CD57">
        <f t="shared" si="115"/>
        <v>2.8558009000403666</v>
      </c>
      <c r="CE57">
        <f t="shared" si="116"/>
        <v>56.210901736766829</v>
      </c>
      <c r="CF57">
        <f t="shared" si="117"/>
        <v>3.8306833840408783</v>
      </c>
      <c r="CG57">
        <f t="shared" si="118"/>
        <v>107.82548753619999</v>
      </c>
      <c r="CH57">
        <f t="shared" si="119"/>
        <v>6.715409687695054</v>
      </c>
      <c r="CI57">
        <f t="shared" si="120"/>
        <v>3.215910148962195E-2</v>
      </c>
      <c r="CJ57" s="7">
        <v>45</v>
      </c>
      <c r="CK57" s="13">
        <f t="shared" si="61"/>
        <v>15.79131812417026</v>
      </c>
      <c r="CL57">
        <f t="shared" si="62"/>
        <v>1.3322744298438258</v>
      </c>
      <c r="CM57">
        <f t="shared" si="63"/>
        <v>14.459043694326434</v>
      </c>
      <c r="CN57">
        <f t="shared" si="64"/>
        <v>17.123592554014085</v>
      </c>
      <c r="CO57">
        <f t="shared" si="65"/>
        <v>2.6645488596876516</v>
      </c>
      <c r="CP57">
        <f t="shared" si="66"/>
        <v>13.126769264482608</v>
      </c>
      <c r="CQ57">
        <f t="shared" si="67"/>
        <v>18.455866983857913</v>
      </c>
      <c r="CR57">
        <f t="shared" si="68"/>
        <v>3.9968232895314775</v>
      </c>
      <c r="CS57">
        <f t="shared" si="69"/>
        <v>11.794494834638783</v>
      </c>
      <c r="CT57">
        <f t="shared" si="70"/>
        <v>19.788141413701737</v>
      </c>
    </row>
    <row r="58" spans="1:98" x14ac:dyDescent="0.25">
      <c r="A58" s="7">
        <v>47</v>
      </c>
      <c r="B58" s="9">
        <f t="shared" si="29"/>
        <v>16.46740791781631</v>
      </c>
      <c r="C58">
        <v>0.72423474837488944</v>
      </c>
      <c r="D58">
        <v>-3.0854213080233173E-2</v>
      </c>
      <c r="E58">
        <v>-0.15720084231086151</v>
      </c>
      <c r="F58">
        <v>-0.70592364268929098</v>
      </c>
      <c r="G58">
        <v>-0.96917630542924282</v>
      </c>
      <c r="H58">
        <v>0.62590411084322639</v>
      </c>
      <c r="I58">
        <v>-0.80657368694112974</v>
      </c>
      <c r="J58">
        <v>-0.87267677846613978</v>
      </c>
      <c r="K58">
        <v>0.33274330881679748</v>
      </c>
      <c r="L58">
        <v>0.94451734977263713</v>
      </c>
      <c r="M58">
        <v>-0.32157353434858238</v>
      </c>
      <c r="N58">
        <v>-0.9897457808160649</v>
      </c>
      <c r="O58">
        <v>-0.31009857478560743</v>
      </c>
      <c r="P58">
        <v>0.79644154179509874</v>
      </c>
      <c r="Q58">
        <v>-0.4719687490462966</v>
      </c>
      <c r="R58">
        <v>-0.28214362010559402</v>
      </c>
      <c r="S58">
        <v>-0.6198614459669789</v>
      </c>
      <c r="T58">
        <v>0.54081850642414619</v>
      </c>
      <c r="U58">
        <v>-0.91222876674703213</v>
      </c>
      <c r="V58">
        <v>0.94488357188634908</v>
      </c>
      <c r="W58">
        <v>-0.87530137028107546</v>
      </c>
      <c r="X58">
        <v>-0.40318002868739888</v>
      </c>
      <c r="Y58">
        <v>-0.64897610400708028</v>
      </c>
      <c r="Z58">
        <v>0.95855586413159588</v>
      </c>
      <c r="AA58">
        <v>-0.61943418683431495</v>
      </c>
      <c r="AC58" s="7">
        <v>47</v>
      </c>
      <c r="AD58">
        <f t="shared" si="71"/>
        <v>26.47543292462132</v>
      </c>
      <c r="AE58">
        <f t="shared" si="72"/>
        <v>16.041041001888626</v>
      </c>
      <c r="AF58">
        <f t="shared" si="73"/>
        <v>14.295087458920664</v>
      </c>
      <c r="AG58">
        <f t="shared" si="74"/>
        <v>6.7124196563689775</v>
      </c>
      <c r="AH58">
        <f t="shared" si="75"/>
        <v>3.0745947139434584</v>
      </c>
      <c r="AI58">
        <f t="shared" si="76"/>
        <v>25.116625602050597</v>
      </c>
      <c r="AJ58">
        <f t="shared" si="77"/>
        <v>5.32156101271962</v>
      </c>
      <c r="AK58">
        <f t="shared" si="78"/>
        <v>4.4080983619784089</v>
      </c>
      <c r="AL58">
        <f t="shared" si="79"/>
        <v>21.06550730887421</v>
      </c>
      <c r="AM58">
        <f t="shared" si="80"/>
        <v>29.519464971274161</v>
      </c>
      <c r="AN58">
        <f t="shared" si="81"/>
        <v>12.023660941426593</v>
      </c>
      <c r="AO58">
        <f t="shared" si="82"/>
        <v>2.790350103325002</v>
      </c>
      <c r="AP58">
        <f t="shared" si="83"/>
        <v>12.182230635184069</v>
      </c>
      <c r="AQ58">
        <f t="shared" si="84"/>
        <v>27.473241157148422</v>
      </c>
      <c r="AR58">
        <f t="shared" si="85"/>
        <v>9.945385806222216</v>
      </c>
      <c r="AS58">
        <f t="shared" si="86"/>
        <v>12.568533399763455</v>
      </c>
      <c r="AT58">
        <f t="shared" si="87"/>
        <v>7.9016923595500543</v>
      </c>
      <c r="AU58">
        <f t="shared" si="88"/>
        <v>23.940848191955265</v>
      </c>
      <c r="AV58">
        <f t="shared" si="89"/>
        <v>3.8615389920058298</v>
      </c>
      <c r="AW58">
        <f t="shared" si="90"/>
        <v>29.524525706181311</v>
      </c>
      <c r="AX58">
        <f t="shared" si="91"/>
        <v>4.371829761810476</v>
      </c>
      <c r="AY58">
        <f t="shared" si="92"/>
        <v>10.895960512949218</v>
      </c>
      <c r="AZ58">
        <f t="shared" si="93"/>
        <v>7.499363934431349</v>
      </c>
      <c r="BA58">
        <f t="shared" si="94"/>
        <v>29.71345980938171</v>
      </c>
      <c r="BB58">
        <f t="shared" si="95"/>
        <v>7.9075965502750662</v>
      </c>
      <c r="BC58" s="2">
        <f t="shared" si="30"/>
        <v>14.185202034970004</v>
      </c>
      <c r="BD58">
        <f t="shared" si="31"/>
        <v>89.770732049806725</v>
      </c>
      <c r="BE58">
        <f t="shared" si="32"/>
        <v>9.4747417933053306</v>
      </c>
      <c r="BF58" s="12">
        <f t="shared" si="33"/>
        <v>16.402801025229078</v>
      </c>
      <c r="BG58">
        <f t="shared" si="34"/>
        <v>-2.2175989902590736</v>
      </c>
      <c r="BH58">
        <f t="shared" si="35"/>
        <v>4.9177452815980631</v>
      </c>
      <c r="BJ58" s="7">
        <v>46</v>
      </c>
      <c r="BK58">
        <f t="shared" si="96"/>
        <v>51.540415959339889</v>
      </c>
      <c r="BL58">
        <f t="shared" si="97"/>
        <v>175.9504800521496</v>
      </c>
      <c r="BM58">
        <f t="shared" si="98"/>
        <v>145.33696610503029</v>
      </c>
      <c r="BN58">
        <f t="shared" si="99"/>
        <v>124.3015902904387</v>
      </c>
      <c r="BO58">
        <f t="shared" si="100"/>
        <v>65.918424250409529</v>
      </c>
      <c r="BP58">
        <f t="shared" si="101"/>
        <v>20.659906376380324</v>
      </c>
      <c r="BQ58">
        <f t="shared" si="102"/>
        <v>116.02769981631995</v>
      </c>
      <c r="BR58">
        <f t="shared" si="103"/>
        <v>54.556171751216283</v>
      </c>
      <c r="BS58">
        <f t="shared" si="104"/>
        <v>108.25915240445104</v>
      </c>
      <c r="BT58">
        <f t="shared" si="105"/>
        <v>70.778326788486453</v>
      </c>
      <c r="BU58">
        <f t="shared" si="106"/>
        <v>4.8851267374004124</v>
      </c>
      <c r="BV58">
        <f t="shared" si="107"/>
        <v>155.85287371633808</v>
      </c>
      <c r="BW58">
        <f t="shared" si="108"/>
        <v>38.610133932739025</v>
      </c>
      <c r="BX58">
        <f t="shared" si="109"/>
        <v>3.9303901617789112</v>
      </c>
      <c r="BY58">
        <f t="shared" si="110"/>
        <v>9.0062720738050643</v>
      </c>
      <c r="BZ58">
        <f t="shared" si="111"/>
        <v>68.443018678546139</v>
      </c>
      <c r="CA58">
        <f t="shared" si="112"/>
        <v>5.2576302794275485</v>
      </c>
      <c r="CB58">
        <f t="shared" si="113"/>
        <v>53.124146119145742</v>
      </c>
      <c r="CC58">
        <f t="shared" si="114"/>
        <v>131.82575557351177</v>
      </c>
      <c r="CD58">
        <f t="shared" si="115"/>
        <v>97.805182884791421</v>
      </c>
      <c r="CE58">
        <f t="shared" si="116"/>
        <v>9.044368127793545</v>
      </c>
      <c r="CF58">
        <f t="shared" si="117"/>
        <v>0.54136832807690372</v>
      </c>
      <c r="CG58">
        <f t="shared" si="118"/>
        <v>75.224390775022528</v>
      </c>
      <c r="CH58">
        <f t="shared" si="119"/>
        <v>20.04913635103091</v>
      </c>
      <c r="CI58">
        <f t="shared" si="120"/>
        <v>20.615652329828858</v>
      </c>
      <c r="CJ58" s="7">
        <v>46</v>
      </c>
      <c r="CK58" s="13">
        <f t="shared" si="61"/>
        <v>16.075924737792121</v>
      </c>
      <c r="CL58">
        <f t="shared" si="62"/>
        <v>1.3604223989864379</v>
      </c>
      <c r="CM58">
        <f t="shared" si="63"/>
        <v>14.715502338805683</v>
      </c>
      <c r="CN58">
        <f t="shared" si="64"/>
        <v>17.436347136778558</v>
      </c>
      <c r="CO58">
        <f t="shared" si="65"/>
        <v>2.7208447979728758</v>
      </c>
      <c r="CP58">
        <f t="shared" si="66"/>
        <v>13.355079939819245</v>
      </c>
      <c r="CQ58">
        <f t="shared" si="67"/>
        <v>18.796769535764998</v>
      </c>
      <c r="CR58">
        <f t="shared" si="68"/>
        <v>4.0812671969593133</v>
      </c>
      <c r="CS58">
        <f t="shared" si="69"/>
        <v>11.994657540832808</v>
      </c>
      <c r="CT58">
        <f t="shared" si="70"/>
        <v>20.157191934751435</v>
      </c>
    </row>
    <row r="59" spans="1:98" x14ac:dyDescent="0.25">
      <c r="A59" s="7">
        <v>48</v>
      </c>
      <c r="B59" s="9">
        <f t="shared" si="29"/>
        <v>16.758992317866067</v>
      </c>
      <c r="C59">
        <v>-0.18271431623279522</v>
      </c>
      <c r="D59">
        <v>8.8839381084627744E-2</v>
      </c>
      <c r="E59">
        <v>-0.54179509872737808</v>
      </c>
      <c r="F59">
        <v>-0.98834192938016907</v>
      </c>
      <c r="G59">
        <v>-0.27530747398297062</v>
      </c>
      <c r="H59">
        <v>-0.60960722678304391</v>
      </c>
      <c r="I59">
        <v>0.20456556901760914</v>
      </c>
      <c r="J59">
        <v>-0.34879604480117188</v>
      </c>
      <c r="K59">
        <v>0.67412335581530192</v>
      </c>
      <c r="L59">
        <v>-0.57390057069612721</v>
      </c>
      <c r="M59">
        <v>0.98059022797326589</v>
      </c>
      <c r="N59">
        <v>6.8453016754661755E-2</v>
      </c>
      <c r="O59">
        <v>-0.99645985290078432</v>
      </c>
      <c r="P59">
        <v>0.24546037171544532</v>
      </c>
      <c r="Q59">
        <v>-0.55272072511978521</v>
      </c>
      <c r="R59">
        <v>0.85125278481398969</v>
      </c>
      <c r="S59">
        <v>-0.76458021790215769</v>
      </c>
      <c r="T59">
        <v>0.42283394878994107</v>
      </c>
      <c r="U59">
        <v>0.45677053132724987</v>
      </c>
      <c r="V59">
        <v>0.71794793542283397</v>
      </c>
      <c r="W59">
        <v>0.39121677297280799</v>
      </c>
      <c r="X59">
        <v>0.36338389233069868</v>
      </c>
      <c r="Y59">
        <v>-0.61589403973509937</v>
      </c>
      <c r="Z59">
        <v>0.77074495681630917</v>
      </c>
      <c r="AA59">
        <v>0.48197882015442373</v>
      </c>
      <c r="AC59" s="7">
        <v>48</v>
      </c>
      <c r="AD59">
        <f t="shared" si="71"/>
        <v>14.234107327105392</v>
      </c>
      <c r="AE59">
        <f t="shared" si="72"/>
        <v>17.986642260759723</v>
      </c>
      <c r="AF59">
        <f t="shared" si="73"/>
        <v>9.2720567506413687</v>
      </c>
      <c r="AG59">
        <f t="shared" si="74"/>
        <v>3.1013339871855141</v>
      </c>
      <c r="AH59">
        <f t="shared" si="75"/>
        <v>12.954584851413411</v>
      </c>
      <c r="AI59">
        <f t="shared" si="76"/>
        <v>8.3349773370001099</v>
      </c>
      <c r="AJ59">
        <f t="shared" si="77"/>
        <v>19.585834491420236</v>
      </c>
      <c r="AK59">
        <f t="shared" si="78"/>
        <v>11.939064046711273</v>
      </c>
      <c r="AL59">
        <f t="shared" si="79"/>
        <v>26.0745400982089</v>
      </c>
      <c r="AM59">
        <f t="shared" si="80"/>
        <v>8.8283989904475781</v>
      </c>
      <c r="AN59">
        <f t="shared" si="81"/>
        <v>30.309531759678539</v>
      </c>
      <c r="AO59">
        <f t="shared" si="82"/>
        <v>17.704928017594845</v>
      </c>
      <c r="AP59">
        <f t="shared" si="83"/>
        <v>2.9891543634102788</v>
      </c>
      <c r="AQ59">
        <f t="shared" si="84"/>
        <v>20.150949889385711</v>
      </c>
      <c r="AR59">
        <f t="shared" si="85"/>
        <v>9.1210781592446217</v>
      </c>
      <c r="AS59">
        <f t="shared" si="86"/>
        <v>28.522248881635484</v>
      </c>
      <c r="AT59">
        <f t="shared" si="87"/>
        <v>6.193443015456312</v>
      </c>
      <c r="AU59">
        <f t="shared" si="88"/>
        <v>22.60203249608373</v>
      </c>
      <c r="AV59">
        <f t="shared" si="89"/>
        <v>23.070993930813287</v>
      </c>
      <c r="AW59">
        <f t="shared" si="90"/>
        <v>26.680141375431607</v>
      </c>
      <c r="AX59">
        <f t="shared" si="91"/>
        <v>22.165122382432813</v>
      </c>
      <c r="AY59">
        <f t="shared" si="92"/>
        <v>21.780506529489145</v>
      </c>
      <c r="AZ59">
        <f t="shared" si="93"/>
        <v>8.2481013877606397</v>
      </c>
      <c r="BA59">
        <f t="shared" si="94"/>
        <v>27.409730657879571</v>
      </c>
      <c r="BB59">
        <f t="shared" si="95"/>
        <v>23.419341183589026</v>
      </c>
      <c r="BC59" s="2">
        <f t="shared" si="30"/>
        <v>16.907153766831168</v>
      </c>
      <c r="BD59">
        <f t="shared" si="31"/>
        <v>69.471208472625335</v>
      </c>
      <c r="BE59">
        <f t="shared" si="32"/>
        <v>8.3349390203303422</v>
      </c>
      <c r="BF59" s="12">
        <f t="shared" si="33"/>
        <v>16.690903243526488</v>
      </c>
      <c r="BG59">
        <f t="shared" si="34"/>
        <v>0.21625052330468009</v>
      </c>
      <c r="BH59">
        <f t="shared" si="35"/>
        <v>4.6764288829547987E-2</v>
      </c>
      <c r="BJ59" s="7">
        <v>47</v>
      </c>
      <c r="BK59">
        <f t="shared" si="96"/>
        <v>98.354017576926836</v>
      </c>
      <c r="BL59">
        <f t="shared" si="97"/>
        <v>2.192268657790136</v>
      </c>
      <c r="BM59">
        <f t="shared" si="98"/>
        <v>0.29827853100272139</v>
      </c>
      <c r="BN59">
        <f t="shared" si="99"/>
        <v>48.978057706127892</v>
      </c>
      <c r="BO59">
        <f t="shared" si="100"/>
        <v>161.97142520826287</v>
      </c>
      <c r="BP59">
        <f t="shared" si="101"/>
        <v>88.497277530303876</v>
      </c>
      <c r="BQ59">
        <f t="shared" si="102"/>
        <v>86.749962305642228</v>
      </c>
      <c r="BR59">
        <f t="shared" si="103"/>
        <v>124.79990119959841</v>
      </c>
      <c r="BS59">
        <f t="shared" si="104"/>
        <v>18.732291576868796</v>
      </c>
      <c r="BT59">
        <f t="shared" si="105"/>
        <v>207.1832561350011</v>
      </c>
      <c r="BU59">
        <f t="shared" si="106"/>
        <v>41.340321408795923</v>
      </c>
      <c r="BV59">
        <f t="shared" si="107"/>
        <v>187.14192538481299</v>
      </c>
      <c r="BW59">
        <f t="shared" si="108"/>
        <v>13.304886068458124</v>
      </c>
      <c r="BX59">
        <f t="shared" si="109"/>
        <v>76.574114940896322</v>
      </c>
      <c r="BY59">
        <f t="shared" si="110"/>
        <v>31.90243389399518</v>
      </c>
      <c r="BZ59">
        <f t="shared" si="111"/>
        <v>7.4749216390822246</v>
      </c>
      <c r="CA59">
        <f t="shared" si="112"/>
        <v>36.192817692862519</v>
      </c>
      <c r="CB59">
        <f t="shared" si="113"/>
        <v>39.543565583784826</v>
      </c>
      <c r="CC59">
        <f t="shared" si="114"/>
        <v>193.90567175008906</v>
      </c>
      <c r="CD59">
        <f t="shared" si="115"/>
        <v>180.27802682311722</v>
      </c>
      <c r="CE59">
        <f t="shared" si="116"/>
        <v>180.07515775344706</v>
      </c>
      <c r="CF59">
        <f t="shared" si="117"/>
        <v>38.797964644399137</v>
      </c>
      <c r="CG59">
        <f t="shared" si="118"/>
        <v>114.89418236334163</v>
      </c>
      <c r="CH59">
        <f t="shared" si="119"/>
        <v>144.08321392347253</v>
      </c>
      <c r="CI59">
        <f t="shared" si="120"/>
        <v>67.475330947331571</v>
      </c>
      <c r="CJ59" s="7">
        <v>47</v>
      </c>
      <c r="CK59" s="13">
        <f t="shared" si="61"/>
        <v>16.360531351413982</v>
      </c>
      <c r="CL59">
        <f t="shared" si="62"/>
        <v>1.3899084705241183</v>
      </c>
      <c r="CM59">
        <f t="shared" si="63"/>
        <v>14.970622880889865</v>
      </c>
      <c r="CN59">
        <f t="shared" si="64"/>
        <v>17.750439821938102</v>
      </c>
      <c r="CO59">
        <f t="shared" si="65"/>
        <v>2.7798169410482365</v>
      </c>
      <c r="CP59">
        <f t="shared" si="66"/>
        <v>13.580714410365745</v>
      </c>
      <c r="CQ59">
        <f t="shared" si="67"/>
        <v>19.140348292462217</v>
      </c>
      <c r="CR59">
        <f t="shared" si="68"/>
        <v>4.1697254115723545</v>
      </c>
      <c r="CS59">
        <f t="shared" si="69"/>
        <v>12.190805939841628</v>
      </c>
      <c r="CT59">
        <f t="shared" si="70"/>
        <v>20.530256762986337</v>
      </c>
    </row>
    <row r="60" spans="1:98" x14ac:dyDescent="0.25">
      <c r="A60" s="7">
        <v>49</v>
      </c>
      <c r="B60" s="9">
        <f t="shared" si="29"/>
        <v>17.050576717915828</v>
      </c>
      <c r="C60">
        <v>-0.91827143162327951</v>
      </c>
      <c r="D60">
        <v>-0.95806756797997983</v>
      </c>
      <c r="E60">
        <v>2.4719992675557023E-3</v>
      </c>
      <c r="F60">
        <v>-0.76287118137150178</v>
      </c>
      <c r="G60">
        <v>0.26572466200750755</v>
      </c>
      <c r="H60">
        <v>0.73924985503708007</v>
      </c>
      <c r="I60">
        <v>0.37028107547227385</v>
      </c>
      <c r="J60">
        <v>0.13400677510910364</v>
      </c>
      <c r="K60">
        <v>0.43748283333841975</v>
      </c>
      <c r="L60">
        <v>-0.95312356944486831</v>
      </c>
      <c r="M60">
        <v>0.74791711172826325</v>
      </c>
      <c r="N60">
        <v>-0.20944853053376877</v>
      </c>
      <c r="O60">
        <v>-0.97473067415387438</v>
      </c>
      <c r="P60">
        <v>0.83367412335581537</v>
      </c>
      <c r="Q60">
        <v>6.949064607684563E-2</v>
      </c>
      <c r="R60">
        <v>-0.21585741752372811</v>
      </c>
      <c r="S60">
        <v>-0.84252449110385452</v>
      </c>
      <c r="T60">
        <v>0.13303018280587176</v>
      </c>
      <c r="U60">
        <v>0.97747734000671405</v>
      </c>
      <c r="V60">
        <v>0.95831171605578791</v>
      </c>
      <c r="W60">
        <v>0.99224829859309671</v>
      </c>
      <c r="X60">
        <v>-0.5943479720450453</v>
      </c>
      <c r="Y60">
        <v>0.28635517441328173</v>
      </c>
      <c r="Z60">
        <v>-0.71984008301034574</v>
      </c>
      <c r="AA60">
        <v>0.39396343882564766</v>
      </c>
      <c r="AC60" s="7">
        <v>49</v>
      </c>
      <c r="AD60">
        <f t="shared" si="71"/>
        <v>4.3612056661373142</v>
      </c>
      <c r="AE60">
        <f t="shared" si="72"/>
        <v>3.8112724728933003</v>
      </c>
      <c r="AF60">
        <f t="shared" si="73"/>
        <v>17.084736678539112</v>
      </c>
      <c r="AG60">
        <f t="shared" si="74"/>
        <v>6.508644178406124</v>
      </c>
      <c r="AH60">
        <f t="shared" si="75"/>
        <v>20.722561620964633</v>
      </c>
      <c r="AI60">
        <f t="shared" si="76"/>
        <v>27.266091855914134</v>
      </c>
      <c r="AJ60">
        <f t="shared" si="77"/>
        <v>22.167401436956961</v>
      </c>
      <c r="AK60">
        <f t="shared" si="78"/>
        <v>18.902383966025084</v>
      </c>
      <c r="AL60">
        <f t="shared" si="79"/>
        <v>23.096046292419633</v>
      </c>
      <c r="AM60">
        <f t="shared" si="80"/>
        <v>3.8795923941398716</v>
      </c>
      <c r="AN60">
        <f t="shared" si="81"/>
        <v>27.385862582050098</v>
      </c>
      <c r="AO60">
        <f t="shared" si="82"/>
        <v>14.156258078932945</v>
      </c>
      <c r="AP60">
        <f t="shared" si="83"/>
        <v>3.5810090346178143</v>
      </c>
      <c r="AQ60">
        <f t="shared" si="84"/>
        <v>28.570918006141881</v>
      </c>
      <c r="AR60">
        <f t="shared" si="85"/>
        <v>18.010851166548207</v>
      </c>
      <c r="AS60">
        <f t="shared" si="86"/>
        <v>14.067695218057759</v>
      </c>
      <c r="AT60">
        <f t="shared" si="87"/>
        <v>5.407934336100233</v>
      </c>
      <c r="AU60">
        <f t="shared" si="88"/>
        <v>18.888888672939341</v>
      </c>
      <c r="AV60">
        <f t="shared" si="89"/>
        <v>30.558099913017493</v>
      </c>
      <c r="AW60">
        <f t="shared" si="90"/>
        <v>30.293254786209793</v>
      </c>
      <c r="AX60">
        <f t="shared" si="91"/>
        <v>30.762216220939351</v>
      </c>
      <c r="AY60">
        <f t="shared" si="92"/>
        <v>8.8374256915145999</v>
      </c>
      <c r="AZ60">
        <f t="shared" si="93"/>
        <v>21.007649687400949</v>
      </c>
      <c r="BA60">
        <f t="shared" si="94"/>
        <v>7.1032805299966615</v>
      </c>
      <c r="BB60">
        <f t="shared" si="95"/>
        <v>22.494662294286222</v>
      </c>
      <c r="BC60" s="2">
        <f t="shared" si="30"/>
        <v>17.157037711245984</v>
      </c>
      <c r="BD60">
        <f t="shared" si="31"/>
        <v>89.1770030988705</v>
      </c>
      <c r="BE60">
        <f t="shared" si="32"/>
        <v>9.4433576178640237</v>
      </c>
      <c r="BF60" s="12">
        <f t="shared" si="33"/>
        <v>16.979005461823895</v>
      </c>
      <c r="BG60">
        <f t="shared" si="34"/>
        <v>0.17803224942208828</v>
      </c>
      <c r="BH60">
        <f t="shared" si="35"/>
        <v>3.1695481834288657E-2</v>
      </c>
      <c r="BJ60" s="7">
        <v>48</v>
      </c>
      <c r="BK60">
        <f t="shared" si="96"/>
        <v>7.0338667706491353</v>
      </c>
      <c r="BL60">
        <f t="shared" si="97"/>
        <v>2.4787450078220016E-2</v>
      </c>
      <c r="BM60">
        <f t="shared" si="98"/>
        <v>34.374158684487185</v>
      </c>
      <c r="BN60">
        <f t="shared" si="99"/>
        <v>115.23252248894009</v>
      </c>
      <c r="BO60">
        <f t="shared" si="100"/>
        <v>9.5228075182114207</v>
      </c>
      <c r="BP60">
        <f t="shared" si="101"/>
        <v>58.299319384133696</v>
      </c>
      <c r="BQ60">
        <f t="shared" si="102"/>
        <v>21.897172119756192</v>
      </c>
      <c r="BR60">
        <f t="shared" si="103"/>
        <v>15.253727911958444</v>
      </c>
      <c r="BS60">
        <f t="shared" si="104"/>
        <v>80.658344746020973</v>
      </c>
      <c r="BT60">
        <f t="shared" si="105"/>
        <v>42.717320456583458</v>
      </c>
      <c r="BU60">
        <f t="shared" si="106"/>
        <v>133.63514642949596</v>
      </c>
      <c r="BV60">
        <f t="shared" si="107"/>
        <v>0.87212323746256659</v>
      </c>
      <c r="BW60">
        <f t="shared" si="108"/>
        <v>173.64564240706753</v>
      </c>
      <c r="BX60">
        <f t="shared" si="109"/>
        <v>1.2909449915561113</v>
      </c>
      <c r="BY60">
        <f t="shared" si="110"/>
        <v>45.884481046480744</v>
      </c>
      <c r="BZ60">
        <f t="shared" si="111"/>
        <v>170.04956388448784</v>
      </c>
      <c r="CA60">
        <f t="shared" si="112"/>
        <v>63.689513655281139</v>
      </c>
      <c r="CB60">
        <f t="shared" si="113"/>
        <v>21.195680553346346</v>
      </c>
      <c r="CC60">
        <f t="shared" si="114"/>
        <v>24.828066528447813</v>
      </c>
      <c r="CD60">
        <f t="shared" si="115"/>
        <v>105.7546967353997</v>
      </c>
      <c r="CE60">
        <f t="shared" si="116"/>
        <v>16.2946319390567</v>
      </c>
      <c r="CF60">
        <f t="shared" si="117"/>
        <v>18.765749037077068</v>
      </c>
      <c r="CG60">
        <f t="shared" si="118"/>
        <v>104.77052587441922</v>
      </c>
      <c r="CH60">
        <f t="shared" si="119"/>
        <v>88.053060673394342</v>
      </c>
      <c r="CI60">
        <f t="shared" si="120"/>
        <v>49.273682222997152</v>
      </c>
      <c r="CJ60" s="7">
        <v>48</v>
      </c>
      <c r="CK60" s="13">
        <f t="shared" si="61"/>
        <v>16.645137965035843</v>
      </c>
      <c r="CL60">
        <f t="shared" si="62"/>
        <v>1.4206493285563917</v>
      </c>
      <c r="CM60">
        <f t="shared" si="63"/>
        <v>15.224488636479451</v>
      </c>
      <c r="CN60">
        <f t="shared" si="64"/>
        <v>18.065787293592233</v>
      </c>
      <c r="CO60">
        <f t="shared" si="65"/>
        <v>2.8412986571127834</v>
      </c>
      <c r="CP60">
        <f t="shared" si="66"/>
        <v>13.803839307923059</v>
      </c>
      <c r="CQ60">
        <f t="shared" si="67"/>
        <v>19.486436622148627</v>
      </c>
      <c r="CR60">
        <f t="shared" si="68"/>
        <v>4.2619479856691749</v>
      </c>
      <c r="CS60">
        <f t="shared" si="69"/>
        <v>12.383189979366669</v>
      </c>
      <c r="CT60">
        <f t="shared" si="70"/>
        <v>20.907085950705017</v>
      </c>
    </row>
    <row r="61" spans="1:98" x14ac:dyDescent="0.25">
      <c r="A61" s="7">
        <v>50</v>
      </c>
      <c r="B61" s="9">
        <f t="shared" si="29"/>
        <v>17.342161117965588</v>
      </c>
      <c r="C61">
        <v>0.75804925687429425</v>
      </c>
      <c r="D61">
        <v>-0.42399365215002904</v>
      </c>
      <c r="E61">
        <v>-0.6879177220984527</v>
      </c>
      <c r="F61">
        <v>0.77098910489211714</v>
      </c>
      <c r="G61">
        <v>-0.3188879055146947</v>
      </c>
      <c r="H61">
        <v>0.22611163670766321</v>
      </c>
      <c r="I61">
        <v>0.35770744956816314</v>
      </c>
      <c r="J61">
        <v>0.8851893673512985</v>
      </c>
      <c r="K61">
        <v>0.87102877895443576</v>
      </c>
      <c r="L61">
        <v>0.20413830988494519</v>
      </c>
      <c r="M61">
        <v>-0.65282143620105593</v>
      </c>
      <c r="N61">
        <v>0.44669942320017086</v>
      </c>
      <c r="O61">
        <v>0.69377727591784422</v>
      </c>
      <c r="P61">
        <v>0.92052980132450335</v>
      </c>
      <c r="Q61">
        <v>-0.47685171056245612</v>
      </c>
      <c r="R61">
        <v>0.30716879787591167</v>
      </c>
      <c r="S61">
        <v>-0.14218573564867087</v>
      </c>
      <c r="T61">
        <v>-0.53807184057130653</v>
      </c>
      <c r="U61">
        <v>0.98956266975920903</v>
      </c>
      <c r="V61">
        <v>-0.93829157383953365</v>
      </c>
      <c r="W61">
        <v>0.85546433912167719</v>
      </c>
      <c r="X61">
        <v>0.51670888393810843</v>
      </c>
      <c r="Y61">
        <v>0.18655964842677086</v>
      </c>
      <c r="Z61">
        <v>0.87530137028107546</v>
      </c>
      <c r="AA61">
        <v>-0.2635883663441877</v>
      </c>
      <c r="AC61" s="7">
        <v>50</v>
      </c>
      <c r="AD61">
        <f t="shared" si="71"/>
        <v>27.817460647864436</v>
      </c>
      <c r="AE61">
        <f t="shared" si="72"/>
        <v>11.483095279208605</v>
      </c>
      <c r="AF61">
        <f t="shared" si="73"/>
        <v>7.8359923227866375</v>
      </c>
      <c r="AG61">
        <f t="shared" si="74"/>
        <v>27.996273281250531</v>
      </c>
      <c r="AH61">
        <f t="shared" si="75"/>
        <v>12.935526197561664</v>
      </c>
      <c r="AI61">
        <f t="shared" si="76"/>
        <v>20.466743195223955</v>
      </c>
      <c r="AJ61">
        <f t="shared" si="77"/>
        <v>22.285233938527785</v>
      </c>
      <c r="AK61">
        <f t="shared" si="78"/>
        <v>29.574379116464566</v>
      </c>
      <c r="AL61">
        <f t="shared" si="79"/>
        <v>29.378697366721298</v>
      </c>
      <c r="AM61">
        <f t="shared" si="80"/>
        <v>20.163099100794746</v>
      </c>
      <c r="AN61">
        <f t="shared" si="81"/>
        <v>8.3209794180555168</v>
      </c>
      <c r="AO61">
        <f t="shared" si="82"/>
        <v>23.514992520966089</v>
      </c>
      <c r="AP61">
        <f t="shared" si="83"/>
        <v>26.929301671658997</v>
      </c>
      <c r="AQ61">
        <f t="shared" si="84"/>
        <v>30.062740035004882</v>
      </c>
      <c r="AR61">
        <f t="shared" si="85"/>
        <v>10.752662540942779</v>
      </c>
      <c r="AS61">
        <f t="shared" si="86"/>
        <v>21.5868525213406</v>
      </c>
      <c r="AT61">
        <f t="shared" si="87"/>
        <v>15.377330790263237</v>
      </c>
      <c r="AU61">
        <f t="shared" si="88"/>
        <v>9.9066763556302835</v>
      </c>
      <c r="AV61">
        <f t="shared" si="89"/>
        <v>31.016688565003321</v>
      </c>
      <c r="AW61">
        <f t="shared" si="90"/>
        <v>4.3761365579293496</v>
      </c>
      <c r="AX61">
        <f t="shared" si="91"/>
        <v>29.163616133167274</v>
      </c>
      <c r="AY61">
        <f t="shared" si="92"/>
        <v>24.482436344050271</v>
      </c>
      <c r="AZ61">
        <f t="shared" si="93"/>
        <v>19.920183825251375</v>
      </c>
      <c r="BA61">
        <f t="shared" si="94"/>
        <v>29.437739273971424</v>
      </c>
      <c r="BB61">
        <f t="shared" si="95"/>
        <v>13.699697168541846</v>
      </c>
      <c r="BC61" s="2">
        <f t="shared" si="30"/>
        <v>20.339381366727256</v>
      </c>
      <c r="BD61">
        <f t="shared" si="31"/>
        <v>70.220356899013794</v>
      </c>
      <c r="BE61">
        <f t="shared" si="32"/>
        <v>8.3797587613853057</v>
      </c>
      <c r="BF61" s="12">
        <f t="shared" si="33"/>
        <v>17.267107680121306</v>
      </c>
      <c r="BG61">
        <f t="shared" si="34"/>
        <v>3.0722736866059499</v>
      </c>
      <c r="BH61">
        <f t="shared" si="35"/>
        <v>9.4388656054113138</v>
      </c>
      <c r="BJ61" s="7">
        <v>49</v>
      </c>
      <c r="BK61">
        <f t="shared" si="96"/>
        <v>165.20534359605736</v>
      </c>
      <c r="BL61">
        <f t="shared" si="97"/>
        <v>205.21878315955951</v>
      </c>
      <c r="BM61">
        <f t="shared" si="98"/>
        <v>2.7422152802077173</v>
      </c>
      <c r="BN61">
        <f t="shared" si="99"/>
        <v>55.539072052576479</v>
      </c>
      <c r="BO61">
        <f t="shared" si="100"/>
        <v>19.740042997119403</v>
      </c>
      <c r="BP61">
        <f t="shared" si="101"/>
        <v>121.76384105947888</v>
      </c>
      <c r="BQ61">
        <f t="shared" si="102"/>
        <v>48.862089560200758</v>
      </c>
      <c r="BR61">
        <f t="shared" si="103"/>
        <v>7.7982663008209689</v>
      </c>
      <c r="BS61">
        <f t="shared" si="104"/>
        <v>31.881718357793225</v>
      </c>
      <c r="BT61">
        <f t="shared" si="105"/>
        <v>137.43576542781409</v>
      </c>
      <c r="BU61">
        <f t="shared" si="106"/>
        <v>69.559565468350627</v>
      </c>
      <c r="BV61">
        <f t="shared" si="107"/>
        <v>8.5002243742807195</v>
      </c>
      <c r="BW61">
        <f t="shared" si="108"/>
        <v>166.98886546219168</v>
      </c>
      <c r="BX61">
        <f t="shared" si="109"/>
        <v>85.821527459288291</v>
      </c>
      <c r="BY61">
        <f t="shared" si="110"/>
        <v>3.2930914284699826</v>
      </c>
      <c r="BZ61">
        <f t="shared" si="111"/>
        <v>2.5396506262460572</v>
      </c>
      <c r="CA61">
        <f t="shared" si="112"/>
        <v>81.402883852624726</v>
      </c>
      <c r="CB61">
        <f t="shared" si="113"/>
        <v>0.29708796831818707</v>
      </c>
      <c r="CC61">
        <f t="shared" si="114"/>
        <v>148.065254325751</v>
      </c>
      <c r="CD61">
        <f t="shared" si="115"/>
        <v>184.90976362101071</v>
      </c>
      <c r="CE61">
        <f t="shared" si="116"/>
        <v>151.19977407315</v>
      </c>
      <c r="CF61">
        <f t="shared" si="117"/>
        <v>79.833068373450459</v>
      </c>
      <c r="CG61">
        <f t="shared" si="118"/>
        <v>5.0994055075713653</v>
      </c>
      <c r="CH61">
        <f t="shared" si="119"/>
        <v>126.31218198983672</v>
      </c>
      <c r="CI61">
        <f t="shared" si="120"/>
        <v>33.836981888925614</v>
      </c>
      <c r="CJ61" s="7">
        <v>49</v>
      </c>
      <c r="CK61" s="13">
        <f t="shared" si="61"/>
        <v>16.929744578657704</v>
      </c>
      <c r="CL61">
        <f t="shared" si="62"/>
        <v>1.4525653095620561</v>
      </c>
      <c r="CM61">
        <f t="shared" si="63"/>
        <v>15.477179269095648</v>
      </c>
      <c r="CN61">
        <f t="shared" si="64"/>
        <v>18.382309888219762</v>
      </c>
      <c r="CO61">
        <f t="shared" si="65"/>
        <v>2.9051306191241122</v>
      </c>
      <c r="CP61">
        <f t="shared" si="66"/>
        <v>14.024613959533593</v>
      </c>
      <c r="CQ61">
        <f t="shared" si="67"/>
        <v>19.834875197781816</v>
      </c>
      <c r="CR61">
        <f t="shared" si="68"/>
        <v>4.3576959286861685</v>
      </c>
      <c r="CS61">
        <f t="shared" si="69"/>
        <v>12.572048649971535</v>
      </c>
      <c r="CT61">
        <f t="shared" si="70"/>
        <v>21.287440507343874</v>
      </c>
    </row>
    <row r="62" spans="1:98" x14ac:dyDescent="0.25">
      <c r="A62" s="7">
        <v>51</v>
      </c>
      <c r="B62" s="9">
        <f t="shared" si="29"/>
        <v>17.633745518015346</v>
      </c>
      <c r="C62">
        <v>-0.69664601580858787</v>
      </c>
      <c r="D62">
        <v>0.35374004333628339</v>
      </c>
      <c r="E62">
        <v>0.34238715781121254</v>
      </c>
      <c r="F62">
        <v>0.77648243659779648</v>
      </c>
      <c r="G62">
        <v>-0.18356883449812311</v>
      </c>
      <c r="H62">
        <v>4.4160283211768014E-2</v>
      </c>
      <c r="I62">
        <v>-0.80413220618305004</v>
      </c>
      <c r="J62">
        <v>-0.39786980803857541</v>
      </c>
      <c r="K62">
        <v>-0.29972228156376846</v>
      </c>
      <c r="L62">
        <v>-0.24887844477675714</v>
      </c>
      <c r="M62">
        <v>0.67528305917538978</v>
      </c>
      <c r="N62">
        <v>-0.66405224768822291</v>
      </c>
      <c r="O62">
        <v>6.5095980712301937E-2</v>
      </c>
      <c r="P62">
        <v>-0.28843043305764948</v>
      </c>
      <c r="Q62">
        <v>0.36759544663838617</v>
      </c>
      <c r="R62">
        <v>-0.67699209570604579</v>
      </c>
      <c r="S62">
        <v>-0.44376964629047522</v>
      </c>
      <c r="T62">
        <v>0.9472029786065248</v>
      </c>
      <c r="U62">
        <v>-0.66612750633259066</v>
      </c>
      <c r="V62">
        <v>-0.99768059327982417</v>
      </c>
      <c r="W62">
        <v>0.9906613361003449</v>
      </c>
      <c r="X62">
        <v>0.6063722647785883</v>
      </c>
      <c r="Y62">
        <v>0.33298745689260545</v>
      </c>
      <c r="Z62">
        <v>0.48521378215887934</v>
      </c>
      <c r="AA62">
        <v>-0.12900173955504013</v>
      </c>
      <c r="AC62" s="7">
        <v>51</v>
      </c>
      <c r="AD62">
        <f t="shared" si="71"/>
        <v>8.0069625408825686</v>
      </c>
      <c r="AE62">
        <f t="shared" si="72"/>
        <v>22.521993710416712</v>
      </c>
      <c r="AF62">
        <f t="shared" si="73"/>
        <v>22.365110928294953</v>
      </c>
      <c r="AG62">
        <f t="shared" si="74"/>
        <v>28.363768704907585</v>
      </c>
      <c r="AH62">
        <f t="shared" si="75"/>
        <v>15.097052145804646</v>
      </c>
      <c r="AI62">
        <f t="shared" si="76"/>
        <v>18.243985802236274</v>
      </c>
      <c r="AJ62">
        <f t="shared" si="77"/>
        <v>6.5216368456330116</v>
      </c>
      <c r="AK62">
        <f t="shared" si="78"/>
        <v>12.135678769301979</v>
      </c>
      <c r="AL62">
        <f t="shared" si="79"/>
        <v>13.491955724419121</v>
      </c>
      <c r="AM62">
        <f t="shared" si="80"/>
        <v>14.194554420695601</v>
      </c>
      <c r="AN62">
        <f t="shared" si="81"/>
        <v>26.965318958897498</v>
      </c>
      <c r="AO62">
        <f t="shared" si="82"/>
        <v>8.4573679476192325</v>
      </c>
      <c r="AP62">
        <f t="shared" si="83"/>
        <v>18.533291147761883</v>
      </c>
      <c r="AQ62">
        <f t="shared" si="84"/>
        <v>13.647995050723022</v>
      </c>
      <c r="AR62">
        <f t="shared" si="85"/>
        <v>22.713458181070688</v>
      </c>
      <c r="AS62">
        <f t="shared" si="86"/>
        <v>8.2785553142331398</v>
      </c>
      <c r="AT62">
        <f t="shared" si="87"/>
        <v>11.50139999427207</v>
      </c>
      <c r="AU62">
        <f t="shared" si="88"/>
        <v>30.722914627458984</v>
      </c>
      <c r="AV62">
        <f t="shared" si="89"/>
        <v>8.428690449812029</v>
      </c>
      <c r="AW62">
        <f t="shared" si="90"/>
        <v>3.8470384472023795</v>
      </c>
      <c r="AX62">
        <f t="shared" si="91"/>
        <v>31.32345516977454</v>
      </c>
      <c r="AY62">
        <f t="shared" si="92"/>
        <v>26.013057340534779</v>
      </c>
      <c r="AZ62">
        <f t="shared" si="93"/>
        <v>22.235218732344681</v>
      </c>
      <c r="BA62">
        <f t="shared" si="94"/>
        <v>24.338797542084826</v>
      </c>
      <c r="BB62">
        <f t="shared" si="95"/>
        <v>15.85110164697052</v>
      </c>
      <c r="BC62" s="2">
        <f t="shared" si="30"/>
        <v>17.352014405734106</v>
      </c>
      <c r="BD62">
        <f t="shared" si="31"/>
        <v>64.732219371501671</v>
      </c>
      <c r="BE62">
        <f t="shared" si="32"/>
        <v>8.0456335593601125</v>
      </c>
      <c r="BF62" s="12">
        <f t="shared" si="33"/>
        <v>17.555209898418713</v>
      </c>
      <c r="BG62">
        <f t="shared" si="34"/>
        <v>-0.2031954926846069</v>
      </c>
      <c r="BH62">
        <f t="shared" si="35"/>
        <v>4.128840824734014E-2</v>
      </c>
      <c r="BJ62" s="7">
        <v>50</v>
      </c>
      <c r="BK62">
        <f t="shared" si="96"/>
        <v>105.57263058248945</v>
      </c>
      <c r="BL62">
        <f t="shared" si="97"/>
        <v>48.457835457955859</v>
      </c>
      <c r="BM62">
        <f t="shared" si="98"/>
        <v>62.197658775597361</v>
      </c>
      <c r="BN62">
        <f t="shared" si="99"/>
        <v>193.48954543988992</v>
      </c>
      <c r="BO62">
        <f t="shared" si="100"/>
        <v>12.8389919232709</v>
      </c>
      <c r="BP62">
        <f t="shared" si="101"/>
        <v>15.794796358352967</v>
      </c>
      <c r="BQ62">
        <f t="shared" si="102"/>
        <v>46.746056061832064</v>
      </c>
      <c r="BR62">
        <f t="shared" si="103"/>
        <v>174.22290824745508</v>
      </c>
      <c r="BS62">
        <f t="shared" si="104"/>
        <v>133.93260436175339</v>
      </c>
      <c r="BT62">
        <f t="shared" si="105"/>
        <v>18.67589774712566</v>
      </c>
      <c r="BU62">
        <f t="shared" si="106"/>
        <v>121.45815175761531</v>
      </c>
      <c r="BV62">
        <f t="shared" si="107"/>
        <v>37.730307971618885</v>
      </c>
      <c r="BW62">
        <f t="shared" si="108"/>
        <v>101.78935067131651</v>
      </c>
      <c r="BX62">
        <f t="shared" si="109"/>
        <v>109.48772263681758</v>
      </c>
      <c r="BY62">
        <f t="shared" si="110"/>
        <v>33.00247179245784</v>
      </c>
      <c r="BZ62">
        <f t="shared" si="111"/>
        <v>33.018232246705914</v>
      </c>
      <c r="CA62">
        <f t="shared" si="112"/>
        <v>0.47715876828267767</v>
      </c>
      <c r="CB62">
        <f t="shared" si="113"/>
        <v>77.138096653012596</v>
      </c>
      <c r="CC62">
        <f t="shared" si="114"/>
        <v>151.90856040423819</v>
      </c>
      <c r="CD62">
        <f t="shared" si="115"/>
        <v>159.204738290661</v>
      </c>
      <c r="CE62">
        <f t="shared" si="116"/>
        <v>107.33599324387072</v>
      </c>
      <c r="CF62">
        <f t="shared" si="117"/>
        <v>40.784518090148723</v>
      </c>
      <c r="CG62">
        <f t="shared" si="118"/>
        <v>0.81921678401296771</v>
      </c>
      <c r="CH62">
        <f t="shared" si="119"/>
        <v>116.19786036483616</v>
      </c>
      <c r="CI62">
        <f t="shared" si="120"/>
        <v>10.600851754431469</v>
      </c>
      <c r="CJ62" s="7">
        <v>50</v>
      </c>
      <c r="CK62" s="13">
        <f t="shared" si="61"/>
        <v>17.214351192279569</v>
      </c>
      <c r="CL62">
        <f t="shared" si="62"/>
        <v>1.4855806770017086</v>
      </c>
      <c r="CM62">
        <f t="shared" si="63"/>
        <v>15.72877051527786</v>
      </c>
      <c r="CN62">
        <f t="shared" si="64"/>
        <v>18.699931869281279</v>
      </c>
      <c r="CO62">
        <f t="shared" si="65"/>
        <v>2.9711613540034172</v>
      </c>
      <c r="CP62">
        <f t="shared" si="66"/>
        <v>14.243189838276152</v>
      </c>
      <c r="CQ62">
        <f t="shared" si="67"/>
        <v>20.185512546282986</v>
      </c>
      <c r="CR62">
        <f t="shared" si="68"/>
        <v>4.4567420310051258</v>
      </c>
      <c r="CS62">
        <f t="shared" si="69"/>
        <v>12.757609161274443</v>
      </c>
      <c r="CT62">
        <f t="shared" si="70"/>
        <v>21.671093223284693</v>
      </c>
    </row>
    <row r="63" spans="1:98" x14ac:dyDescent="0.25">
      <c r="A63" s="7">
        <v>52</v>
      </c>
      <c r="B63" s="9">
        <f t="shared" si="29"/>
        <v>17.92532991806511</v>
      </c>
      <c r="C63">
        <v>-0.33036286507766965</v>
      </c>
      <c r="D63">
        <v>0.95550401318399603</v>
      </c>
      <c r="E63">
        <v>0.40324106570635099</v>
      </c>
      <c r="F63">
        <v>-0.90722373119296851</v>
      </c>
      <c r="G63">
        <v>8.0843531601916485E-2</v>
      </c>
      <c r="H63">
        <v>0.4803918576616717</v>
      </c>
      <c r="I63">
        <v>0.58806115909298984</v>
      </c>
      <c r="J63">
        <v>-0.84594256416516611</v>
      </c>
      <c r="K63">
        <v>-0.63371684926908167</v>
      </c>
      <c r="L63">
        <v>0.26718955046235537</v>
      </c>
      <c r="M63">
        <v>0.14603106784264663</v>
      </c>
      <c r="N63">
        <v>0.18210394604327518</v>
      </c>
      <c r="O63">
        <v>-0.19492172002319408</v>
      </c>
      <c r="P63">
        <v>0.49510177922910237</v>
      </c>
      <c r="Q63">
        <v>0.48954741050447104</v>
      </c>
      <c r="R63">
        <v>-0.91088595233008818</v>
      </c>
      <c r="S63">
        <v>0.2125614185003204</v>
      </c>
      <c r="T63">
        <v>-0.93713187047944579</v>
      </c>
      <c r="U63">
        <v>-0.11178930021057776</v>
      </c>
      <c r="V63">
        <v>0.16898098696859654</v>
      </c>
      <c r="W63">
        <v>-0.60057374797814878</v>
      </c>
      <c r="X63">
        <v>-0.53886532181768243</v>
      </c>
      <c r="Y63">
        <v>-0.89831232642597736</v>
      </c>
      <c r="Z63">
        <v>0.4481032746360667</v>
      </c>
      <c r="AA63">
        <v>-0.63054292428357805</v>
      </c>
      <c r="AC63" s="7">
        <v>52</v>
      </c>
      <c r="AD63">
        <f t="shared" si="71"/>
        <v>13.360125303903708</v>
      </c>
      <c r="AE63">
        <f t="shared" si="72"/>
        <v>31.129209018737562</v>
      </c>
      <c r="AF63">
        <f t="shared" si="73"/>
        <v>23.497620778750061</v>
      </c>
      <c r="AG63">
        <f t="shared" si="74"/>
        <v>5.3886243693190607</v>
      </c>
      <c r="AH63">
        <f t="shared" si="75"/>
        <v>19.042487148819248</v>
      </c>
      <c r="AI63">
        <f t="shared" si="76"/>
        <v>24.563748932523733</v>
      </c>
      <c r="AJ63">
        <f t="shared" si="77"/>
        <v>26.051604995226867</v>
      </c>
      <c r="AK63">
        <f t="shared" si="78"/>
        <v>6.2354540104494163</v>
      </c>
      <c r="AL63">
        <f t="shared" si="79"/>
        <v>9.16814988914488</v>
      </c>
      <c r="AM63">
        <f t="shared" si="80"/>
        <v>21.617557760742528</v>
      </c>
      <c r="AN63">
        <f t="shared" si="81"/>
        <v>19.943297962292576</v>
      </c>
      <c r="AO63">
        <f t="shared" si="82"/>
        <v>20.441780350647196</v>
      </c>
      <c r="AP63">
        <f t="shared" si="83"/>
        <v>15.23175376373265</v>
      </c>
      <c r="AQ63">
        <f t="shared" si="84"/>
        <v>24.767021784627733</v>
      </c>
      <c r="AR63">
        <f t="shared" si="85"/>
        <v>24.690267305202575</v>
      </c>
      <c r="AS63">
        <f t="shared" si="86"/>
        <v>5.338017020247527</v>
      </c>
      <c r="AT63">
        <f t="shared" si="87"/>
        <v>20.862664803758797</v>
      </c>
      <c r="AU63">
        <f t="shared" si="88"/>
        <v>4.9753310185681912</v>
      </c>
      <c r="AV63">
        <f t="shared" si="89"/>
        <v>16.380540587656498</v>
      </c>
      <c r="AW63">
        <f t="shared" si="90"/>
        <v>20.260437349807528</v>
      </c>
      <c r="AX63">
        <f t="shared" si="91"/>
        <v>9.6261463982422715</v>
      </c>
      <c r="AY63">
        <f t="shared" si="92"/>
        <v>10.478880230097641</v>
      </c>
      <c r="AZ63">
        <f t="shared" si="93"/>
        <v>5.5117689187264638</v>
      </c>
      <c r="BA63">
        <f t="shared" si="94"/>
        <v>24.117560804876366</v>
      </c>
      <c r="BB63">
        <f t="shared" si="95"/>
        <v>9.2120095916735423</v>
      </c>
      <c r="BC63" s="2">
        <f t="shared" si="30"/>
        <v>16.475682403910984</v>
      </c>
      <c r="BD63">
        <f t="shared" si="31"/>
        <v>63.113512611043085</v>
      </c>
      <c r="BE63">
        <f t="shared" si="32"/>
        <v>7.9444013374856057</v>
      </c>
      <c r="BF63" s="12">
        <f t="shared" si="33"/>
        <v>17.843312116716124</v>
      </c>
      <c r="BG63">
        <f t="shared" si="34"/>
        <v>-1.3676297128051402</v>
      </c>
      <c r="BH63">
        <f t="shared" si="35"/>
        <v>1.8704110313474704</v>
      </c>
      <c r="BJ63" s="7">
        <v>51</v>
      </c>
      <c r="BK63">
        <f t="shared" si="96"/>
        <v>97.294973326320317</v>
      </c>
      <c r="BL63">
        <f t="shared" si="97"/>
        <v>14.214426173119728</v>
      </c>
      <c r="BM63">
        <f t="shared" si="98"/>
        <v>40.307273484227501</v>
      </c>
      <c r="BN63">
        <f t="shared" si="99"/>
        <v>200.29111442527045</v>
      </c>
      <c r="BO63">
        <f t="shared" si="100"/>
        <v>2.7580017463025293</v>
      </c>
      <c r="BP63">
        <f t="shared" si="101"/>
        <v>2.2214691685032202</v>
      </c>
      <c r="BQ63">
        <f t="shared" si="102"/>
        <v>84.591328095322439</v>
      </c>
      <c r="BR63">
        <f t="shared" si="103"/>
        <v>20.29077222042082</v>
      </c>
      <c r="BS63">
        <f t="shared" si="104"/>
        <v>21.80826106829884</v>
      </c>
      <c r="BT63">
        <f t="shared" si="105"/>
        <v>3.5555905587399934</v>
      </c>
      <c r="BU63">
        <f t="shared" si="106"/>
        <v>53.690412108194103</v>
      </c>
      <c r="BV63">
        <f t="shared" si="107"/>
        <v>84.93178631039757</v>
      </c>
      <c r="BW63">
        <f t="shared" si="108"/>
        <v>1.8394295575526605</v>
      </c>
      <c r="BX63">
        <f t="shared" si="109"/>
        <v>38.978566176297605</v>
      </c>
      <c r="BY63">
        <f t="shared" si="110"/>
        <v>34.984161125527983</v>
      </c>
      <c r="BZ63">
        <f t="shared" si="111"/>
        <v>59.931251065086762</v>
      </c>
      <c r="CA63">
        <f t="shared" si="112"/>
        <v>11.843502267584933</v>
      </c>
      <c r="CB63">
        <f t="shared" si="113"/>
        <v>136.60311492803626</v>
      </c>
      <c r="CC63">
        <f t="shared" si="114"/>
        <v>111.60982874936295</v>
      </c>
      <c r="CD63">
        <f t="shared" si="115"/>
        <v>180.77891121062353</v>
      </c>
      <c r="CE63">
        <f t="shared" si="116"/>
        <v>148.41877603030548</v>
      </c>
      <c r="CF63">
        <f t="shared" si="117"/>
        <v>57.655124183333029</v>
      </c>
      <c r="CG63">
        <f t="shared" si="118"/>
        <v>8.729225902143849</v>
      </c>
      <c r="CH63">
        <f t="shared" si="119"/>
        <v>28.77776420390482</v>
      </c>
      <c r="CI63">
        <f t="shared" si="120"/>
        <v>1.9109652147140737</v>
      </c>
      <c r="CJ63" s="7">
        <v>51</v>
      </c>
      <c r="CK63" s="13">
        <f t="shared" si="61"/>
        <v>17.49895780590143</v>
      </c>
      <c r="CL63">
        <f t="shared" si="62"/>
        <v>1.5196237767095342</v>
      </c>
      <c r="CM63">
        <f t="shared" si="63"/>
        <v>15.979334029191897</v>
      </c>
      <c r="CN63">
        <f t="shared" si="64"/>
        <v>19.018581582610963</v>
      </c>
      <c r="CO63">
        <f t="shared" si="65"/>
        <v>3.0392475534190684</v>
      </c>
      <c r="CP63">
        <f t="shared" si="66"/>
        <v>14.459710252482362</v>
      </c>
      <c r="CQ63">
        <f t="shared" si="67"/>
        <v>20.5382053593205</v>
      </c>
      <c r="CR63">
        <f t="shared" si="68"/>
        <v>4.5588713301286026</v>
      </c>
      <c r="CS63">
        <f t="shared" si="69"/>
        <v>12.940086475772826</v>
      </c>
      <c r="CT63">
        <f t="shared" si="70"/>
        <v>22.057829136030033</v>
      </c>
    </row>
    <row r="64" spans="1:98" x14ac:dyDescent="0.25">
      <c r="A64" s="7">
        <v>53</v>
      </c>
      <c r="B64" s="9">
        <f t="shared" si="29"/>
        <v>18.216914318114867</v>
      </c>
      <c r="C64">
        <v>-0.57029938657795953</v>
      </c>
      <c r="D64">
        <v>0.65764336069826346</v>
      </c>
      <c r="E64">
        <v>0.10269478438673052</v>
      </c>
      <c r="F64">
        <v>-0.68236335337382115</v>
      </c>
      <c r="G64">
        <v>-0.78716391491439563</v>
      </c>
      <c r="H64">
        <v>-0.66417432172612689</v>
      </c>
      <c r="I64">
        <v>-0.74510940885647137</v>
      </c>
      <c r="J64">
        <v>0.49168370616779078</v>
      </c>
      <c r="K64">
        <v>-0.77556688131351659</v>
      </c>
      <c r="L64">
        <v>0.42283394878994107</v>
      </c>
      <c r="M64">
        <v>-0.53953672902615435</v>
      </c>
      <c r="N64">
        <v>0.97943052461317781</v>
      </c>
      <c r="O64">
        <v>-6.3814203314310092E-2</v>
      </c>
      <c r="P64">
        <v>-0.70226142155217142</v>
      </c>
      <c r="Q64">
        <v>-0.80010376293221841</v>
      </c>
      <c r="R64">
        <v>0.4846644489883114</v>
      </c>
      <c r="S64">
        <v>-0.19968260750144962</v>
      </c>
      <c r="T64">
        <v>0.91332743308816799</v>
      </c>
      <c r="U64">
        <v>-0.31333353679006315</v>
      </c>
      <c r="V64">
        <v>0.15335551011688597</v>
      </c>
      <c r="W64">
        <v>2.0599993896298185E-2</v>
      </c>
      <c r="X64">
        <v>0.73320719016083258</v>
      </c>
      <c r="Y64">
        <v>0.30375072481460008</v>
      </c>
      <c r="Z64">
        <v>-0.48667867061372727</v>
      </c>
      <c r="AA64">
        <v>-1.6632587664418441E-2</v>
      </c>
      <c r="AC64" s="7">
        <v>53</v>
      </c>
      <c r="AD64">
        <f t="shared" si="71"/>
        <v>10.336084883950054</v>
      </c>
      <c r="AE64">
        <f t="shared" si="72"/>
        <v>27.304729027635794</v>
      </c>
      <c r="AF64">
        <f t="shared" si="73"/>
        <v>19.636028731662499</v>
      </c>
      <c r="AG64">
        <f t="shared" si="74"/>
        <v>8.7875000023610781</v>
      </c>
      <c r="AH64">
        <f t="shared" si="75"/>
        <v>7.3392863630973117</v>
      </c>
      <c r="AI64">
        <f t="shared" si="76"/>
        <v>9.0388498360830347</v>
      </c>
      <c r="AJ64">
        <f t="shared" si="77"/>
        <v>7.9204274216021098</v>
      </c>
      <c r="AK64">
        <f t="shared" si="78"/>
        <v>25.011372658877391</v>
      </c>
      <c r="AL64">
        <f t="shared" si="79"/>
        <v>7.4995429684905091</v>
      </c>
      <c r="AM64">
        <f t="shared" si="80"/>
        <v>24.05995449633253</v>
      </c>
      <c r="AN64">
        <f t="shared" si="81"/>
        <v>10.761186616150949</v>
      </c>
      <c r="AO64">
        <f t="shared" si="82"/>
        <v>31.751428099388015</v>
      </c>
      <c r="AP64">
        <f t="shared" si="83"/>
        <v>17.335081260543369</v>
      </c>
      <c r="AQ64">
        <f t="shared" si="84"/>
        <v>8.5125334057390685</v>
      </c>
      <c r="AR64">
        <f t="shared" si="85"/>
        <v>7.1604737297112209</v>
      </c>
      <c r="AS64">
        <f t="shared" si="86"/>
        <v>24.914375239823617</v>
      </c>
      <c r="AT64">
        <f t="shared" si="87"/>
        <v>15.457548609989413</v>
      </c>
      <c r="AU64">
        <f t="shared" si="88"/>
        <v>30.837965448646806</v>
      </c>
      <c r="AV64">
        <f t="shared" si="89"/>
        <v>13.887033877136105</v>
      </c>
      <c r="AW64">
        <f t="shared" si="90"/>
        <v>20.336097060485404</v>
      </c>
      <c r="AX64">
        <f t="shared" si="91"/>
        <v>18.501580656642254</v>
      </c>
      <c r="AY64">
        <f t="shared" si="92"/>
        <v>28.348927330145138</v>
      </c>
      <c r="AZ64">
        <f t="shared" si="93"/>
        <v>22.414372195689779</v>
      </c>
      <c r="BA64">
        <f t="shared" si="94"/>
        <v>11.491619354416773</v>
      </c>
      <c r="BB64">
        <f t="shared" si="95"/>
        <v>17.987072607748313</v>
      </c>
      <c r="BC64" s="2">
        <f t="shared" si="30"/>
        <v>17.065242875293947</v>
      </c>
      <c r="BD64">
        <f t="shared" si="31"/>
        <v>65.117421106555824</v>
      </c>
      <c r="BE64">
        <f t="shared" si="32"/>
        <v>8.069536610398135</v>
      </c>
      <c r="BF64" s="12">
        <f t="shared" si="33"/>
        <v>18.131414335013535</v>
      </c>
      <c r="BG64">
        <f t="shared" si="34"/>
        <v>-1.0661714597195875</v>
      </c>
      <c r="BH64">
        <f t="shared" si="35"/>
        <v>1.136721581520596</v>
      </c>
      <c r="BJ64" s="7">
        <v>52</v>
      </c>
      <c r="BK64">
        <f t="shared" si="96"/>
        <v>23.414336619413557</v>
      </c>
      <c r="BL64">
        <f t="shared" si="97"/>
        <v>145.6821946273736</v>
      </c>
      <c r="BM64">
        <f t="shared" si="98"/>
        <v>51.66076536653695</v>
      </c>
      <c r="BN64">
        <f t="shared" si="99"/>
        <v>80.063895343742033</v>
      </c>
      <c r="BO64">
        <f t="shared" si="100"/>
        <v>4.1845466280066272</v>
      </c>
      <c r="BP64">
        <f t="shared" si="101"/>
        <v>56.990005688049521</v>
      </c>
      <c r="BQ64">
        <f t="shared" si="102"/>
        <v>101.23876632578047</v>
      </c>
      <c r="BR64">
        <f t="shared" si="103"/>
        <v>113.84746848014757</v>
      </c>
      <c r="BS64">
        <f t="shared" si="104"/>
        <v>87.419748582808069</v>
      </c>
      <c r="BT64">
        <f t="shared" si="105"/>
        <v>28.076553747208994</v>
      </c>
      <c r="BU64">
        <f t="shared" si="106"/>
        <v>8.451475213855944E-5</v>
      </c>
      <c r="BV64">
        <f t="shared" si="107"/>
        <v>6.0902748375266063</v>
      </c>
      <c r="BW64">
        <f t="shared" si="108"/>
        <v>5.2079178256864918</v>
      </c>
      <c r="BX64">
        <f t="shared" si="109"/>
        <v>21.00911609940502</v>
      </c>
      <c r="BY64">
        <f t="shared" si="110"/>
        <v>57.612248362484507</v>
      </c>
      <c r="BZ64">
        <f t="shared" si="111"/>
        <v>117.9710052856787</v>
      </c>
      <c r="CA64">
        <f t="shared" si="112"/>
        <v>32.07580816185002</v>
      </c>
      <c r="CB64">
        <f t="shared" si="113"/>
        <v>207.5191558029268</v>
      </c>
      <c r="CC64">
        <f t="shared" si="114"/>
        <v>8.4936191524679412</v>
      </c>
      <c r="CD64">
        <f t="shared" si="115"/>
        <v>7.1252871110749112</v>
      </c>
      <c r="CE64">
        <f t="shared" si="116"/>
        <v>97.062049321708059</v>
      </c>
      <c r="CF64">
        <f t="shared" si="117"/>
        <v>68.30823458312166</v>
      </c>
      <c r="CG64">
        <f t="shared" si="118"/>
        <v>196.96825658399334</v>
      </c>
      <c r="CH64">
        <f t="shared" si="119"/>
        <v>23.301627682035765</v>
      </c>
      <c r="CI64">
        <f t="shared" si="120"/>
        <v>68.879292068990736</v>
      </c>
      <c r="CJ64" s="7">
        <v>52</v>
      </c>
      <c r="CK64" s="13">
        <f t="shared" si="61"/>
        <v>17.783564419523294</v>
      </c>
      <c r="CL64">
        <f t="shared" si="62"/>
        <v>1.5546270945546392</v>
      </c>
      <c r="CM64">
        <f t="shared" si="63"/>
        <v>16.228937324968655</v>
      </c>
      <c r="CN64">
        <f t="shared" si="64"/>
        <v>19.338191514077934</v>
      </c>
      <c r="CO64">
        <f t="shared" si="65"/>
        <v>3.1092541891092784</v>
      </c>
      <c r="CP64">
        <f t="shared" si="66"/>
        <v>14.674310230414015</v>
      </c>
      <c r="CQ64">
        <f t="shared" si="67"/>
        <v>20.892818608632574</v>
      </c>
      <c r="CR64">
        <f t="shared" si="68"/>
        <v>4.6638812836639172</v>
      </c>
      <c r="CS64">
        <f t="shared" si="69"/>
        <v>13.119683135859377</v>
      </c>
      <c r="CT64">
        <f t="shared" si="70"/>
        <v>22.447445703187213</v>
      </c>
    </row>
    <row r="65" spans="1:98" x14ac:dyDescent="0.25">
      <c r="A65" s="7">
        <v>54</v>
      </c>
      <c r="B65" s="9">
        <f t="shared" si="29"/>
        <v>18.508498718164628</v>
      </c>
      <c r="C65">
        <v>-0.31022064882351141</v>
      </c>
      <c r="D65">
        <v>-1.8280587176122354E-2</v>
      </c>
      <c r="E65">
        <v>-0.41019928586687826</v>
      </c>
      <c r="F65">
        <v>0.16055787835322133</v>
      </c>
      <c r="G65">
        <v>0.72313608203375357</v>
      </c>
      <c r="H65">
        <v>-0.16873683889278845</v>
      </c>
      <c r="I65">
        <v>0.25925473799859611</v>
      </c>
      <c r="J65">
        <v>0.29917294839320041</v>
      </c>
      <c r="K65">
        <v>-0.53520310068056276</v>
      </c>
      <c r="L65">
        <v>-0.65886410107730331</v>
      </c>
      <c r="M65">
        <v>0.90362254707480094</v>
      </c>
      <c r="N65">
        <v>-0.29313028351695303</v>
      </c>
      <c r="O65">
        <v>0.62895596179082625</v>
      </c>
      <c r="P65">
        <v>-0.54399243140965003</v>
      </c>
      <c r="Q65">
        <v>0.4285714285714286</v>
      </c>
      <c r="R65">
        <v>-0.55076754051332133</v>
      </c>
      <c r="S65">
        <v>0.6725974303415021</v>
      </c>
      <c r="T65">
        <v>0.84484389782403024</v>
      </c>
      <c r="U65">
        <v>-0.29313028351695303</v>
      </c>
      <c r="V65">
        <v>-0.73149815363017678</v>
      </c>
      <c r="W65">
        <v>0.28800317392498553</v>
      </c>
      <c r="X65">
        <v>0.67394024475844594</v>
      </c>
      <c r="Y65">
        <v>0.510177922910245</v>
      </c>
      <c r="Z65">
        <v>-0.96209601123081145</v>
      </c>
      <c r="AA65">
        <v>-0.71031830805383467</v>
      </c>
      <c r="AC65" s="7">
        <v>54</v>
      </c>
      <c r="AD65">
        <f t="shared" si="71"/>
        <v>14.221634523896672</v>
      </c>
      <c r="AE65">
        <f t="shared" si="72"/>
        <v>18.255883700715881</v>
      </c>
      <c r="AF65">
        <f t="shared" si="73"/>
        <v>12.840053894243759</v>
      </c>
      <c r="AG65">
        <f t="shared" si="74"/>
        <v>20.727209247042516</v>
      </c>
      <c r="AH65">
        <f t="shared" si="75"/>
        <v>28.501341520248175</v>
      </c>
      <c r="AI65">
        <f t="shared" si="76"/>
        <v>16.176765109693644</v>
      </c>
      <c r="AJ65">
        <f t="shared" si="77"/>
        <v>22.091077304520386</v>
      </c>
      <c r="AK65">
        <f t="shared" si="78"/>
        <v>22.642697409400121</v>
      </c>
      <c r="AL65">
        <f t="shared" si="79"/>
        <v>11.112656379268692</v>
      </c>
      <c r="AM65">
        <f t="shared" si="80"/>
        <v>9.4038148922865226</v>
      </c>
      <c r="AN65">
        <f t="shared" si="81"/>
        <v>30.995440373657001</v>
      </c>
      <c r="AO65">
        <f t="shared" si="82"/>
        <v>14.457802152897166</v>
      </c>
      <c r="AP65">
        <f t="shared" si="83"/>
        <v>27.199889193291867</v>
      </c>
      <c r="AQ65">
        <f t="shared" si="84"/>
        <v>10.991198741497008</v>
      </c>
      <c r="AR65">
        <f t="shared" si="85"/>
        <v>24.43082374326103</v>
      </c>
      <c r="AS65">
        <f t="shared" si="86"/>
        <v>10.897575145714669</v>
      </c>
      <c r="AT65">
        <f t="shared" si="87"/>
        <v>27.80296010306099</v>
      </c>
      <c r="AU65">
        <f t="shared" si="88"/>
        <v>30.183192421058862</v>
      </c>
      <c r="AV65">
        <f t="shared" si="89"/>
        <v>14.457802152897166</v>
      </c>
      <c r="AW65">
        <f t="shared" si="90"/>
        <v>8.4001024690344064</v>
      </c>
      <c r="AX65">
        <f t="shared" si="91"/>
        <v>22.488344994731939</v>
      </c>
      <c r="AY65">
        <f t="shared" si="92"/>
        <v>27.821516131053883</v>
      </c>
      <c r="AZ65">
        <f t="shared" si="93"/>
        <v>25.558524171738405</v>
      </c>
      <c r="BA65">
        <f t="shared" si="94"/>
        <v>5.2135263891634107</v>
      </c>
      <c r="BB65">
        <f t="shared" si="95"/>
        <v>8.6927816378314535</v>
      </c>
      <c r="BC65" s="2">
        <f t="shared" si="30"/>
        <v>18.62258455208822</v>
      </c>
      <c r="BD65">
        <f t="shared" si="31"/>
        <v>62.16741320528687</v>
      </c>
      <c r="BE65">
        <f t="shared" si="32"/>
        <v>7.8846314565290161</v>
      </c>
      <c r="BF65" s="12">
        <f t="shared" si="33"/>
        <v>18.419516553310942</v>
      </c>
      <c r="BG65">
        <f t="shared" si="34"/>
        <v>0.20306799877727855</v>
      </c>
      <c r="BH65">
        <f t="shared" si="35"/>
        <v>4.1236612127408805E-2</v>
      </c>
      <c r="BJ65" s="7">
        <v>53</v>
      </c>
      <c r="BK65">
        <f t="shared" si="96"/>
        <v>67.093370908770694</v>
      </c>
      <c r="BL65">
        <f t="shared" si="97"/>
        <v>63.009909595814243</v>
      </c>
      <c r="BM65">
        <f t="shared" si="98"/>
        <v>9.1941270765832712</v>
      </c>
      <c r="BN65">
        <f t="shared" si="99"/>
        <v>32.195302689514328</v>
      </c>
      <c r="BO65">
        <f t="shared" si="100"/>
        <v>97.944267988371791</v>
      </c>
      <c r="BP65">
        <f t="shared" si="101"/>
        <v>67.844488344452401</v>
      </c>
      <c r="BQ65">
        <f t="shared" si="102"/>
        <v>69.560536713873134</v>
      </c>
      <c r="BR65">
        <f t="shared" si="103"/>
        <v>61.478231507004594</v>
      </c>
      <c r="BS65">
        <f t="shared" si="104"/>
        <v>129.38096149122902</v>
      </c>
      <c r="BT65">
        <f t="shared" si="105"/>
        <v>56.287257584336629</v>
      </c>
      <c r="BU65">
        <f t="shared" si="106"/>
        <v>89.663440638772784</v>
      </c>
      <c r="BV65">
        <f t="shared" si="107"/>
        <v>181.62349388790062</v>
      </c>
      <c r="BW65">
        <f t="shared" si="108"/>
        <v>0.2658056271798962</v>
      </c>
      <c r="BX65">
        <f t="shared" si="109"/>
        <v>143.11559315769671</v>
      </c>
      <c r="BY65">
        <f t="shared" si="110"/>
        <v>104.87392638101775</v>
      </c>
      <c r="BZ65">
        <f t="shared" si="111"/>
        <v>72.85531626666743</v>
      </c>
      <c r="CA65">
        <f t="shared" si="112"/>
        <v>4.6641603674432931E-6</v>
      </c>
      <c r="CB65">
        <f t="shared" si="113"/>
        <v>123.46396883935329</v>
      </c>
      <c r="CC65">
        <f t="shared" si="114"/>
        <v>32.599125828494245</v>
      </c>
      <c r="CD65">
        <f t="shared" si="115"/>
        <v>5.9844440203980227</v>
      </c>
      <c r="CE65">
        <f t="shared" si="116"/>
        <v>1.7265860446637844</v>
      </c>
      <c r="CF65">
        <f t="shared" si="117"/>
        <v>86.143790032815744</v>
      </c>
      <c r="CG65">
        <f t="shared" si="118"/>
        <v>6.7727500091589095</v>
      </c>
      <c r="CH65">
        <f t="shared" si="119"/>
        <v>65.850690792116126</v>
      </c>
      <c r="CI65">
        <f t="shared" si="120"/>
        <v>3.9133499414613651E-2</v>
      </c>
      <c r="CJ65" s="7">
        <v>53</v>
      </c>
      <c r="CK65" s="13">
        <f t="shared" si="61"/>
        <v>18.068171033145155</v>
      </c>
      <c r="CL65">
        <f t="shared" si="62"/>
        <v>1.5905272361793124</v>
      </c>
      <c r="CM65">
        <f t="shared" si="63"/>
        <v>16.477643796965843</v>
      </c>
      <c r="CN65">
        <f t="shared" si="64"/>
        <v>19.658698269324468</v>
      </c>
      <c r="CO65">
        <f t="shared" si="65"/>
        <v>3.1810544723586247</v>
      </c>
      <c r="CP65">
        <f t="shared" si="66"/>
        <v>14.887116560786531</v>
      </c>
      <c r="CQ65">
        <f t="shared" si="67"/>
        <v>21.24922550550378</v>
      </c>
      <c r="CR65">
        <f t="shared" si="68"/>
        <v>4.7715817085379371</v>
      </c>
      <c r="CS65">
        <f t="shared" si="69"/>
        <v>13.296589324607218</v>
      </c>
      <c r="CT65">
        <f t="shared" si="70"/>
        <v>22.839752741683093</v>
      </c>
    </row>
    <row r="66" spans="1:98" x14ac:dyDescent="0.25">
      <c r="A66" s="7">
        <v>55</v>
      </c>
      <c r="B66" s="9">
        <f t="shared" si="29"/>
        <v>18.800083118214388</v>
      </c>
      <c r="C66">
        <v>0.19583727530747397</v>
      </c>
      <c r="D66">
        <v>-8.2094790490432334E-3</v>
      </c>
      <c r="E66">
        <v>-0.43607898190252392</v>
      </c>
      <c r="F66">
        <v>-0.54136783959471413</v>
      </c>
      <c r="G66">
        <v>0.46751304666280102</v>
      </c>
      <c r="H66">
        <v>0.78289132358775593</v>
      </c>
      <c r="I66">
        <v>0.54838709677419351</v>
      </c>
      <c r="J66">
        <v>-9.4637897885067268E-2</v>
      </c>
      <c r="K66">
        <v>0.50962858973967706</v>
      </c>
      <c r="L66">
        <v>-0.23636585589159831</v>
      </c>
      <c r="M66">
        <v>0.5229346598712119</v>
      </c>
      <c r="N66">
        <v>0.51585436567278053</v>
      </c>
      <c r="O66">
        <v>-0.78008362071596427</v>
      </c>
      <c r="P66">
        <v>-0.42612994781334879</v>
      </c>
      <c r="Q66">
        <v>0.56962797936948761</v>
      </c>
      <c r="R66">
        <v>4.1474654377880116E-2</v>
      </c>
      <c r="S66">
        <v>-0.64696188238166452</v>
      </c>
      <c r="T66">
        <v>-7.6631977294228992E-2</v>
      </c>
      <c r="U66">
        <v>0.63798944059572138</v>
      </c>
      <c r="V66">
        <v>0.39622180852687161</v>
      </c>
      <c r="W66">
        <v>0.87902462843714724</v>
      </c>
      <c r="X66">
        <v>0.7661671803949095</v>
      </c>
      <c r="Y66">
        <v>0.27304910428174689</v>
      </c>
      <c r="Z66">
        <v>-0.27677236243781855</v>
      </c>
      <c r="AA66">
        <v>3.3478804895168857E-2</v>
      </c>
      <c r="AC66" s="7">
        <v>55</v>
      </c>
      <c r="AD66">
        <f t="shared" si="71"/>
        <v>21.506311109814732</v>
      </c>
      <c r="AE66">
        <f t="shared" si="72"/>
        <v>18.686638310712365</v>
      </c>
      <c r="AF66">
        <f t="shared" si="73"/>
        <v>12.774013027521338</v>
      </c>
      <c r="AG66">
        <f t="shared" si="74"/>
        <v>11.319051741714704</v>
      </c>
      <c r="AH66">
        <f t="shared" si="75"/>
        <v>25.260532955104782</v>
      </c>
      <c r="AI66">
        <f t="shared" si="76"/>
        <v>29.618669165981817</v>
      </c>
      <c r="AJ66">
        <f t="shared" si="77"/>
        <v>26.378111913767849</v>
      </c>
      <c r="AK66">
        <f t="shared" si="78"/>
        <v>17.492304872624135</v>
      </c>
      <c r="AL66">
        <f t="shared" si="79"/>
        <v>25.842517469427435</v>
      </c>
      <c r="AM66">
        <f t="shared" si="80"/>
        <v>15.533800463555721</v>
      </c>
      <c r="AN66">
        <f t="shared" si="81"/>
        <v>26.02639083772068</v>
      </c>
      <c r="AO66">
        <f t="shared" si="82"/>
        <v>25.928549962849047</v>
      </c>
      <c r="AP66">
        <f t="shared" si="83"/>
        <v>8.0202960380684676</v>
      </c>
      <c r="AQ66">
        <f t="shared" si="84"/>
        <v>12.911496325832342</v>
      </c>
      <c r="AR66">
        <f t="shared" si="85"/>
        <v>26.671634538382754</v>
      </c>
      <c r="AS66">
        <f t="shared" si="86"/>
        <v>19.373211346449523</v>
      </c>
      <c r="AT66">
        <f t="shared" si="87"/>
        <v>9.8598731768187715</v>
      </c>
      <c r="AU66">
        <f t="shared" si="88"/>
        <v>17.741124338892515</v>
      </c>
      <c r="AV66">
        <f t="shared" si="89"/>
        <v>27.616305054384746</v>
      </c>
      <c r="AW66">
        <f t="shared" si="90"/>
        <v>24.275376559845565</v>
      </c>
      <c r="AX66">
        <f t="shared" si="91"/>
        <v>30.947112079109615</v>
      </c>
      <c r="AY66">
        <f t="shared" si="92"/>
        <v>29.387562271888473</v>
      </c>
      <c r="AZ66">
        <f t="shared" si="93"/>
        <v>22.573282719406265</v>
      </c>
      <c r="BA66">
        <f t="shared" si="94"/>
        <v>14.975432712133118</v>
      </c>
      <c r="BB66">
        <f t="shared" si="95"/>
        <v>19.262718634310005</v>
      </c>
      <c r="BC66" s="2">
        <f t="shared" si="30"/>
        <v>20.799292705052672</v>
      </c>
      <c r="BD66">
        <f t="shared" si="31"/>
        <v>44.648185228544207</v>
      </c>
      <c r="BE66">
        <f t="shared" si="32"/>
        <v>6.6819297533380437</v>
      </c>
      <c r="BF66" s="12">
        <f t="shared" si="33"/>
        <v>18.707618771608352</v>
      </c>
      <c r="BG66">
        <f t="shared" si="34"/>
        <v>2.0916739334443193</v>
      </c>
      <c r="BH66">
        <f t="shared" si="35"/>
        <v>4.3750998438504309</v>
      </c>
      <c r="BJ66" s="7">
        <v>54</v>
      </c>
      <c r="BK66">
        <f t="shared" si="96"/>
        <v>21.471011626913452</v>
      </c>
      <c r="BL66">
        <f t="shared" si="97"/>
        <v>2.0121336146491098</v>
      </c>
      <c r="BM66">
        <f t="shared" si="98"/>
        <v>16.463804213742726</v>
      </c>
      <c r="BN66">
        <f t="shared" si="99"/>
        <v>37.705687713460073</v>
      </c>
      <c r="BO66">
        <f t="shared" si="100"/>
        <v>121.57885530392464</v>
      </c>
      <c r="BP66">
        <f t="shared" si="101"/>
        <v>1.8493587342942526</v>
      </c>
      <c r="BQ66">
        <f t="shared" si="102"/>
        <v>30.907905236817435</v>
      </c>
      <c r="BR66">
        <f t="shared" si="103"/>
        <v>27.112329335501066</v>
      </c>
      <c r="BS66">
        <f t="shared" si="104"/>
        <v>65.895060397366152</v>
      </c>
      <c r="BT66">
        <f t="shared" si="105"/>
        <v>54.646111380714643</v>
      </c>
      <c r="BU66">
        <f t="shared" si="106"/>
        <v>109.60028873032473</v>
      </c>
      <c r="BV66">
        <f t="shared" si="107"/>
        <v>16.954380459509355</v>
      </c>
      <c r="BW66">
        <f t="shared" si="108"/>
        <v>81.224073110519655</v>
      </c>
      <c r="BX66">
        <f t="shared" si="109"/>
        <v>95.581955257750209</v>
      </c>
      <c r="BY66">
        <f t="shared" si="110"/>
        <v>45.269697995552683</v>
      </c>
      <c r="BZ66">
        <f t="shared" si="111"/>
        <v>32.042928453235753</v>
      </c>
      <c r="CA66">
        <f t="shared" si="112"/>
        <v>146.1994432243811</v>
      </c>
      <c r="CB66">
        <f t="shared" si="113"/>
        <v>102.23203835252737</v>
      </c>
      <c r="CC66">
        <f t="shared" si="114"/>
        <v>29.598740060028444</v>
      </c>
      <c r="CD66">
        <f t="shared" si="115"/>
        <v>95.811854131397268</v>
      </c>
      <c r="CE66">
        <f t="shared" si="116"/>
        <v>5.4538364151997483</v>
      </c>
      <c r="CF66">
        <f t="shared" si="117"/>
        <v>71.067548408204118</v>
      </c>
      <c r="CG66">
        <f t="shared" si="118"/>
        <v>30.041231959255388</v>
      </c>
      <c r="CH66">
        <f t="shared" si="119"/>
        <v>216.35512750698166</v>
      </c>
      <c r="CI66">
        <f t="shared" si="120"/>
        <v>87.878537120560566</v>
      </c>
      <c r="CJ66" s="7">
        <v>54</v>
      </c>
      <c r="CK66" s="13">
        <f t="shared" si="61"/>
        <v>18.352777646767017</v>
      </c>
      <c r="CL66">
        <f t="shared" si="62"/>
        <v>1.6272648464387593</v>
      </c>
      <c r="CM66">
        <f t="shared" si="63"/>
        <v>16.725512800328257</v>
      </c>
      <c r="CN66">
        <f t="shared" si="64"/>
        <v>19.980042493205776</v>
      </c>
      <c r="CO66">
        <f t="shared" si="65"/>
        <v>3.2545296928775187</v>
      </c>
      <c r="CP66">
        <f t="shared" si="66"/>
        <v>15.098247953889498</v>
      </c>
      <c r="CQ66">
        <f t="shared" si="67"/>
        <v>21.607307339644535</v>
      </c>
      <c r="CR66">
        <f t="shared" si="68"/>
        <v>4.881794539316278</v>
      </c>
      <c r="CS66">
        <f t="shared" si="69"/>
        <v>13.470983107450738</v>
      </c>
      <c r="CT66">
        <f t="shared" si="70"/>
        <v>23.234572186083295</v>
      </c>
    </row>
    <row r="67" spans="1:98" x14ac:dyDescent="0.25">
      <c r="A67" s="7">
        <v>56</v>
      </c>
      <c r="B67" s="9">
        <f t="shared" si="29"/>
        <v>19.091667518264149</v>
      </c>
      <c r="C67">
        <v>0.4004333628345591</v>
      </c>
      <c r="D67">
        <v>0.56578264717551185</v>
      </c>
      <c r="E67">
        <v>-0.20645771660512102</v>
      </c>
      <c r="F67">
        <v>-0.62858973967711418</v>
      </c>
      <c r="G67">
        <v>0.55644398327585676</v>
      </c>
      <c r="H67">
        <v>-0.8613238929410687</v>
      </c>
      <c r="I67">
        <v>0.2992339854121524</v>
      </c>
      <c r="J67">
        <v>-0.8622394482253487</v>
      </c>
      <c r="K67">
        <v>-0.4642780846583453</v>
      </c>
      <c r="L67">
        <v>0.97906430249946585</v>
      </c>
      <c r="M67">
        <v>-0.39616077150791951</v>
      </c>
      <c r="N67">
        <v>-0.73345133823664055</v>
      </c>
      <c r="O67">
        <v>-0.53697317423017066</v>
      </c>
      <c r="P67">
        <v>0.93224890896328616</v>
      </c>
      <c r="Q67">
        <v>0.51194799645985301</v>
      </c>
      <c r="R67">
        <v>0.32151249732963039</v>
      </c>
      <c r="S67">
        <v>0.71440778832361818</v>
      </c>
      <c r="T67">
        <v>0.66789757988219844</v>
      </c>
      <c r="U67">
        <v>0.62108218634601875</v>
      </c>
      <c r="V67">
        <v>0.69078646198919635</v>
      </c>
      <c r="W67">
        <v>-0.41654713583788572</v>
      </c>
      <c r="X67">
        <v>-6.8941312906277696E-2</v>
      </c>
      <c r="Y67">
        <v>-0.18210394604327529</v>
      </c>
      <c r="Z67">
        <v>0.34775841547898811</v>
      </c>
      <c r="AA67">
        <v>0.24845118564409319</v>
      </c>
      <c r="AC67" s="7">
        <v>56</v>
      </c>
      <c r="AD67">
        <f t="shared" si="71"/>
        <v>24.625159411327587</v>
      </c>
      <c r="AE67">
        <f t="shared" si="72"/>
        <v>26.910081221907401</v>
      </c>
      <c r="AF67">
        <f t="shared" si="73"/>
        <v>16.238678214356355</v>
      </c>
      <c r="AG67">
        <f t="shared" si="74"/>
        <v>10.405337778044068</v>
      </c>
      <c r="AH67">
        <f t="shared" si="75"/>
        <v>26.781032481774986</v>
      </c>
      <c r="AI67">
        <f t="shared" si="76"/>
        <v>7.1892407445480089</v>
      </c>
      <c r="AJ67">
        <f t="shared" si="77"/>
        <v>23.2267096653175</v>
      </c>
      <c r="AK67">
        <f t="shared" si="78"/>
        <v>7.1765889072801237</v>
      </c>
      <c r="AL67">
        <f t="shared" si="79"/>
        <v>12.675920839720279</v>
      </c>
      <c r="AM67">
        <f t="shared" si="80"/>
        <v>32.621120564630147</v>
      </c>
      <c r="AN67">
        <f t="shared" si="81"/>
        <v>13.617217532450834</v>
      </c>
      <c r="AO67">
        <f t="shared" si="82"/>
        <v>8.9562806829624435</v>
      </c>
      <c r="AP67">
        <f t="shared" si="83"/>
        <v>11.671364960650305</v>
      </c>
      <c r="AQ67">
        <f t="shared" si="84"/>
        <v>31.974189952332353</v>
      </c>
      <c r="AR67">
        <f t="shared" si="85"/>
        <v>26.166153190555839</v>
      </c>
      <c r="AS67">
        <f t="shared" si="86"/>
        <v>23.534571038836006</v>
      </c>
      <c r="AT67">
        <f t="shared" si="87"/>
        <v>28.963896138393871</v>
      </c>
      <c r="AU67">
        <f t="shared" si="88"/>
        <v>28.321182805185373</v>
      </c>
      <c r="AV67">
        <f t="shared" si="89"/>
        <v>27.674252192887582</v>
      </c>
      <c r="AW67">
        <f t="shared" si="90"/>
        <v>28.637478736882468</v>
      </c>
      <c r="AX67">
        <f t="shared" si="91"/>
        <v>13.335503289285953</v>
      </c>
      <c r="AY67">
        <f t="shared" si="92"/>
        <v>18.138984171992497</v>
      </c>
      <c r="AZ67">
        <f t="shared" si="93"/>
        <v>16.575217085682063</v>
      </c>
      <c r="BA67">
        <f t="shared" si="94"/>
        <v>23.897257040515342</v>
      </c>
      <c r="BB67">
        <f t="shared" si="95"/>
        <v>22.52495442485888</v>
      </c>
      <c r="BC67" s="2">
        <f t="shared" si="30"/>
        <v>20.473534922895134</v>
      </c>
      <c r="BD67">
        <f t="shared" si="31"/>
        <v>64.91067676038567</v>
      </c>
      <c r="BE67">
        <f t="shared" si="32"/>
        <v>8.056716251698683</v>
      </c>
      <c r="BF67" s="12">
        <f t="shared" si="33"/>
        <v>18.995720989905763</v>
      </c>
      <c r="BG67">
        <f t="shared" si="34"/>
        <v>1.4778139329893705</v>
      </c>
      <c r="BH67">
        <f t="shared" si="35"/>
        <v>2.1839340205375115</v>
      </c>
      <c r="BJ67" s="7">
        <v>55</v>
      </c>
      <c r="BK67">
        <f t="shared" si="96"/>
        <v>5.39547730430274</v>
      </c>
      <c r="BL67">
        <f t="shared" si="97"/>
        <v>1.6777298905509925</v>
      </c>
      <c r="BM67">
        <f t="shared" si="98"/>
        <v>19.513163507428221</v>
      </c>
      <c r="BN67">
        <f t="shared" si="99"/>
        <v>11.510988925126114</v>
      </c>
      <c r="BO67">
        <f t="shared" si="100"/>
        <v>56.947795947323058</v>
      </c>
      <c r="BP67">
        <f t="shared" si="101"/>
        <v>139.73468784382885</v>
      </c>
      <c r="BQ67">
        <f t="shared" si="102"/>
        <v>91.69319552878855</v>
      </c>
      <c r="BR67">
        <f t="shared" si="103"/>
        <v>4.3523401051381666E-2</v>
      </c>
      <c r="BS67">
        <f t="shared" si="104"/>
        <v>39.139643091131958</v>
      </c>
      <c r="BT67">
        <f t="shared" si="105"/>
        <v>2.2528805855705341</v>
      </c>
      <c r="BU67">
        <f t="shared" si="106"/>
        <v>27.079598360656828</v>
      </c>
      <c r="BV67">
        <f t="shared" si="107"/>
        <v>49.737166772183663</v>
      </c>
      <c r="BW67">
        <f t="shared" si="108"/>
        <v>110.33313078260214</v>
      </c>
      <c r="BX67">
        <f t="shared" si="109"/>
        <v>66.397720943586805</v>
      </c>
      <c r="BY67">
        <f t="shared" si="110"/>
        <v>75.130929269274077</v>
      </c>
      <c r="BZ67">
        <f t="shared" si="111"/>
        <v>6.9464348978214305</v>
      </c>
      <c r="CA67">
        <f t="shared" si="112"/>
        <v>37.30846700263325</v>
      </c>
      <c r="CB67">
        <f t="shared" si="113"/>
        <v>7.1650288811971086</v>
      </c>
      <c r="CC67">
        <f t="shared" si="114"/>
        <v>55.002309908787346</v>
      </c>
      <c r="CD67">
        <f t="shared" si="115"/>
        <v>33.503842509734945</v>
      </c>
      <c r="CE67">
        <f t="shared" si="116"/>
        <v>109.34234527552756</v>
      </c>
      <c r="CF67">
        <f t="shared" si="117"/>
        <v>93.55539149862048</v>
      </c>
      <c r="CG67">
        <f t="shared" si="118"/>
        <v>4.9734898905057827</v>
      </c>
      <c r="CH67">
        <f t="shared" si="119"/>
        <v>27.701139636283489</v>
      </c>
      <c r="CI67">
        <f t="shared" si="120"/>
        <v>0.84216502416838568</v>
      </c>
      <c r="CJ67" s="7">
        <v>55</v>
      </c>
      <c r="CK67" s="13">
        <f t="shared" si="61"/>
        <v>18.637384260388878</v>
      </c>
      <c r="CL67">
        <f t="shared" si="62"/>
        <v>1.6647844837710595</v>
      </c>
      <c r="CM67">
        <f t="shared" si="63"/>
        <v>16.97259977661782</v>
      </c>
      <c r="CN67">
        <f t="shared" si="64"/>
        <v>20.302168744159935</v>
      </c>
      <c r="CO67">
        <f t="shared" si="65"/>
        <v>3.329568967542119</v>
      </c>
      <c r="CP67">
        <f t="shared" si="66"/>
        <v>15.307815292846758</v>
      </c>
      <c r="CQ67">
        <f t="shared" si="67"/>
        <v>21.966953227930997</v>
      </c>
      <c r="CR67">
        <f t="shared" si="68"/>
        <v>4.9943534513131782</v>
      </c>
      <c r="CS67">
        <f t="shared" si="69"/>
        <v>13.6430308090757</v>
      </c>
      <c r="CT67">
        <f t="shared" si="70"/>
        <v>23.631737711702055</v>
      </c>
    </row>
    <row r="68" spans="1:98" x14ac:dyDescent="0.25">
      <c r="A68" s="7">
        <v>57</v>
      </c>
      <c r="B68" s="9">
        <f t="shared" si="29"/>
        <v>19.383251918313906</v>
      </c>
      <c r="C68">
        <v>0.89129306924649798</v>
      </c>
      <c r="D68">
        <v>0.48197882015442373</v>
      </c>
      <c r="E68">
        <v>0.49125644703512683</v>
      </c>
      <c r="F68">
        <v>-0.89751884517960145</v>
      </c>
      <c r="G68">
        <v>-0.59880367442854099</v>
      </c>
      <c r="H68">
        <v>0.95812860499893193</v>
      </c>
      <c r="I68">
        <v>-0.62358470412305067</v>
      </c>
      <c r="J68">
        <v>0.50981170079653304</v>
      </c>
      <c r="K68">
        <v>-2.1149327066866008E-2</v>
      </c>
      <c r="L68">
        <v>-0.13821832941679124</v>
      </c>
      <c r="M68">
        <v>-0.34965056306649989</v>
      </c>
      <c r="N68">
        <v>4.9897762993255323E-2</v>
      </c>
      <c r="O68">
        <v>0.3238929410687581</v>
      </c>
      <c r="P68">
        <v>-0.22177800836207162</v>
      </c>
      <c r="Q68">
        <v>-0.49674977874080628</v>
      </c>
      <c r="R68">
        <v>0.31302835169530319</v>
      </c>
      <c r="S68">
        <v>0.18247016815698713</v>
      </c>
      <c r="T68">
        <v>-8.0721457564012611E-2</v>
      </c>
      <c r="U68">
        <v>0.94940031128879676</v>
      </c>
      <c r="V68">
        <v>-0.69182409131138034</v>
      </c>
      <c r="W68">
        <v>0.37180700094607388</v>
      </c>
      <c r="X68">
        <v>0.29911191137424842</v>
      </c>
      <c r="Y68">
        <v>-0.45127719962157054</v>
      </c>
      <c r="Z68">
        <v>0.54795983764152956</v>
      </c>
      <c r="AA68">
        <v>0.77745902890102858</v>
      </c>
      <c r="AC68" s="7">
        <v>57</v>
      </c>
      <c r="AD68">
        <f t="shared" si="71"/>
        <v>31.699815498598777</v>
      </c>
      <c r="AE68">
        <f t="shared" si="72"/>
        <v>26.043600784036865</v>
      </c>
      <c r="AF68">
        <f t="shared" si="73"/>
        <v>26.171806068351419</v>
      </c>
      <c r="AG68">
        <f t="shared" si="74"/>
        <v>6.9806558446074263</v>
      </c>
      <c r="AH68">
        <f t="shared" si="75"/>
        <v>11.108528617208977</v>
      </c>
      <c r="AI68">
        <f t="shared" si="76"/>
        <v>32.623399619154299</v>
      </c>
      <c r="AJ68">
        <f t="shared" si="77"/>
        <v>10.766085555158256</v>
      </c>
      <c r="AK68">
        <f t="shared" si="78"/>
        <v>26.42821663698053</v>
      </c>
      <c r="AL68">
        <f t="shared" si="79"/>
        <v>19.090994477425792</v>
      </c>
      <c r="AM68">
        <f t="shared" si="80"/>
        <v>17.473246218772385</v>
      </c>
      <c r="AN68">
        <f t="shared" si="81"/>
        <v>14.551515265709085</v>
      </c>
      <c r="AO68">
        <f t="shared" si="82"/>
        <v>20.07277704941357</v>
      </c>
      <c r="AP68">
        <f t="shared" si="83"/>
        <v>23.859050215782261</v>
      </c>
      <c r="AQ68">
        <f t="shared" si="84"/>
        <v>16.318555204123523</v>
      </c>
      <c r="AR68">
        <f t="shared" si="85"/>
        <v>12.518786744669091</v>
      </c>
      <c r="AS68">
        <f t="shared" si="86"/>
        <v>23.708915080203376</v>
      </c>
      <c r="AT68">
        <f t="shared" si="87"/>
        <v>21.904763085803143</v>
      </c>
      <c r="AU68">
        <f t="shared" si="88"/>
        <v>18.267781599195484</v>
      </c>
      <c r="AV68">
        <f t="shared" si="89"/>
        <v>32.502785437200473</v>
      </c>
      <c r="AW68">
        <f t="shared" si="90"/>
        <v>9.823101950791985</v>
      </c>
      <c r="AX68">
        <f t="shared" si="91"/>
        <v>24.521163032801514</v>
      </c>
      <c r="AY68">
        <f t="shared" si="92"/>
        <v>23.516607153731542</v>
      </c>
      <c r="AZ68">
        <f t="shared" si="93"/>
        <v>13.147161328973985</v>
      </c>
      <c r="BA68">
        <f t="shared" si="94"/>
        <v>26.955376523142355</v>
      </c>
      <c r="BB68">
        <f t="shared" si="95"/>
        <v>30.126770398291896</v>
      </c>
      <c r="BC68" s="2">
        <f t="shared" si="30"/>
        <v>20.807258375605119</v>
      </c>
      <c r="BD68">
        <f t="shared" si="31"/>
        <v>56.749851077941308</v>
      </c>
      <c r="BE68">
        <f t="shared" si="32"/>
        <v>7.5332497023490008</v>
      </c>
      <c r="BF68" s="12">
        <f t="shared" si="33"/>
        <v>19.283823208203174</v>
      </c>
      <c r="BG68">
        <f t="shared" si="34"/>
        <v>1.5234351674019457</v>
      </c>
      <c r="BH68">
        <f t="shared" si="35"/>
        <v>2.3208547092769942</v>
      </c>
      <c r="BJ68" s="7">
        <v>56</v>
      </c>
      <c r="BK68">
        <f t="shared" si="96"/>
        <v>26.147752998560644</v>
      </c>
      <c r="BL68">
        <f t="shared" si="97"/>
        <v>43.832887218052676</v>
      </c>
      <c r="BM68">
        <f t="shared" si="98"/>
        <v>1.5536971693990327</v>
      </c>
      <c r="BN68">
        <f t="shared" si="99"/>
        <v>19.639272195571877</v>
      </c>
      <c r="BO68">
        <f t="shared" si="100"/>
        <v>77.929709812733293</v>
      </c>
      <c r="BP68">
        <f t="shared" si="101"/>
        <v>118.14680529123005</v>
      </c>
      <c r="BQ68">
        <f t="shared" si="102"/>
        <v>37.86418497189635</v>
      </c>
      <c r="BR68">
        <f t="shared" si="103"/>
        <v>116.41371559941207</v>
      </c>
      <c r="BS68">
        <f t="shared" si="104"/>
        <v>52.802656819620402</v>
      </c>
      <c r="BT68">
        <f t="shared" si="105"/>
        <v>235.55237326282474</v>
      </c>
      <c r="BU68">
        <f t="shared" si="106"/>
        <v>56.272909406490498</v>
      </c>
      <c r="BV68">
        <f t="shared" si="107"/>
        <v>104.45925283818988</v>
      </c>
      <c r="BW68">
        <f t="shared" si="108"/>
        <v>51.691693437170521</v>
      </c>
      <c r="BX68">
        <f t="shared" si="109"/>
        <v>112.82771549541474</v>
      </c>
      <c r="BY68">
        <f t="shared" si="110"/>
        <v>61.796134544081056</v>
      </c>
      <c r="BZ68">
        <f t="shared" si="111"/>
        <v>43.792482601568501</v>
      </c>
      <c r="CA68">
        <f t="shared" si="112"/>
        <v>162.29950369868058</v>
      </c>
      <c r="CB68">
        <f t="shared" si="113"/>
        <v>57.117713935113009</v>
      </c>
      <c r="CC68">
        <f t="shared" si="114"/>
        <v>51.446550645108978</v>
      </c>
      <c r="CD68">
        <f t="shared" si="115"/>
        <v>97.055635039918272</v>
      </c>
      <c r="CE68">
        <f t="shared" si="116"/>
        <v>56.135201593336816</v>
      </c>
      <c r="CF68">
        <f t="shared" si="117"/>
        <v>3.6099016245291402</v>
      </c>
      <c r="CG68">
        <f t="shared" si="118"/>
        <v>16.269508602628516</v>
      </c>
      <c r="CH68">
        <f t="shared" si="119"/>
        <v>11.172699050394549</v>
      </c>
      <c r="CI68">
        <f t="shared" si="120"/>
        <v>15.225955789646923</v>
      </c>
      <c r="CJ68" s="7">
        <v>56</v>
      </c>
      <c r="CK68" s="13">
        <f t="shared" si="61"/>
        <v>18.921990874010739</v>
      </c>
      <c r="CL68">
        <f t="shared" si="62"/>
        <v>1.7030344623279758</v>
      </c>
      <c r="CM68">
        <f t="shared" si="63"/>
        <v>17.218956411682761</v>
      </c>
      <c r="CN68">
        <f t="shared" si="64"/>
        <v>20.625025336338716</v>
      </c>
      <c r="CO68">
        <f t="shared" si="65"/>
        <v>3.4060689246559517</v>
      </c>
      <c r="CP68">
        <f t="shared" si="66"/>
        <v>15.515921949354787</v>
      </c>
      <c r="CQ68">
        <f t="shared" si="67"/>
        <v>22.32805979866669</v>
      </c>
      <c r="CR68">
        <f t="shared" si="68"/>
        <v>5.1091033869839277</v>
      </c>
      <c r="CS68">
        <f t="shared" si="69"/>
        <v>13.81288748702681</v>
      </c>
      <c r="CT68">
        <f t="shared" si="70"/>
        <v>24.031094260994667</v>
      </c>
    </row>
    <row r="69" spans="1:98" x14ac:dyDescent="0.25">
      <c r="A69" s="7">
        <v>58</v>
      </c>
      <c r="B69" s="9">
        <f t="shared" si="29"/>
        <v>19.674836318363667</v>
      </c>
      <c r="C69">
        <v>0.9923703726310007</v>
      </c>
      <c r="D69">
        <v>0.88293099765007477</v>
      </c>
      <c r="E69">
        <v>0.87047944578386782</v>
      </c>
      <c r="F69">
        <v>-0.86413159581286048</v>
      </c>
      <c r="G69">
        <v>-0.96325571459089943</v>
      </c>
      <c r="H69">
        <v>9.7323526718954945E-2</v>
      </c>
      <c r="I69">
        <v>-0.9370708334604938</v>
      </c>
      <c r="J69">
        <v>-0.58549760429700615</v>
      </c>
      <c r="K69">
        <v>0.54289376506851394</v>
      </c>
      <c r="L69">
        <v>-0.17752616962187562</v>
      </c>
      <c r="M69">
        <v>-0.65178380687887205</v>
      </c>
      <c r="N69">
        <v>-0.3979918820764794</v>
      </c>
      <c r="O69">
        <v>0.5730460524307992</v>
      </c>
      <c r="P69">
        <v>0.78643147068697172</v>
      </c>
      <c r="Q69">
        <v>0.79723502304147464</v>
      </c>
      <c r="R69">
        <v>-0.2788476210821863</v>
      </c>
      <c r="S69">
        <v>0.35258033997619553</v>
      </c>
      <c r="T69">
        <v>0.43113498336741229</v>
      </c>
      <c r="U69">
        <v>0.72930082094790483</v>
      </c>
      <c r="V69">
        <v>-0.12283700064088865</v>
      </c>
      <c r="W69">
        <v>0.37571337015900141</v>
      </c>
      <c r="X69">
        <v>-0.15451521347697383</v>
      </c>
      <c r="Y69">
        <v>-0.83611560411389507</v>
      </c>
      <c r="Z69">
        <v>-0.84685811944944611</v>
      </c>
      <c r="AA69">
        <v>0.96801660206915496</v>
      </c>
      <c r="AC69" s="7">
        <v>58</v>
      </c>
      <c r="AD69">
        <f t="shared" si="71"/>
        <v>33.388162733022909</v>
      </c>
      <c r="AE69">
        <f t="shared" si="72"/>
        <v>31.875846451601866</v>
      </c>
      <c r="AF69">
        <f t="shared" si="73"/>
        <v>31.703781464758645</v>
      </c>
      <c r="AG69">
        <f t="shared" si="74"/>
        <v>7.7336105770260151</v>
      </c>
      <c r="AH69">
        <f t="shared" si="75"/>
        <v>6.3638383288231299</v>
      </c>
      <c r="AI69">
        <f t="shared" si="76"/>
        <v>21.019726619939714</v>
      </c>
      <c r="AJ69">
        <f t="shared" si="77"/>
        <v>6.7256808746846062</v>
      </c>
      <c r="AK69">
        <f t="shared" si="78"/>
        <v>11.583986385551983</v>
      </c>
      <c r="AL69">
        <f t="shared" si="79"/>
        <v>27.176954090309824</v>
      </c>
      <c r="AM69">
        <f t="shared" si="80"/>
        <v>17.221645072120999</v>
      </c>
      <c r="AN69">
        <f t="shared" si="81"/>
        <v>10.667993367357196</v>
      </c>
      <c r="AO69">
        <f t="shared" si="82"/>
        <v>14.175082658014583</v>
      </c>
      <c r="AP69">
        <f t="shared" si="83"/>
        <v>27.593621264332132</v>
      </c>
      <c r="AQ69">
        <f t="shared" si="84"/>
        <v>30.542342803566918</v>
      </c>
      <c r="AR69">
        <f t="shared" si="85"/>
        <v>30.691634483327945</v>
      </c>
      <c r="AS69">
        <f t="shared" si="86"/>
        <v>15.821508414475193</v>
      </c>
      <c r="AT69">
        <f t="shared" si="87"/>
        <v>24.547058850225714</v>
      </c>
      <c r="AU69">
        <f t="shared" si="88"/>
        <v>25.632586487810144</v>
      </c>
      <c r="AV69">
        <f t="shared" si="89"/>
        <v>29.752868158050966</v>
      </c>
      <c r="AW69">
        <f t="shared" si="90"/>
        <v>17.977381484922592</v>
      </c>
      <c r="AX69">
        <f t="shared" si="91"/>
        <v>24.866728605194247</v>
      </c>
      <c r="AY69">
        <f t="shared" si="92"/>
        <v>17.539627915453814</v>
      </c>
      <c r="AZ69">
        <f t="shared" si="93"/>
        <v>8.12075679742326</v>
      </c>
      <c r="BA69">
        <f t="shared" si="94"/>
        <v>7.97230857348009</v>
      </c>
      <c r="BB69">
        <f t="shared" si="95"/>
        <v>33.051623861697202</v>
      </c>
      <c r="BC69" s="2">
        <f t="shared" si="30"/>
        <v>20.549854252926867</v>
      </c>
      <c r="BD69">
        <f t="shared" si="31"/>
        <v>89.686655067788863</v>
      </c>
      <c r="BE69">
        <f t="shared" si="32"/>
        <v>9.470303852981111</v>
      </c>
      <c r="BF69" s="12">
        <f t="shared" si="33"/>
        <v>19.571925426500581</v>
      </c>
      <c r="BG69">
        <f t="shared" si="34"/>
        <v>0.97792882642628598</v>
      </c>
      <c r="BH69">
        <f t="shared" si="35"/>
        <v>0.95634478955549296</v>
      </c>
      <c r="BJ69" s="7">
        <v>57</v>
      </c>
      <c r="BK69">
        <f t="shared" si="96"/>
        <v>140.65878959569164</v>
      </c>
      <c r="BL69">
        <f t="shared" si="97"/>
        <v>29.665786808951633</v>
      </c>
      <c r="BM69">
        <f t="shared" si="98"/>
        <v>70.440527583544892</v>
      </c>
      <c r="BN69">
        <f t="shared" si="99"/>
        <v>63.703174252704407</v>
      </c>
      <c r="BO69">
        <f t="shared" si="100"/>
        <v>50.180485877740516</v>
      </c>
      <c r="BP69">
        <f t="shared" si="101"/>
        <v>204.59220706991002</v>
      </c>
      <c r="BQ69">
        <f t="shared" si="102"/>
        <v>43.27142705392081</v>
      </c>
      <c r="BR69">
        <f t="shared" si="103"/>
        <v>67.189641006824473</v>
      </c>
      <c r="BS69">
        <f t="shared" si="104"/>
        <v>1.4582626523255224</v>
      </c>
      <c r="BT69">
        <f t="shared" si="105"/>
        <v>1.5057050874506741E-3</v>
      </c>
      <c r="BU69">
        <f t="shared" si="106"/>
        <v>47.106113778417189</v>
      </c>
      <c r="BV69">
        <f t="shared" si="107"/>
        <v>0.35431725838712563</v>
      </c>
      <c r="BW69">
        <f t="shared" si="108"/>
        <v>21.726665015250841</v>
      </c>
      <c r="BX69">
        <f t="shared" si="109"/>
        <v>28.363830605660805</v>
      </c>
      <c r="BY69">
        <f t="shared" si="110"/>
        <v>37.058770925502408</v>
      </c>
      <c r="BZ69">
        <f t="shared" si="111"/>
        <v>43.725858409588248</v>
      </c>
      <c r="CA69">
        <f t="shared" si="112"/>
        <v>29.422750691999838</v>
      </c>
      <c r="CB69">
        <f t="shared" si="113"/>
        <v>8.0738386363262808</v>
      </c>
      <c r="CC69">
        <f t="shared" si="114"/>
        <v>136.87788050103535</v>
      </c>
      <c r="CD69">
        <f t="shared" si="115"/>
        <v>85.772894092160783</v>
      </c>
      <c r="CE69">
        <f t="shared" si="116"/>
        <v>11.262023092374513</v>
      </c>
      <c r="CF69">
        <f t="shared" si="117"/>
        <v>9.9467651139297857</v>
      </c>
      <c r="CG69">
        <f t="shared" si="118"/>
        <v>59.709900598687113</v>
      </c>
      <c r="CH69">
        <f t="shared" si="119"/>
        <v>37.022355734893495</v>
      </c>
      <c r="CI69">
        <f t="shared" si="120"/>
        <v>126.02251115709478</v>
      </c>
      <c r="CJ69" s="7">
        <v>57</v>
      </c>
      <c r="CK69" s="13">
        <f t="shared" si="61"/>
        <v>19.2065974876326</v>
      </c>
      <c r="CL69">
        <f t="shared" si="62"/>
        <v>1.7419666724340506</v>
      </c>
      <c r="CM69">
        <f t="shared" si="63"/>
        <v>17.46463081519855</v>
      </c>
      <c r="CN69">
        <f t="shared" si="64"/>
        <v>20.948564160066649</v>
      </c>
      <c r="CO69">
        <f t="shared" si="65"/>
        <v>3.4839333448681011</v>
      </c>
      <c r="CP69">
        <f t="shared" si="66"/>
        <v>15.722664142764499</v>
      </c>
      <c r="CQ69">
        <f t="shared" si="67"/>
        <v>22.690530832500702</v>
      </c>
      <c r="CR69">
        <f t="shared" si="68"/>
        <v>5.2259000173021519</v>
      </c>
      <c r="CS69">
        <f t="shared" si="69"/>
        <v>13.980697470330448</v>
      </c>
      <c r="CT69">
        <f t="shared" si="70"/>
        <v>24.432497504934751</v>
      </c>
    </row>
    <row r="70" spans="1:98" x14ac:dyDescent="0.25">
      <c r="A70" s="7">
        <v>59</v>
      </c>
      <c r="B70" s="9">
        <f t="shared" si="29"/>
        <v>19.966420718413428</v>
      </c>
      <c r="C70">
        <v>0.32706686605426194</v>
      </c>
      <c r="D70">
        <v>0.38529618213446448</v>
      </c>
      <c r="E70">
        <v>-0.83367412335581537</v>
      </c>
      <c r="F70">
        <v>0.86889248329111601</v>
      </c>
      <c r="G70">
        <v>-0.11484115115817739</v>
      </c>
      <c r="H70">
        <v>0.68291268654438908</v>
      </c>
      <c r="I70">
        <v>-0.90362254707480083</v>
      </c>
      <c r="J70">
        <v>-0.60423596911526833</v>
      </c>
      <c r="K70">
        <v>0.99804681539353624</v>
      </c>
      <c r="L70">
        <v>0.32999664296395759</v>
      </c>
      <c r="M70">
        <v>-8.8503677480389342E-4</v>
      </c>
      <c r="N70">
        <v>0.75316629535813462</v>
      </c>
      <c r="O70">
        <v>-6.3875240333262084E-2</v>
      </c>
      <c r="P70">
        <v>0.86352122562334066</v>
      </c>
      <c r="Q70">
        <v>-0.78197576830347604</v>
      </c>
      <c r="R70">
        <v>4.8188726462599529E-2</v>
      </c>
      <c r="S70">
        <v>0.96502578814050732</v>
      </c>
      <c r="T70">
        <v>-0.27347636341441084</v>
      </c>
      <c r="U70">
        <v>0.70586260567033898</v>
      </c>
      <c r="V70">
        <v>-0.42374950407422096</v>
      </c>
      <c r="W70">
        <v>-0.26163518173772393</v>
      </c>
      <c r="X70">
        <v>-0.66264839625232708</v>
      </c>
      <c r="Y70">
        <v>6.8514053773613748E-2</v>
      </c>
      <c r="Z70">
        <v>0.93835261085848565</v>
      </c>
      <c r="AA70">
        <v>-0.80339976195562612</v>
      </c>
      <c r="AC70" s="7">
        <v>59</v>
      </c>
      <c r="AD70">
        <f t="shared" si="71"/>
        <v>24.486078718410447</v>
      </c>
      <c r="AE70">
        <f t="shared" si="72"/>
        <v>25.290735568647854</v>
      </c>
      <c r="AF70">
        <f t="shared" si="73"/>
        <v>8.4460794301873765</v>
      </c>
      <c r="AG70">
        <f t="shared" si="74"/>
        <v>31.973436013544074</v>
      </c>
      <c r="AH70">
        <f t="shared" si="75"/>
        <v>18.379458597111871</v>
      </c>
      <c r="AI70">
        <f t="shared" si="76"/>
        <v>29.403426136527948</v>
      </c>
      <c r="AJ70">
        <f t="shared" si="77"/>
        <v>7.4794790629210564</v>
      </c>
      <c r="AK70">
        <f t="shared" si="78"/>
        <v>11.616629849519056</v>
      </c>
      <c r="AL70">
        <f t="shared" si="79"/>
        <v>33.758188524133551</v>
      </c>
      <c r="AM70">
        <f t="shared" si="80"/>
        <v>24.526564597667676</v>
      </c>
      <c r="AN70">
        <f t="shared" si="81"/>
        <v>19.954190609054475</v>
      </c>
      <c r="AO70">
        <f t="shared" si="82"/>
        <v>30.374243782883561</v>
      </c>
      <c r="AP70">
        <f t="shared" si="83"/>
        <v>19.083744205024068</v>
      </c>
      <c r="AQ70">
        <f t="shared" si="84"/>
        <v>31.899211901572492</v>
      </c>
      <c r="AR70">
        <f t="shared" si="85"/>
        <v>9.1604865079138822</v>
      </c>
      <c r="AS70">
        <f t="shared" si="86"/>
        <v>20.632329086613044</v>
      </c>
      <c r="AT70">
        <f t="shared" si="87"/>
        <v>33.301878926671876</v>
      </c>
      <c r="AU70">
        <f t="shared" si="88"/>
        <v>16.187316926496539</v>
      </c>
      <c r="AV70">
        <f t="shared" si="89"/>
        <v>29.7205655240429</v>
      </c>
      <c r="AW70">
        <f t="shared" si="90"/>
        <v>14.110728702927879</v>
      </c>
      <c r="AX70">
        <f t="shared" si="91"/>
        <v>16.350947355161168</v>
      </c>
      <c r="AY70">
        <f t="shared" si="92"/>
        <v>10.809442631828068</v>
      </c>
      <c r="AZ70">
        <f t="shared" si="93"/>
        <v>20.913199873960064</v>
      </c>
      <c r="BA70">
        <f t="shared" si="94"/>
        <v>32.933288734267521</v>
      </c>
      <c r="BB70">
        <f t="shared" si="95"/>
        <v>8.8644335158454002</v>
      </c>
      <c r="BC70" s="2">
        <f t="shared" si="30"/>
        <v>21.186243391317348</v>
      </c>
      <c r="BD70">
        <f t="shared" si="31"/>
        <v>79.006456614454009</v>
      </c>
      <c r="BE70">
        <f t="shared" si="32"/>
        <v>8.8885576228347656</v>
      </c>
      <c r="BF70" s="12">
        <f t="shared" si="33"/>
        <v>19.860027644797992</v>
      </c>
      <c r="BG70">
        <f t="shared" si="34"/>
        <v>1.326215746519356</v>
      </c>
      <c r="BH70">
        <f t="shared" si="35"/>
        <v>1.7588482063158928</v>
      </c>
      <c r="BJ70" s="7">
        <v>58</v>
      </c>
      <c r="BK70">
        <f t="shared" si="96"/>
        <v>174.77198143373187</v>
      </c>
      <c r="BL70">
        <f t="shared" si="97"/>
        <v>120.37044752751608</v>
      </c>
      <c r="BM70">
        <f t="shared" si="98"/>
        <v>185.80668286384997</v>
      </c>
      <c r="BN70">
        <f t="shared" si="99"/>
        <v>54.075361605381417</v>
      </c>
      <c r="BO70">
        <f t="shared" si="100"/>
        <v>145.6270707344961</v>
      </c>
      <c r="BP70">
        <f t="shared" si="101"/>
        <v>5.9479904585818284</v>
      </c>
      <c r="BQ70">
        <f t="shared" si="102"/>
        <v>118.57844065619186</v>
      </c>
      <c r="BR70">
        <f t="shared" si="103"/>
        <v>47.782403082071035</v>
      </c>
      <c r="BS70">
        <f t="shared" si="104"/>
        <v>42.539858700286359</v>
      </c>
      <c r="BT70">
        <f t="shared" si="105"/>
        <v>0.2798930603761407</v>
      </c>
      <c r="BU70">
        <f t="shared" si="106"/>
        <v>121.94942269601161</v>
      </c>
      <c r="BV70">
        <f t="shared" si="107"/>
        <v>31.395499723099793</v>
      </c>
      <c r="BW70">
        <f t="shared" si="108"/>
        <v>64.946731746766034</v>
      </c>
      <c r="BX70">
        <f t="shared" si="109"/>
        <v>74.06052272745481</v>
      </c>
      <c r="BY70">
        <f t="shared" si="110"/>
        <v>138.86216888748524</v>
      </c>
      <c r="BZ70">
        <f t="shared" si="111"/>
        <v>2.1147947877576883</v>
      </c>
      <c r="CA70">
        <f t="shared" si="112"/>
        <v>61.000707827046448</v>
      </c>
      <c r="CB70">
        <f t="shared" si="113"/>
        <v>17.453007645716404</v>
      </c>
      <c r="CC70">
        <f t="shared" si="114"/>
        <v>74.785975708156215</v>
      </c>
      <c r="CD70">
        <f t="shared" si="115"/>
        <v>1.9761523492620419</v>
      </c>
      <c r="CE70">
        <f t="shared" si="116"/>
        <v>11.316739971000464</v>
      </c>
      <c r="CF70">
        <f t="shared" si="117"/>
        <v>9.9031659163852854</v>
      </c>
      <c r="CG70">
        <f t="shared" si="118"/>
        <v>169.50053768461751</v>
      </c>
      <c r="CH70">
        <f t="shared" si="119"/>
        <v>174.6242372042488</v>
      </c>
      <c r="CI70">
        <f t="shared" si="120"/>
        <v>192.4585224116851</v>
      </c>
      <c r="CJ70" s="7">
        <v>58</v>
      </c>
      <c r="CK70" s="13">
        <f t="shared" si="61"/>
        <v>19.491204101254461</v>
      </c>
      <c r="CL70">
        <f t="shared" si="62"/>
        <v>1.7815363878931954</v>
      </c>
      <c r="CM70">
        <f t="shared" si="63"/>
        <v>17.709667713361267</v>
      </c>
      <c r="CN70">
        <f t="shared" si="64"/>
        <v>21.272740489147655</v>
      </c>
      <c r="CO70">
        <f t="shared" si="65"/>
        <v>3.5630727757863907</v>
      </c>
      <c r="CP70">
        <f t="shared" si="66"/>
        <v>15.928131325468069</v>
      </c>
      <c r="CQ70">
        <f t="shared" si="67"/>
        <v>23.054276877040852</v>
      </c>
      <c r="CR70">
        <f t="shared" si="68"/>
        <v>5.3446091636795856</v>
      </c>
      <c r="CS70">
        <f t="shared" si="69"/>
        <v>14.146594937574875</v>
      </c>
      <c r="CT70">
        <f t="shared" si="70"/>
        <v>24.835813264934046</v>
      </c>
    </row>
    <row r="71" spans="1:98" x14ac:dyDescent="0.25">
      <c r="A71" s="7">
        <v>60</v>
      </c>
      <c r="B71" s="9">
        <f t="shared" si="29"/>
        <v>20.258005118463188</v>
      </c>
      <c r="C71">
        <v>0.64580217902157666</v>
      </c>
      <c r="D71">
        <v>0.1446882534257028</v>
      </c>
      <c r="E71">
        <v>-0.44700460829493083</v>
      </c>
      <c r="F71">
        <v>0.28019043549913025</v>
      </c>
      <c r="G71">
        <v>0.24130985442670982</v>
      </c>
      <c r="H71">
        <v>-6.7293313394573784E-2</v>
      </c>
      <c r="I71">
        <v>-0.87462996307260354</v>
      </c>
      <c r="J71">
        <v>0.77312540055543688</v>
      </c>
      <c r="K71">
        <v>-0.92626728110599077</v>
      </c>
      <c r="L71">
        <v>0.67784661397137369</v>
      </c>
      <c r="M71">
        <v>0.63579210791344942</v>
      </c>
      <c r="N71">
        <v>0.58714560380870995</v>
      </c>
      <c r="O71">
        <v>-0.14993743705557416</v>
      </c>
      <c r="P71">
        <v>-6.8208868678853674E-2</v>
      </c>
      <c r="Q71">
        <v>-0.59001434369945371</v>
      </c>
      <c r="R71">
        <v>0.80028687398907428</v>
      </c>
      <c r="S71">
        <v>-0.83056123538926352</v>
      </c>
      <c r="T71">
        <v>-0.60185552537614062</v>
      </c>
      <c r="U71">
        <v>0.83483382671590323</v>
      </c>
      <c r="V71">
        <v>0.76128421887874986</v>
      </c>
      <c r="W71">
        <v>-0.54094058046205018</v>
      </c>
      <c r="X71">
        <v>-0.62541581469161045</v>
      </c>
      <c r="Y71">
        <v>0.27970213934751431</v>
      </c>
      <c r="Z71">
        <v>0.57353434858241514</v>
      </c>
      <c r="AA71">
        <v>0.77312540055543688</v>
      </c>
      <c r="AC71" s="7">
        <v>60</v>
      </c>
      <c r="AD71">
        <f t="shared" si="71"/>
        <v>29.182189399319487</v>
      </c>
      <c r="AE71">
        <f t="shared" si="72"/>
        <v>22.257417134697757</v>
      </c>
      <c r="AF71">
        <f t="shared" si="73"/>
        <v>14.080956436373393</v>
      </c>
      <c r="AG71">
        <f t="shared" si="74"/>
        <v>24.129889050344559</v>
      </c>
      <c r="AH71">
        <f t="shared" si="75"/>
        <v>23.592607694368425</v>
      </c>
      <c r="AI71">
        <f t="shared" si="76"/>
        <v>19.32809507927373</v>
      </c>
      <c r="AJ71">
        <f t="shared" si="77"/>
        <v>8.1717049764538032</v>
      </c>
      <c r="AK71">
        <f t="shared" si="78"/>
        <v>30.94163823537319</v>
      </c>
      <c r="AL71">
        <f t="shared" si="79"/>
        <v>7.4581413545451571</v>
      </c>
      <c r="AM71">
        <f t="shared" si="80"/>
        <v>29.62500370369542</v>
      </c>
      <c r="AN71">
        <f t="shared" si="81"/>
        <v>29.043862645190622</v>
      </c>
      <c r="AO71">
        <f t="shared" si="82"/>
        <v>28.371628358357064</v>
      </c>
      <c r="AP71">
        <f t="shared" si="83"/>
        <v>18.186055901892754</v>
      </c>
      <c r="AQ71">
        <f t="shared" si="84"/>
        <v>19.315443242005848</v>
      </c>
      <c r="AR71">
        <f t="shared" si="85"/>
        <v>12.104739455129945</v>
      </c>
      <c r="AS71">
        <f t="shared" si="86"/>
        <v>31.316976074320408</v>
      </c>
      <c r="AT71">
        <f t="shared" si="87"/>
        <v>8.7806800769479434</v>
      </c>
      <c r="AU71">
        <f t="shared" si="88"/>
        <v>11.941109026465314</v>
      </c>
      <c r="AV71">
        <f t="shared" si="89"/>
        <v>31.794372067228558</v>
      </c>
      <c r="AW71">
        <f t="shared" si="90"/>
        <v>30.778007806708558</v>
      </c>
      <c r="AX71">
        <f t="shared" si="91"/>
        <v>12.782877932688516</v>
      </c>
      <c r="AY71">
        <f t="shared" si="92"/>
        <v>11.615535080771771</v>
      </c>
      <c r="AZ71">
        <f t="shared" si="93"/>
        <v>24.123141403801686</v>
      </c>
      <c r="BA71">
        <f t="shared" si="94"/>
        <v>28.183537710974523</v>
      </c>
      <c r="BB71">
        <f t="shared" si="95"/>
        <v>30.94163823537319</v>
      </c>
      <c r="BC71" s="2">
        <f t="shared" si="30"/>
        <v>21.521889923292065</v>
      </c>
      <c r="BD71">
        <f t="shared" si="31"/>
        <v>71.863852319734704</v>
      </c>
      <c r="BE71">
        <f t="shared" si="32"/>
        <v>8.4772549990981574</v>
      </c>
      <c r="BF71" s="12">
        <f t="shared" si="33"/>
        <v>20.148129863095399</v>
      </c>
      <c r="BG71">
        <f t="shared" si="34"/>
        <v>1.3737600601966662</v>
      </c>
      <c r="BH71">
        <f t="shared" si="35"/>
        <v>1.8872167029915479</v>
      </c>
      <c r="BJ71" s="7">
        <v>59</v>
      </c>
      <c r="BK71">
        <f t="shared" si="96"/>
        <v>15.919093142092578</v>
      </c>
      <c r="BL71">
        <f t="shared" si="97"/>
        <v>16.635842577353994</v>
      </c>
      <c r="BM71">
        <f t="shared" si="98"/>
        <v>98.413898789058365</v>
      </c>
      <c r="BN71">
        <f t="shared" si="99"/>
        <v>280.93471584680736</v>
      </c>
      <c r="BO71">
        <f t="shared" si="100"/>
        <v>8.4727110204412467E-2</v>
      </c>
      <c r="BP71">
        <f t="shared" si="101"/>
        <v>111.54527705983638</v>
      </c>
      <c r="BQ71">
        <f t="shared" si="102"/>
        <v>108.29400820122473</v>
      </c>
      <c r="BR71">
        <f t="shared" si="103"/>
        <v>51.051288142539427</v>
      </c>
      <c r="BS71">
        <f t="shared" si="104"/>
        <v>162.49563842533763</v>
      </c>
      <c r="BT71">
        <f t="shared" si="105"/>
        <v>42.735319589818381</v>
      </c>
      <c r="BU71">
        <f t="shared" si="106"/>
        <v>4.2149485473405459</v>
      </c>
      <c r="BV71">
        <f t="shared" si="107"/>
        <v>105.99263643365614</v>
      </c>
      <c r="BW71">
        <f t="shared" si="108"/>
        <v>0.62051565613246917</v>
      </c>
      <c r="BX71">
        <f t="shared" si="109"/>
        <v>93.519278953930566</v>
      </c>
      <c r="BY71">
        <f t="shared" si="110"/>
        <v>100.97125690845128</v>
      </c>
      <c r="BZ71">
        <f t="shared" si="111"/>
        <v>10.094647120249524</v>
      </c>
      <c r="CA71">
        <f t="shared" si="112"/>
        <v>265.97826484516571</v>
      </c>
      <c r="CB71">
        <f t="shared" si="113"/>
        <v>31.50874354699739</v>
      </c>
      <c r="CC71">
        <f t="shared" si="114"/>
        <v>69.121092953480954</v>
      </c>
      <c r="CD71">
        <f t="shared" si="115"/>
        <v>31.03693643318724</v>
      </c>
      <c r="CE71">
        <f t="shared" si="116"/>
        <v>30.130966245268773</v>
      </c>
      <c r="CF71">
        <f t="shared" si="117"/>
        <v>104.05865667175601</v>
      </c>
      <c r="CG71">
        <f t="shared" si="118"/>
        <v>0.24246628537159923</v>
      </c>
      <c r="CH71">
        <f t="shared" si="119"/>
        <v>130.65302408187429</v>
      </c>
      <c r="CI71">
        <f t="shared" si="120"/>
        <v>112.19331238722285</v>
      </c>
      <c r="CJ71" s="7">
        <v>59</v>
      </c>
      <c r="CK71" s="13">
        <f t="shared" si="61"/>
        <v>19.775810714876322</v>
      </c>
      <c r="CL71">
        <f t="shared" si="62"/>
        <v>1.8217020668667154</v>
      </c>
      <c r="CM71">
        <f t="shared" si="63"/>
        <v>17.954108648009605</v>
      </c>
      <c r="CN71">
        <f t="shared" si="64"/>
        <v>21.597512781743038</v>
      </c>
      <c r="CO71">
        <f t="shared" si="65"/>
        <v>3.6434041337334309</v>
      </c>
      <c r="CP71">
        <f t="shared" si="66"/>
        <v>16.132406581142892</v>
      </c>
      <c r="CQ71">
        <f t="shared" si="67"/>
        <v>23.419214848609752</v>
      </c>
      <c r="CR71">
        <f t="shared" si="68"/>
        <v>5.4651062006001467</v>
      </c>
      <c r="CS71">
        <f t="shared" si="69"/>
        <v>14.310704514276175</v>
      </c>
      <c r="CT71">
        <f t="shared" si="70"/>
        <v>25.240916915476468</v>
      </c>
    </row>
    <row r="72" spans="1:98" x14ac:dyDescent="0.25">
      <c r="A72" s="7">
        <v>61</v>
      </c>
      <c r="B72" s="9">
        <f t="shared" si="29"/>
        <v>20.549589518512949</v>
      </c>
      <c r="C72">
        <v>-0.39408551286355176</v>
      </c>
      <c r="D72">
        <v>-0.21140171514023254</v>
      </c>
      <c r="E72">
        <v>-0.72997222815637686</v>
      </c>
      <c r="F72">
        <v>-0.48258919034394365</v>
      </c>
      <c r="G72">
        <v>-0.64067506942960906</v>
      </c>
      <c r="H72">
        <v>-0.89617603076265751</v>
      </c>
      <c r="I72">
        <v>-7.7211828974272922E-3</v>
      </c>
      <c r="J72">
        <v>0.163304544206061</v>
      </c>
      <c r="K72">
        <v>0.53520310068056287</v>
      </c>
      <c r="L72">
        <v>-0.41593676564836568</v>
      </c>
      <c r="M72">
        <v>0.48558000427259129</v>
      </c>
      <c r="N72">
        <v>-0.98950163274025693</v>
      </c>
      <c r="O72">
        <v>0.62511062959685049</v>
      </c>
      <c r="P72">
        <v>0.57951597643971064</v>
      </c>
      <c r="Q72">
        <v>0.22354808191167952</v>
      </c>
      <c r="R72">
        <v>6.5340128788109908E-2</v>
      </c>
      <c r="S72">
        <v>-0.66966765343180645</v>
      </c>
      <c r="T72">
        <v>0.82689901425214396</v>
      </c>
      <c r="U72">
        <v>0.47349467452009653</v>
      </c>
      <c r="V72">
        <v>9.2989898373363467E-2</v>
      </c>
      <c r="W72">
        <v>-0.34678182317575612</v>
      </c>
      <c r="X72">
        <v>0.42619098483230089</v>
      </c>
      <c r="Y72">
        <v>0.61632129886776332</v>
      </c>
      <c r="Z72">
        <v>0.90899380474257629</v>
      </c>
      <c r="AA72">
        <v>-0.72710348826563309</v>
      </c>
      <c r="AC72" s="7">
        <v>61</v>
      </c>
      <c r="AD72">
        <f t="shared" si="71"/>
        <v>15.103817030506836</v>
      </c>
      <c r="AE72">
        <f t="shared" si="72"/>
        <v>17.628280293358582</v>
      </c>
      <c r="AF72">
        <f t="shared" si="73"/>
        <v>10.462279664829202</v>
      </c>
      <c r="AG72">
        <f t="shared" si="74"/>
        <v>13.880806094611401</v>
      </c>
      <c r="AH72">
        <f t="shared" si="75"/>
        <v>11.696255526356802</v>
      </c>
      <c r="AI72">
        <f t="shared" si="76"/>
        <v>8.1655494727993663</v>
      </c>
      <c r="AJ72">
        <f t="shared" si="77"/>
        <v>20.442892357553795</v>
      </c>
      <c r="AK72">
        <f t="shared" si="78"/>
        <v>22.80625555919449</v>
      </c>
      <c r="AL72">
        <f t="shared" si="79"/>
        <v>27.945431857408884</v>
      </c>
      <c r="AM72">
        <f t="shared" si="80"/>
        <v>14.801859847713343</v>
      </c>
      <c r="AN72">
        <f t="shared" si="81"/>
        <v>27.259702277489581</v>
      </c>
      <c r="AO72">
        <f t="shared" si="82"/>
        <v>6.875905527293078</v>
      </c>
      <c r="AP72">
        <f t="shared" si="83"/>
        <v>29.187842277115074</v>
      </c>
      <c r="AQ72">
        <f t="shared" si="84"/>
        <v>28.557780781174458</v>
      </c>
      <c r="AR72">
        <f t="shared" si="85"/>
        <v>23.638746451421241</v>
      </c>
      <c r="AS72">
        <f t="shared" si="86"/>
        <v>21.452508971530921</v>
      </c>
      <c r="AT72">
        <f t="shared" si="87"/>
        <v>11.295614012873815</v>
      </c>
      <c r="AU72">
        <f t="shared" si="88"/>
        <v>31.976307210956662</v>
      </c>
      <c r="AV72">
        <f t="shared" si="89"/>
        <v>27.092698025553517</v>
      </c>
      <c r="AW72">
        <f t="shared" si="90"/>
        <v>21.834594457021012</v>
      </c>
      <c r="AX72">
        <f t="shared" si="91"/>
        <v>15.757495289347499</v>
      </c>
      <c r="AY72">
        <f t="shared" si="92"/>
        <v>26.439019766712853</v>
      </c>
      <c r="AZ72">
        <f t="shared" si="93"/>
        <v>29.06638463934339</v>
      </c>
      <c r="BA72">
        <f t="shared" si="94"/>
        <v>33.110755285976907</v>
      </c>
      <c r="BB72">
        <f t="shared" si="95"/>
        <v>10.501922088268572</v>
      </c>
      <c r="BC72" s="2">
        <f t="shared" si="30"/>
        <v>20.279228190656454</v>
      </c>
      <c r="BD72">
        <f t="shared" si="31"/>
        <v>64.077984187249442</v>
      </c>
      <c r="BE72">
        <f t="shared" si="32"/>
        <v>8.0048725278576072</v>
      </c>
      <c r="BF72" s="12">
        <f t="shared" si="33"/>
        <v>20.436232081392809</v>
      </c>
      <c r="BG72">
        <f t="shared" si="34"/>
        <v>-0.15700389073635534</v>
      </c>
      <c r="BH72">
        <f t="shared" si="35"/>
        <v>2.4650221706353406E-2</v>
      </c>
      <c r="BJ72" s="7">
        <v>60</v>
      </c>
      <c r="BK72">
        <f t="shared" si="96"/>
        <v>69.852936039811851</v>
      </c>
      <c r="BL72">
        <f t="shared" si="97"/>
        <v>0.54443409656980046</v>
      </c>
      <c r="BM72">
        <f t="shared" si="98"/>
        <v>20.969708014044986</v>
      </c>
      <c r="BN72">
        <f t="shared" si="99"/>
        <v>77.306952351780026</v>
      </c>
      <c r="BO72">
        <f t="shared" si="100"/>
        <v>21.930250916207378</v>
      </c>
      <c r="BP72">
        <f t="shared" si="101"/>
        <v>5.0678429909647348E-2</v>
      </c>
      <c r="BQ72">
        <f t="shared" si="102"/>
        <v>99.701839756304963</v>
      </c>
      <c r="BR72">
        <f t="shared" si="103"/>
        <v>141.96269210968828</v>
      </c>
      <c r="BS72">
        <f t="shared" si="104"/>
        <v>193.45429737645679</v>
      </c>
      <c r="BT72">
        <f t="shared" si="105"/>
        <v>129.89206817136238</v>
      </c>
      <c r="BU72">
        <f t="shared" si="106"/>
        <v>45.434044685918884</v>
      </c>
      <c r="BV72">
        <f t="shared" si="107"/>
        <v>63.871060672318301</v>
      </c>
      <c r="BW72">
        <f t="shared" si="108"/>
        <v>4.0893780997426079</v>
      </c>
      <c r="BX72">
        <f t="shared" si="109"/>
        <v>10.274632963154554</v>
      </c>
      <c r="BY72">
        <f t="shared" si="110"/>
        <v>54.840977081614305</v>
      </c>
      <c r="BZ72">
        <f t="shared" si="111"/>
        <v>187.210111145415</v>
      </c>
      <c r="CA72">
        <f t="shared" si="112"/>
        <v>71.71775759842788</v>
      </c>
      <c r="CB72">
        <f t="shared" si="113"/>
        <v>104.14504491614404</v>
      </c>
      <c r="CC72">
        <f t="shared" si="114"/>
        <v>101.7282004540896</v>
      </c>
      <c r="CD72">
        <f t="shared" si="115"/>
        <v>116.58661125050281</v>
      </c>
      <c r="CE72">
        <f t="shared" si="116"/>
        <v>88.259647800826158</v>
      </c>
      <c r="CF72">
        <f t="shared" si="117"/>
        <v>94.451607154305805</v>
      </c>
      <c r="CG72">
        <f t="shared" si="118"/>
        <v>6.0119036218946604</v>
      </c>
      <c r="CH72">
        <f t="shared" si="119"/>
        <v>40.507191174759093</v>
      </c>
      <c r="CI72">
        <f t="shared" si="120"/>
        <v>125.60097437304657</v>
      </c>
      <c r="CJ72" s="7">
        <v>60</v>
      </c>
      <c r="CK72" s="13">
        <f t="shared" si="61"/>
        <v>20.060417328498183</v>
      </c>
      <c r="CL72">
        <f t="shared" si="62"/>
        <v>1.8624251515128725</v>
      </c>
      <c r="CM72">
        <f t="shared" si="63"/>
        <v>18.197992176985309</v>
      </c>
      <c r="CN72">
        <f t="shared" si="64"/>
        <v>21.922842480011056</v>
      </c>
      <c r="CO72">
        <f t="shared" si="65"/>
        <v>3.7248503030257449</v>
      </c>
      <c r="CP72">
        <f t="shared" si="66"/>
        <v>16.335567025472436</v>
      </c>
      <c r="CQ72">
        <f t="shared" si="67"/>
        <v>23.785267631523929</v>
      </c>
      <c r="CR72">
        <f t="shared" si="68"/>
        <v>5.5872754545386174</v>
      </c>
      <c r="CS72">
        <f t="shared" si="69"/>
        <v>14.473141873959566</v>
      </c>
      <c r="CT72">
        <f t="shared" si="70"/>
        <v>25.647692783036799</v>
      </c>
    </row>
    <row r="73" spans="1:98" x14ac:dyDescent="0.25">
      <c r="A73" s="7">
        <v>62</v>
      </c>
      <c r="B73" s="9">
        <f t="shared" si="29"/>
        <v>20.841173918562706</v>
      </c>
      <c r="C73">
        <v>-3.811761833552052E-2</v>
      </c>
      <c r="D73">
        <v>-0.96789452803125098</v>
      </c>
      <c r="E73">
        <v>-2.8595843379009334E-2</v>
      </c>
      <c r="F73">
        <v>-0.98065126499221777</v>
      </c>
      <c r="G73">
        <v>0.3315836054567094</v>
      </c>
      <c r="H73">
        <v>-0.13455610827967157</v>
      </c>
      <c r="I73">
        <v>-0.6641132847071749</v>
      </c>
      <c r="J73">
        <v>0.25772881252479629</v>
      </c>
      <c r="K73">
        <v>-0.15659047212134158</v>
      </c>
      <c r="L73">
        <v>-1.8524735251930324E-2</v>
      </c>
      <c r="M73">
        <v>3.720206305124063E-2</v>
      </c>
      <c r="N73">
        <v>-5.5238502151554458E-3</v>
      </c>
      <c r="O73">
        <v>0.14658040101321457</v>
      </c>
      <c r="P73">
        <v>-0.5740226447340312</v>
      </c>
      <c r="Q73">
        <v>-4.2023987548448161E-2</v>
      </c>
      <c r="R73">
        <v>-0.48020874660481583</v>
      </c>
      <c r="S73">
        <v>-0.44468520157475511</v>
      </c>
      <c r="T73">
        <v>-0.2975859859004486</v>
      </c>
      <c r="U73">
        <v>0.24942777794732507</v>
      </c>
      <c r="V73">
        <v>-0.60325937681203645</v>
      </c>
      <c r="W73">
        <v>-0.66917935728019051</v>
      </c>
      <c r="X73">
        <v>-0.8231147190771203</v>
      </c>
      <c r="Y73">
        <v>0.36460463270973853</v>
      </c>
      <c r="Z73">
        <v>0.61095004119998775</v>
      </c>
      <c r="AA73">
        <v>-0.51823480941190825</v>
      </c>
      <c r="AC73" s="7">
        <v>62</v>
      </c>
      <c r="AD73">
        <f t="shared" si="71"/>
        <v>20.314435760309809</v>
      </c>
      <c r="AE73">
        <f t="shared" si="72"/>
        <v>7.4660732868648907</v>
      </c>
      <c r="AF73">
        <f t="shared" si="73"/>
        <v>20.446014867895801</v>
      </c>
      <c r="AG73">
        <f t="shared" si="74"/>
        <v>7.2897910209323769</v>
      </c>
      <c r="AH73">
        <f t="shared" si="75"/>
        <v>25.423247649081283</v>
      </c>
      <c r="AI73">
        <f t="shared" si="76"/>
        <v>18.981775568092718</v>
      </c>
      <c r="AJ73">
        <f t="shared" si="77"/>
        <v>11.663952892348734</v>
      </c>
      <c r="AK73">
        <f t="shared" si="78"/>
        <v>24.402666109471994</v>
      </c>
      <c r="AL73">
        <f t="shared" si="79"/>
        <v>18.677288017845648</v>
      </c>
      <c r="AM73">
        <f t="shared" si="80"/>
        <v>20.585185077842524</v>
      </c>
      <c r="AN73">
        <f t="shared" si="81"/>
        <v>21.355260239547718</v>
      </c>
      <c r="AO73">
        <f t="shared" si="82"/>
        <v>20.764841167046473</v>
      </c>
      <c r="AP73">
        <f t="shared" si="83"/>
        <v>22.866733065150903</v>
      </c>
      <c r="AQ73">
        <f t="shared" si="84"/>
        <v>12.908893679508498</v>
      </c>
      <c r="AR73">
        <f t="shared" si="85"/>
        <v>20.260454587966841</v>
      </c>
      <c r="AS73">
        <f t="shared" si="86"/>
        <v>14.205285271557658</v>
      </c>
      <c r="AT73">
        <f t="shared" si="87"/>
        <v>14.696176557551549</v>
      </c>
      <c r="AU73">
        <f t="shared" si="88"/>
        <v>16.728905078591545</v>
      </c>
      <c r="AV73">
        <f t="shared" si="89"/>
        <v>24.28795611824318</v>
      </c>
      <c r="AW73">
        <f t="shared" si="90"/>
        <v>12.504878342754077</v>
      </c>
      <c r="AX73">
        <f t="shared" si="91"/>
        <v>11.593946059466441</v>
      </c>
      <c r="AY73">
        <f t="shared" si="92"/>
        <v>9.466750486826248</v>
      </c>
      <c r="AZ73">
        <f t="shared" si="93"/>
        <v>25.879557246542962</v>
      </c>
      <c r="BA73">
        <f t="shared" si="94"/>
        <v>29.283744927421559</v>
      </c>
      <c r="BB73">
        <f t="shared" si="95"/>
        <v>13.679812297031553</v>
      </c>
      <c r="BC73" s="2">
        <f t="shared" si="30"/>
        <v>17.829345015035717</v>
      </c>
      <c r="BD73">
        <f t="shared" si="31"/>
        <v>36.368488292655343</v>
      </c>
      <c r="BE73">
        <f t="shared" si="32"/>
        <v>6.0306291788382529</v>
      </c>
      <c r="BF73" s="12">
        <f t="shared" si="33"/>
        <v>20.72433429969022</v>
      </c>
      <c r="BG73">
        <f t="shared" si="34"/>
        <v>-2.8949892846545033</v>
      </c>
      <c r="BH73">
        <f t="shared" si="35"/>
        <v>8.3809629582643925</v>
      </c>
      <c r="BJ73" s="7">
        <v>61</v>
      </c>
      <c r="BK73">
        <f t="shared" si="96"/>
        <v>36.587292987613061</v>
      </c>
      <c r="BL73">
        <f t="shared" si="97"/>
        <v>17.62999575709739</v>
      </c>
      <c r="BM73">
        <f t="shared" si="98"/>
        <v>72.109216387852314</v>
      </c>
      <c r="BN73">
        <f t="shared" si="99"/>
        <v>2.5019924767228297</v>
      </c>
      <c r="BO73">
        <f t="shared" si="100"/>
        <v>55.539352162003041</v>
      </c>
      <c r="BP73">
        <f t="shared" si="101"/>
        <v>125.40588487683978</v>
      </c>
      <c r="BQ73">
        <f t="shared" si="102"/>
        <v>4.0611941020885611</v>
      </c>
      <c r="BR73">
        <f t="shared" si="103"/>
        <v>12.349931370790912</v>
      </c>
      <c r="BS73">
        <f t="shared" si="104"/>
        <v>38.718139377264528</v>
      </c>
      <c r="BT73">
        <f t="shared" si="105"/>
        <v>13.430527082204431</v>
      </c>
      <c r="BU73">
        <f t="shared" si="106"/>
        <v>21.71707009668528</v>
      </c>
      <c r="BV73">
        <f t="shared" si="107"/>
        <v>190.5643714621535</v>
      </c>
      <c r="BW73">
        <f t="shared" si="108"/>
        <v>74.697312137464493</v>
      </c>
      <c r="BX73">
        <f t="shared" si="109"/>
        <v>33.002220245164594</v>
      </c>
      <c r="BY73">
        <f t="shared" si="110"/>
        <v>14.647924770445634</v>
      </c>
      <c r="BZ73">
        <f t="shared" si="111"/>
        <v>13.239611295107615</v>
      </c>
      <c r="CA73">
        <f t="shared" si="112"/>
        <v>38.563786990748319</v>
      </c>
      <c r="CB73">
        <f t="shared" si="113"/>
        <v>89.953371506234319</v>
      </c>
      <c r="CC73">
        <f t="shared" si="114"/>
        <v>25.833733239087568</v>
      </c>
      <c r="CD73">
        <f t="shared" si="115"/>
        <v>2.4194058597697539</v>
      </c>
      <c r="CE73">
        <f t="shared" si="116"/>
        <v>45.663351321891497</v>
      </c>
      <c r="CF73">
        <f t="shared" si="117"/>
        <v>22.858567232843274</v>
      </c>
      <c r="CG73">
        <f t="shared" si="118"/>
        <v>50.830441473579612</v>
      </c>
      <c r="CH73">
        <f t="shared" si="119"/>
        <v>120.46522691089393</v>
      </c>
      <c r="CI73">
        <f t="shared" si="120"/>
        <v>90.448056323325019</v>
      </c>
      <c r="CJ73" s="7">
        <v>61</v>
      </c>
      <c r="CK73" s="13">
        <f t="shared" si="61"/>
        <v>20.345023942120044</v>
      </c>
      <c r="CL73">
        <f t="shared" si="62"/>
        <v>1.9036698702956307</v>
      </c>
      <c r="CM73">
        <f t="shared" si="63"/>
        <v>18.441354071824414</v>
      </c>
      <c r="CN73">
        <f t="shared" si="64"/>
        <v>22.248693812415674</v>
      </c>
      <c r="CO73">
        <f t="shared" si="65"/>
        <v>3.8073397405912615</v>
      </c>
      <c r="CP73">
        <f t="shared" si="66"/>
        <v>16.537684201528783</v>
      </c>
      <c r="CQ73">
        <f t="shared" si="67"/>
        <v>24.152363682711304</v>
      </c>
      <c r="CR73">
        <f t="shared" si="68"/>
        <v>5.711009610886892</v>
      </c>
      <c r="CS73">
        <f t="shared" si="69"/>
        <v>14.634014331233152</v>
      </c>
      <c r="CT73">
        <f t="shared" si="70"/>
        <v>26.056033553006934</v>
      </c>
    </row>
    <row r="74" spans="1:98" x14ac:dyDescent="0.25">
      <c r="A74" s="7">
        <v>63</v>
      </c>
      <c r="B74" s="9">
        <f t="shared" si="29"/>
        <v>21.132758318612467</v>
      </c>
      <c r="C74">
        <v>-7.4434644611957146E-2</v>
      </c>
      <c r="D74">
        <v>0.76763206884975732</v>
      </c>
      <c r="E74">
        <v>0.69298379467146831</v>
      </c>
      <c r="F74">
        <v>-0.35215308084353159</v>
      </c>
      <c r="G74">
        <v>-0.66472365489669483</v>
      </c>
      <c r="H74">
        <v>-0.619006927701651</v>
      </c>
      <c r="I74">
        <v>0.6258430738242744</v>
      </c>
      <c r="J74">
        <v>-0.37290566728720964</v>
      </c>
      <c r="K74">
        <v>0.77068391979735718</v>
      </c>
      <c r="L74">
        <v>0.83446760460219127</v>
      </c>
      <c r="M74">
        <v>-0.64983062227240818</v>
      </c>
      <c r="N74">
        <v>-0.8894619586779382</v>
      </c>
      <c r="O74">
        <v>0.62053285317545082</v>
      </c>
      <c r="P74">
        <v>0.57579271828363909</v>
      </c>
      <c r="Q74">
        <v>-0.32071901608325448</v>
      </c>
      <c r="R74">
        <v>-0.81359294412060912</v>
      </c>
      <c r="S74">
        <v>3.5187841425824873E-2</v>
      </c>
      <c r="T74">
        <v>0.90881069368572032</v>
      </c>
      <c r="U74">
        <v>0.43736075930051577</v>
      </c>
      <c r="V74">
        <v>-0.82378612628559222</v>
      </c>
      <c r="W74">
        <v>0.66820276497695863</v>
      </c>
      <c r="X74">
        <v>-0.98144474623859368</v>
      </c>
      <c r="Y74">
        <v>0.63231299783318584</v>
      </c>
      <c r="Z74">
        <v>-0.63426618243964961</v>
      </c>
      <c r="AA74">
        <v>0.7338785973693045</v>
      </c>
      <c r="AC74" s="7">
        <v>63</v>
      </c>
      <c r="AD74" s="10">
        <f t="shared" si="71"/>
        <v>20.104163948733515</v>
      </c>
      <c r="AE74" s="10">
        <f t="shared" si="72"/>
        <v>31.740480411915165</v>
      </c>
      <c r="AF74" s="10">
        <f t="shared" si="73"/>
        <v>30.70893394667371</v>
      </c>
      <c r="AG74" s="10">
        <f t="shared" si="74"/>
        <v>16.266439977475432</v>
      </c>
      <c r="AH74" s="10">
        <f t="shared" si="75"/>
        <v>11.947102734219905</v>
      </c>
      <c r="AI74" s="10">
        <f t="shared" si="76"/>
        <v>12.578851141796237</v>
      </c>
      <c r="AJ74" s="10">
        <f t="shared" si="77"/>
        <v>29.781132547028896</v>
      </c>
      <c r="AK74" s="10">
        <f t="shared" si="78"/>
        <v>15.979664999403401</v>
      </c>
      <c r="AL74" s="10">
        <f t="shared" si="79"/>
        <v>31.782653202808113</v>
      </c>
      <c r="AM74" s="10">
        <f t="shared" si="80"/>
        <v>32.664064532470682</v>
      </c>
      <c r="AN74" s="10">
        <f t="shared" si="81"/>
        <v>12.152905953777482</v>
      </c>
      <c r="AO74" s="10">
        <f t="shared" si="82"/>
        <v>8.8414984128633627</v>
      </c>
      <c r="AP74" s="10">
        <f t="shared" si="83"/>
        <v>29.707751890875169</v>
      </c>
      <c r="AQ74" s="10">
        <f t="shared" si="84"/>
        <v>29.089498776384584</v>
      </c>
      <c r="AR74" s="10">
        <f t="shared" si="85"/>
        <v>16.700819723672776</v>
      </c>
      <c r="AS74" s="10">
        <f t="shared" si="86"/>
        <v>9.8899139944620007</v>
      </c>
      <c r="AT74" s="10">
        <f t="shared" si="87"/>
        <v>21.619010597608135</v>
      </c>
      <c r="AU74" s="10">
        <f t="shared" si="88"/>
        <v>33.691393718622848</v>
      </c>
      <c r="AV74" s="10">
        <f t="shared" si="89"/>
        <v>27.176540981480553</v>
      </c>
      <c r="AW74" s="10">
        <f t="shared" si="90"/>
        <v>9.7490568728795619</v>
      </c>
      <c r="AX74" s="10">
        <f t="shared" si="91"/>
        <v>30.366490884622991</v>
      </c>
      <c r="AY74" s="10">
        <f t="shared" si="92"/>
        <v>7.5704104953499733</v>
      </c>
      <c r="AZ74" s="10">
        <f t="shared" si="93"/>
        <v>29.870538863721944</v>
      </c>
      <c r="BA74" s="10">
        <f t="shared" si="94"/>
        <v>12.367987187331506</v>
      </c>
      <c r="BB74" s="10">
        <f t="shared" si="95"/>
        <v>31.274049344639185</v>
      </c>
      <c r="BC74" s="2">
        <f t="shared" si="30"/>
        <v>21.744854205632688</v>
      </c>
      <c r="BD74" s="10">
        <f t="shared" si="31"/>
        <v>87.032015632499522</v>
      </c>
      <c r="BE74" s="10">
        <f t="shared" si="32"/>
        <v>9.3290951132732864</v>
      </c>
      <c r="BF74" s="12">
        <f t="shared" si="33"/>
        <v>21.012436517987627</v>
      </c>
      <c r="BG74" s="10">
        <f t="shared" si="34"/>
        <v>0.73241768764506077</v>
      </c>
      <c r="BH74" s="10">
        <f t="shared" si="35"/>
        <v>0.5364356691753378</v>
      </c>
      <c r="BJ74" s="7">
        <v>62</v>
      </c>
      <c r="BK74">
        <f t="shared" si="96"/>
        <v>1.3602602997872459</v>
      </c>
      <c r="BL74">
        <f t="shared" si="97"/>
        <v>215.16623119391599</v>
      </c>
      <c r="BM74">
        <f t="shared" si="98"/>
        <v>1.4358083452359136</v>
      </c>
      <c r="BN74">
        <f t="shared" si="99"/>
        <v>68.855259001428522</v>
      </c>
      <c r="BO74">
        <f t="shared" si="100"/>
        <v>36.426342047599015</v>
      </c>
      <c r="BP74">
        <f t="shared" si="101"/>
        <v>0.41383591900544564</v>
      </c>
      <c r="BQ74">
        <f t="shared" si="102"/>
        <v>49.48510575584239</v>
      </c>
      <c r="BR74">
        <f t="shared" si="103"/>
        <v>23.478650005847783</v>
      </c>
      <c r="BS74">
        <f t="shared" si="104"/>
        <v>11.572713449613909</v>
      </c>
      <c r="BT74">
        <f t="shared" si="105"/>
        <v>3.5340700129774247</v>
      </c>
      <c r="BU74">
        <f t="shared" si="106"/>
        <v>2.372968578737646</v>
      </c>
      <c r="BV74">
        <f t="shared" si="107"/>
        <v>4.6781239522929785E-2</v>
      </c>
      <c r="BW74">
        <f t="shared" si="108"/>
        <v>3.9396170166585871</v>
      </c>
      <c r="BX74">
        <f t="shared" si="109"/>
        <v>103.96465658562914</v>
      </c>
      <c r="BY74">
        <f t="shared" si="110"/>
        <v>2.1812933673946641E-2</v>
      </c>
      <c r="BZ74">
        <f t="shared" si="111"/>
        <v>14.348761138811049</v>
      </c>
      <c r="CA74">
        <f t="shared" si="112"/>
        <v>9.3984382331349572</v>
      </c>
      <c r="CB74">
        <f t="shared" si="113"/>
        <v>37.31624141902951</v>
      </c>
      <c r="CC74">
        <f t="shared" si="114"/>
        <v>3.9056486053880701</v>
      </c>
      <c r="CD74">
        <f t="shared" si="115"/>
        <v>65.172406975275507</v>
      </c>
      <c r="CE74">
        <f t="shared" si="116"/>
        <v>126.7524411465142</v>
      </c>
      <c r="CF74">
        <f t="shared" si="117"/>
        <v>156.62536258419149</v>
      </c>
      <c r="CG74">
        <f t="shared" si="118"/>
        <v>13.521102381474485</v>
      </c>
      <c r="CH74">
        <f t="shared" si="119"/>
        <v>46.684101610772764</v>
      </c>
      <c r="CI74">
        <f t="shared" si="120"/>
        <v>43.697577279599962</v>
      </c>
      <c r="CJ74" s="7">
        <v>62</v>
      </c>
      <c r="CK74" s="13">
        <f t="shared" si="61"/>
        <v>20.629630555741912</v>
      </c>
      <c r="CL74">
        <f t="shared" si="62"/>
        <v>1.9454030458178517</v>
      </c>
      <c r="CM74">
        <f t="shared" si="63"/>
        <v>18.68422750992406</v>
      </c>
      <c r="CN74">
        <f t="shared" si="64"/>
        <v>22.575033601559763</v>
      </c>
      <c r="CO74">
        <f t="shared" si="65"/>
        <v>3.8908060916357035</v>
      </c>
      <c r="CP74">
        <f t="shared" si="66"/>
        <v>16.738824464106209</v>
      </c>
      <c r="CQ74">
        <f t="shared" si="67"/>
        <v>24.520436647377615</v>
      </c>
      <c r="CR74">
        <f t="shared" si="68"/>
        <v>5.8362091374535554</v>
      </c>
      <c r="CS74">
        <f t="shared" si="69"/>
        <v>14.793421418288357</v>
      </c>
      <c r="CT74">
        <f t="shared" si="70"/>
        <v>26.465839693195466</v>
      </c>
    </row>
    <row r="75" spans="1:98" x14ac:dyDescent="0.25">
      <c r="A75" s="7">
        <v>64</v>
      </c>
      <c r="B75" s="9">
        <f t="shared" si="29"/>
        <v>21.424342718662228</v>
      </c>
      <c r="C75">
        <v>4.8310800500503515E-2</v>
      </c>
      <c r="D75">
        <v>0.47672963652455214</v>
      </c>
      <c r="E75">
        <v>-0.80773339030121771</v>
      </c>
      <c r="F75">
        <v>0.69426557206946016</v>
      </c>
      <c r="G75">
        <v>-0.71166112247077851</v>
      </c>
      <c r="H75">
        <v>-0.93133335367900627</v>
      </c>
      <c r="I75">
        <v>-0.54753257850886561</v>
      </c>
      <c r="J75">
        <v>0.88732566301461846</v>
      </c>
      <c r="K75">
        <v>0.54234443189794601</v>
      </c>
      <c r="L75">
        <v>-0.45457319864497814</v>
      </c>
      <c r="M75">
        <v>9.121982482375568E-2</v>
      </c>
      <c r="N75">
        <v>0.4089175084688863</v>
      </c>
      <c r="O75">
        <v>0.73064363536484889</v>
      </c>
      <c r="P75">
        <v>-0.47807245094149597</v>
      </c>
      <c r="Q75">
        <v>0.13559373760185545</v>
      </c>
      <c r="R75">
        <v>-0.43858149967955562</v>
      </c>
      <c r="S75">
        <v>-0.20517593920712918</v>
      </c>
      <c r="T75">
        <v>-0.37278359324930566</v>
      </c>
      <c r="U75">
        <v>-0.6641132847071749</v>
      </c>
      <c r="V75">
        <v>-0.81902523880733669</v>
      </c>
      <c r="W75">
        <v>-3.4272286141544872E-2</v>
      </c>
      <c r="X75">
        <v>-4.8738059633167463E-2</v>
      </c>
      <c r="Y75">
        <v>7.5960570085757073E-2</v>
      </c>
      <c r="Z75">
        <v>-0.84362315744499039</v>
      </c>
      <c r="AA75">
        <v>-0.54307687612537003</v>
      </c>
      <c r="AC75" s="7">
        <v>64</v>
      </c>
      <c r="AD75">
        <f t="shared" si="71"/>
        <v>22.091937998497563</v>
      </c>
      <c r="AE75">
        <f t="shared" si="72"/>
        <v>28.012154384049317</v>
      </c>
      <c r="AF75">
        <f t="shared" si="73"/>
        <v>10.262470153026218</v>
      </c>
      <c r="AG75">
        <f t="shared" si="74"/>
        <v>31.018230918898507</v>
      </c>
      <c r="AH75">
        <f t="shared" si="75"/>
        <v>11.590069610336156</v>
      </c>
      <c r="AI75">
        <f t="shared" si="76"/>
        <v>8.554472121861906</v>
      </c>
      <c r="AJ75">
        <f t="shared" si="77"/>
        <v>13.85812230455879</v>
      </c>
      <c r="AK75">
        <f t="shared" si="78"/>
        <v>33.686081670786272</v>
      </c>
      <c r="AL75">
        <f t="shared" si="79"/>
        <v>28.918869388247657</v>
      </c>
      <c r="AM75">
        <f t="shared" si="80"/>
        <v>15.142705515157926</v>
      </c>
      <c r="AN75">
        <f t="shared" si="81"/>
        <v>22.684887438452385</v>
      </c>
      <c r="AO75">
        <f t="shared" si="82"/>
        <v>27.075074970408057</v>
      </c>
      <c r="AP75">
        <f t="shared" si="83"/>
        <v>31.520930586342423</v>
      </c>
      <c r="AQ75">
        <f t="shared" si="84"/>
        <v>14.817975025282241</v>
      </c>
      <c r="AR75">
        <f t="shared" si="85"/>
        <v>23.298079818035816</v>
      </c>
      <c r="AS75">
        <f t="shared" si="86"/>
        <v>15.363690939436964</v>
      </c>
      <c r="AT75">
        <f t="shared" si="87"/>
        <v>18.589065986929469</v>
      </c>
      <c r="AU75">
        <f t="shared" si="88"/>
        <v>16.272936311088877</v>
      </c>
      <c r="AV75">
        <f t="shared" si="89"/>
        <v>12.247121692448255</v>
      </c>
      <c r="AW75">
        <f t="shared" si="90"/>
        <v>10.106430826722317</v>
      </c>
      <c r="AX75">
        <f t="shared" si="91"/>
        <v>20.950742276934445</v>
      </c>
      <c r="AY75">
        <f t="shared" si="92"/>
        <v>20.75084324810188</v>
      </c>
      <c r="AZ75">
        <f t="shared" si="93"/>
        <v>22.474023483987654</v>
      </c>
      <c r="BA75">
        <f t="shared" si="94"/>
        <v>9.7665181321251726</v>
      </c>
      <c r="BB75">
        <f t="shared" si="95"/>
        <v>13.919694579262492</v>
      </c>
      <c r="BC75" s="2">
        <f t="shared" si="30"/>
        <v>19.318925175239151</v>
      </c>
      <c r="BD75">
        <f t="shared" si="31"/>
        <v>57.311281232946989</v>
      </c>
      <c r="BE75">
        <f t="shared" si="32"/>
        <v>7.5704214699676387</v>
      </c>
      <c r="BF75" s="12">
        <f t="shared" si="33"/>
        <v>21.300538736285038</v>
      </c>
      <c r="BG75">
        <f t="shared" si="34"/>
        <v>-1.9816135610458865</v>
      </c>
      <c r="BH75">
        <f t="shared" si="35"/>
        <v>3.9267923053209595</v>
      </c>
      <c r="BJ75" s="7">
        <v>63</v>
      </c>
      <c r="BK75" s="10">
        <f t="shared" si="96"/>
        <v>2.9061773436816494</v>
      </c>
      <c r="BL75" s="10">
        <f t="shared" si="97"/>
        <v>86.458972426620349</v>
      </c>
      <c r="BM75" s="10">
        <f t="shared" si="98"/>
        <v>124.71088657793081</v>
      </c>
      <c r="BN75" s="10">
        <f t="shared" si="99"/>
        <v>0.30649399892530493</v>
      </c>
      <c r="BO75" s="10">
        <f t="shared" si="100"/>
        <v>58.979578142255278</v>
      </c>
      <c r="BP75" s="10">
        <f t="shared" si="101"/>
        <v>53.39627115976247</v>
      </c>
      <c r="BQ75" s="10">
        <f t="shared" si="102"/>
        <v>116.89390601069874</v>
      </c>
      <c r="BR75" s="10">
        <f t="shared" si="103"/>
        <v>14.766374243270675</v>
      </c>
      <c r="BS75" s="10">
        <f t="shared" si="104"/>
        <v>87.373524758297435</v>
      </c>
      <c r="BT75" s="10">
        <f t="shared" si="105"/>
        <v>188.24243503338656</v>
      </c>
      <c r="BU75" s="10">
        <f t="shared" si="106"/>
        <v>121.8586056517025</v>
      </c>
      <c r="BV75" s="10">
        <f t="shared" si="107"/>
        <v>154.76236636945694</v>
      </c>
      <c r="BW75" s="10">
        <f t="shared" si="108"/>
        <v>72.064157663753463</v>
      </c>
      <c r="BX75" s="10">
        <f t="shared" si="109"/>
        <v>32.400278531600954</v>
      </c>
      <c r="BY75" s="10">
        <f t="shared" si="110"/>
        <v>13.7880004998799</v>
      </c>
      <c r="BZ75" s="10">
        <f t="shared" si="111"/>
        <v>68.603566053215047</v>
      </c>
      <c r="CA75" s="10">
        <f t="shared" si="112"/>
        <v>12.966277863616925</v>
      </c>
      <c r="CB75" s="10">
        <f t="shared" si="113"/>
        <v>110.42040594760415</v>
      </c>
      <c r="CC75" s="10">
        <f t="shared" si="114"/>
        <v>20.822611550991105</v>
      </c>
      <c r="CD75" s="10">
        <f t="shared" si="115"/>
        <v>123.81981162147454</v>
      </c>
      <c r="CE75" s="10">
        <f t="shared" si="116"/>
        <v>51.504779835255967</v>
      </c>
      <c r="CF75" s="10">
        <f t="shared" si="117"/>
        <v>217.12450126315522</v>
      </c>
      <c r="CG75" s="10">
        <f t="shared" si="118"/>
        <v>54.796595603335135</v>
      </c>
      <c r="CH75" s="10">
        <f t="shared" si="119"/>
        <v>108.14460020880996</v>
      </c>
      <c r="CI75" s="10">
        <f t="shared" si="120"/>
        <v>114.61707706579028</v>
      </c>
      <c r="CJ75" s="10">
        <v>63</v>
      </c>
      <c r="CK75" s="13">
        <f t="shared" si="61"/>
        <v>20.914237169363773</v>
      </c>
      <c r="CL75">
        <f t="shared" si="62"/>
        <v>1.9875939101853075</v>
      </c>
      <c r="CM75" s="10">
        <f t="shared" si="63"/>
        <v>18.926643259178466</v>
      </c>
      <c r="CN75" s="10">
        <f t="shared" si="64"/>
        <v>22.90183107954908</v>
      </c>
      <c r="CO75">
        <f t="shared" si="65"/>
        <v>3.975187820370615</v>
      </c>
      <c r="CP75" s="10">
        <f t="shared" si="66"/>
        <v>16.939049348993159</v>
      </c>
      <c r="CQ75" s="10">
        <f t="shared" si="67"/>
        <v>24.889424989734387</v>
      </c>
      <c r="CR75">
        <f t="shared" si="68"/>
        <v>5.962781730555923</v>
      </c>
      <c r="CS75" s="10">
        <f t="shared" si="69"/>
        <v>14.95145543880785</v>
      </c>
      <c r="CT75" s="10">
        <f t="shared" si="70"/>
        <v>26.877018899919698</v>
      </c>
    </row>
    <row r="76" spans="1:98" x14ac:dyDescent="0.25">
      <c r="A76" s="7">
        <v>65</v>
      </c>
      <c r="B76" s="9">
        <f t="shared" si="29"/>
        <v>21.715927118711988</v>
      </c>
      <c r="C76">
        <v>-0.78618732261116364</v>
      </c>
      <c r="D76">
        <v>-0.88464003418073056</v>
      </c>
      <c r="E76">
        <v>-0.54820398571733753</v>
      </c>
      <c r="F76">
        <v>0.64653462324900057</v>
      </c>
      <c r="G76">
        <v>0.46885586107974486</v>
      </c>
      <c r="H76">
        <v>-0.27329325235755486</v>
      </c>
      <c r="I76">
        <v>-5.4353465376751009E-2</v>
      </c>
      <c r="J76">
        <v>-0.19003875850703456</v>
      </c>
      <c r="K76">
        <v>0.15652943510238959</v>
      </c>
      <c r="L76">
        <v>-0.21048615985595265</v>
      </c>
      <c r="M76">
        <v>0.39909054841761527</v>
      </c>
      <c r="N76">
        <v>0.46598712118900121</v>
      </c>
      <c r="O76">
        <v>0.31565294351023887</v>
      </c>
      <c r="P76">
        <v>0.40354625080111095</v>
      </c>
      <c r="Q76">
        <v>0.86492507705923649</v>
      </c>
      <c r="R76">
        <v>-0.60179448835718863</v>
      </c>
      <c r="S76">
        <v>0.76799829096346928</v>
      </c>
      <c r="T76">
        <v>0.58476516006958223</v>
      </c>
      <c r="U76">
        <v>-0.14871669667653431</v>
      </c>
      <c r="V76">
        <v>-0.58470412305063024</v>
      </c>
      <c r="W76">
        <v>-0.9114963225196081</v>
      </c>
      <c r="X76">
        <v>0.60502945036164424</v>
      </c>
      <c r="Y76">
        <v>0.55137791070284137</v>
      </c>
      <c r="Z76">
        <v>-8.8351084933011914E-2</v>
      </c>
      <c r="AA76">
        <v>-0.82671590319528798</v>
      </c>
      <c r="AC76" s="7">
        <v>65</v>
      </c>
      <c r="AD76">
        <f t="shared" ref="AD76:AD107" si="121">$B76+$G$7*C76</f>
        <v>10.851794456780178</v>
      </c>
      <c r="AE76">
        <f t="shared" ref="AE76:AE107" si="122">$B76+$G$7*D76</f>
        <v>9.4913002225737415</v>
      </c>
      <c r="AF76">
        <f t="shared" ref="AF76:AF107" si="123">$B76+$G$7*E76</f>
        <v>14.140428690612104</v>
      </c>
      <c r="AG76">
        <f t="shared" ref="AG76:AG107" si="124">$B76+$G$7*F76</f>
        <v>30.650232869382592</v>
      </c>
      <c r="AH76">
        <f t="shared" ref="AH76:AH107" si="125">$B76+$G$7*G76</f>
        <v>28.19493298359528</v>
      </c>
      <c r="AI76">
        <f t="shared" ref="AI76:AI107" si="126">$B76+$G$7*H76</f>
        <v>17.939353694248677</v>
      </c>
      <c r="AJ76">
        <f t="shared" ref="AJ76:AJ107" si="127">$B76+$G$7*I76</f>
        <v>20.964829712908621</v>
      </c>
      <c r="AK76">
        <f t="shared" ref="AK76:AK107" si="128">$B76+$G$7*J76</f>
        <v>19.089827429808242</v>
      </c>
      <c r="AL76">
        <f t="shared" ref="AL76:AL107" si="129">$B76+$G$7*K76</f>
        <v>23.878969563611186</v>
      </c>
      <c r="AM76">
        <f t="shared" ref="AM76:AM107" si="130">$B76+$G$7*L76</f>
        <v>18.807269730825503</v>
      </c>
      <c r="AN76">
        <f t="shared" ref="AN76:AN107" si="131">$B76+$G$7*M76</f>
        <v>27.230862983782533</v>
      </c>
      <c r="AO76">
        <f t="shared" ref="AO76:AO107" si="132">$B76+$G$7*N76</f>
        <v>28.155290560155912</v>
      </c>
      <c r="AP76">
        <f t="shared" ref="AP76:AP107" si="133">$B76+$G$7*O76</f>
        <v>26.077858880769391</v>
      </c>
      <c r="AQ76">
        <f t="shared" ref="AQ76:AQ107" si="134">$B76+$G$7*P76</f>
        <v>27.292435258486236</v>
      </c>
      <c r="AR76">
        <f t="shared" ref="AR76:AR107" si="135">$B76+$G$7*Q76</f>
        <v>33.668117785681808</v>
      </c>
      <c r="AS76">
        <f t="shared" ref="AS76:AS107" si="136">$B76+$G$7*R76</f>
        <v>13.399874482531972</v>
      </c>
      <c r="AT76">
        <f t="shared" ref="AT76:AT107" si="137">$B76+$G$7*S76</f>
        <v>32.32870994692184</v>
      </c>
      <c r="AU76">
        <f t="shared" ref="AU76:AU107" si="138">$B76+$G$7*T76</f>
        <v>29.796655581709366</v>
      </c>
      <c r="AV76">
        <f t="shared" ref="AV76:AV107" si="139">$B76+$G$7*U76</f>
        <v>19.660847018498732</v>
      </c>
      <c r="AW76">
        <f t="shared" ref="AW76:AW107" si="140">$B76+$G$7*V76</f>
        <v>13.63604211153247</v>
      </c>
      <c r="AX76">
        <f t="shared" ref="AX76:AX107" si="141">$B76+$G$7*W76</f>
        <v>9.1201796627158167</v>
      </c>
      <c r="AY76">
        <f t="shared" ref="AY76:AY107" si="142">$B76+$G$7*X76</f>
        <v>30.076682913238528</v>
      </c>
      <c r="AZ76">
        <f t="shared" ref="AZ76:AZ107" si="143">$B76+$G$7*Y76</f>
        <v>29.335285249340536</v>
      </c>
      <c r="BA76">
        <f t="shared" ref="BA76:BA107" si="144">$B76+$G$7*Z76</f>
        <v>20.495024822361202</v>
      </c>
      <c r="BB76">
        <f t="shared" ref="BB76:BB107" si="145">$B76+$G$7*AA76</f>
        <v>10.291739793721854</v>
      </c>
      <c r="BC76" s="2">
        <f t="shared" si="30"/>
        <v>21.782981856231771</v>
      </c>
      <c r="BD76">
        <f t="shared" si="31"/>
        <v>61.728044986099576</v>
      </c>
      <c r="BE76">
        <f t="shared" si="32"/>
        <v>7.8567197344756785</v>
      </c>
      <c r="BF76" s="12">
        <f t="shared" si="33"/>
        <v>21.588640954582448</v>
      </c>
      <c r="BG76">
        <f t="shared" si="34"/>
        <v>0.19434090164932272</v>
      </c>
      <c r="BH76">
        <f t="shared" si="35"/>
        <v>3.7768386053871728E-2</v>
      </c>
      <c r="BJ76" s="7">
        <v>64</v>
      </c>
      <c r="BK76">
        <f t="shared" si="96"/>
        <v>2.038971048321743E-3</v>
      </c>
      <c r="BL76">
        <f t="shared" si="97"/>
        <v>27.693652489034655</v>
      </c>
      <c r="BM76">
        <f t="shared" si="98"/>
        <v>91.639061996180018</v>
      </c>
      <c r="BN76">
        <f t="shared" si="99"/>
        <v>230.44111015102831</v>
      </c>
      <c r="BO76">
        <f t="shared" si="100"/>
        <v>68.491260809038636</v>
      </c>
      <c r="BP76">
        <f t="shared" si="101"/>
        <v>134.3907915136478</v>
      </c>
      <c r="BQ76">
        <f t="shared" si="102"/>
        <v>28.967299541709657</v>
      </c>
      <c r="BR76">
        <f t="shared" si="103"/>
        <v>184.92008487786285</v>
      </c>
      <c r="BS76">
        <f t="shared" si="104"/>
        <v>37.546028112371118</v>
      </c>
      <c r="BT76">
        <f t="shared" si="105"/>
        <v>16.320441431938473</v>
      </c>
      <c r="BU76">
        <f t="shared" si="106"/>
        <v>0.64502908935030834</v>
      </c>
      <c r="BV76">
        <f t="shared" si="107"/>
        <v>30.167603942959776</v>
      </c>
      <c r="BW76">
        <f t="shared" si="108"/>
        <v>99.309897491830156</v>
      </c>
      <c r="BX76">
        <f t="shared" si="109"/>
        <v>78.704830773039788</v>
      </c>
      <c r="BY76">
        <f t="shared" si="110"/>
        <v>6.6706675373011795</v>
      </c>
      <c r="BZ76">
        <f t="shared" si="111"/>
        <v>8.9301153171691823</v>
      </c>
      <c r="CA76">
        <f t="shared" si="112"/>
        <v>9.9006023211996697E-2</v>
      </c>
      <c r="CB76">
        <f t="shared" si="113"/>
        <v>52.649841768182263</v>
      </c>
      <c r="CC76">
        <f t="shared" si="114"/>
        <v>113.80442276335324</v>
      </c>
      <c r="CD76">
        <f t="shared" si="115"/>
        <v>122.51682491084786</v>
      </c>
      <c r="CE76">
        <f t="shared" si="116"/>
        <v>6.6382936929204721</v>
      </c>
      <c r="CF76">
        <f t="shared" si="117"/>
        <v>3.5288072171081213</v>
      </c>
      <c r="CG76">
        <f t="shared" si="118"/>
        <v>6.7422087051039067E-2</v>
      </c>
      <c r="CH76">
        <f t="shared" si="119"/>
        <v>177.33734899394759</v>
      </c>
      <c r="CI76">
        <f t="shared" si="120"/>
        <v>47.973693205187104</v>
      </c>
      <c r="CJ76" s="7">
        <v>64</v>
      </c>
      <c r="CK76" s="13">
        <f t="shared" si="61"/>
        <v>21.198843782985634</v>
      </c>
      <c r="CL76">
        <f t="shared" si="62"/>
        <v>2.0302139292341632</v>
      </c>
      <c r="CM76">
        <f t="shared" si="63"/>
        <v>19.168629853751469</v>
      </c>
      <c r="CN76">
        <f t="shared" si="64"/>
        <v>23.229057712219799</v>
      </c>
      <c r="CO76">
        <f t="shared" si="65"/>
        <v>4.0604278584683264</v>
      </c>
      <c r="CP76">
        <f t="shared" si="66"/>
        <v>17.138415924517307</v>
      </c>
      <c r="CQ76">
        <f t="shared" si="67"/>
        <v>25.25927164145396</v>
      </c>
      <c r="CR76">
        <f t="shared" si="68"/>
        <v>6.0906417877024897</v>
      </c>
      <c r="CS76">
        <f t="shared" si="69"/>
        <v>15.108201995283144</v>
      </c>
      <c r="CT76">
        <f t="shared" si="70"/>
        <v>27.289485570688122</v>
      </c>
    </row>
    <row r="77" spans="1:98" x14ac:dyDescent="0.25">
      <c r="A77" s="7">
        <v>66</v>
      </c>
      <c r="B77" s="9">
        <f t="shared" ref="B77:B137" si="146">$G$5+$G$6*A77</f>
        <v>22.007511518761749</v>
      </c>
      <c r="C77">
        <v>-0.46061586352122563</v>
      </c>
      <c r="D77">
        <v>0.45170445875423448</v>
      </c>
      <c r="E77">
        <v>-0.70848719748527489</v>
      </c>
      <c r="F77">
        <v>0.21671193578905612</v>
      </c>
      <c r="G77">
        <v>-0.41721854304635764</v>
      </c>
      <c r="H77">
        <v>0.6326792199468978</v>
      </c>
      <c r="I77">
        <v>0.3188879055146947</v>
      </c>
      <c r="J77">
        <v>0.91228980376598412</v>
      </c>
      <c r="K77">
        <v>0.69872127445295562</v>
      </c>
      <c r="L77">
        <v>7.2176274910733307E-2</v>
      </c>
      <c r="M77">
        <v>0.45548875392925803</v>
      </c>
      <c r="N77">
        <v>0.68810083315530868</v>
      </c>
      <c r="O77">
        <v>0.16214484084597314</v>
      </c>
      <c r="P77">
        <v>-0.73393963438825649</v>
      </c>
      <c r="Q77">
        <v>0.24979400006103702</v>
      </c>
      <c r="R77">
        <v>0.79021576586199527</v>
      </c>
      <c r="S77">
        <v>0.56035035248878451</v>
      </c>
      <c r="T77">
        <v>0.47746208075197605</v>
      </c>
      <c r="U77">
        <v>-0.16061891537217321</v>
      </c>
      <c r="V77">
        <v>-0.97405926694540235</v>
      </c>
      <c r="W77">
        <v>0.8120670186468093</v>
      </c>
      <c r="X77">
        <v>0.92736594744712675</v>
      </c>
      <c r="Y77">
        <v>0.62865077669606606</v>
      </c>
      <c r="Z77">
        <v>0.98004089480269774</v>
      </c>
      <c r="AA77">
        <v>-0.23032319101535081</v>
      </c>
      <c r="AC77" s="7">
        <v>66</v>
      </c>
      <c r="AD77">
        <f t="shared" si="121"/>
        <v>15.642372189289414</v>
      </c>
      <c r="AE77">
        <f t="shared" si="122"/>
        <v>28.249506298826681</v>
      </c>
      <c r="AF77">
        <f t="shared" si="123"/>
        <v>12.217098112964342</v>
      </c>
      <c r="AG77">
        <f t="shared" si="124"/>
        <v>25.002201400069843</v>
      </c>
      <c r="AH77">
        <f t="shared" si="125"/>
        <v>16.242069275787106</v>
      </c>
      <c r="AI77">
        <f t="shared" si="126"/>
        <v>30.75035279877838</v>
      </c>
      <c r="AJ77">
        <f t="shared" si="127"/>
        <v>26.414146439165673</v>
      </c>
      <c r="AK77">
        <f t="shared" si="128"/>
        <v>34.614223900390087</v>
      </c>
      <c r="AL77">
        <f t="shared" si="129"/>
        <v>31.662971993701728</v>
      </c>
      <c r="AM77">
        <f t="shared" si="130"/>
        <v>23.004898023379919</v>
      </c>
      <c r="AN77">
        <f t="shared" si="131"/>
        <v>28.301800559533934</v>
      </c>
      <c r="AO77">
        <f t="shared" si="132"/>
        <v>31.516210681394277</v>
      </c>
      <c r="AP77">
        <f t="shared" si="133"/>
        <v>24.24815189890397</v>
      </c>
      <c r="AQ77">
        <f t="shared" si="134"/>
        <v>11.865377036917172</v>
      </c>
      <c r="AR77">
        <f t="shared" si="135"/>
        <v>25.459354453349377</v>
      </c>
      <c r="AS77">
        <f t="shared" si="136"/>
        <v>32.927312264672253</v>
      </c>
      <c r="AT77">
        <f t="shared" si="137"/>
        <v>29.750857654615558</v>
      </c>
      <c r="AU77">
        <f t="shared" si="138"/>
        <v>28.605444653963147</v>
      </c>
      <c r="AV77">
        <f t="shared" si="139"/>
        <v>19.787957534066003</v>
      </c>
      <c r="AW77">
        <f t="shared" si="140"/>
        <v>8.5472218494601844</v>
      </c>
      <c r="AX77">
        <f t="shared" si="141"/>
        <v>33.22926944746574</v>
      </c>
      <c r="AY77">
        <f t="shared" si="142"/>
        <v>34.822557487401241</v>
      </c>
      <c r="AZ77">
        <f t="shared" si="143"/>
        <v>30.694684714799688</v>
      </c>
      <c r="BA77">
        <f t="shared" si="144"/>
        <v>35.550459858213486</v>
      </c>
      <c r="BB77">
        <f t="shared" si="145"/>
        <v>18.824730990071117</v>
      </c>
      <c r="BC77" s="2">
        <f t="shared" ref="BC77:BC137" si="147">AVERAGE(AD77:BB77)</f>
        <v>25.517249260687208</v>
      </c>
      <c r="BD77">
        <f t="shared" ref="BD77:BD137" si="148">_xlfn.VAR.S(AD77:BB77)</f>
        <v>61.517628901638318</v>
      </c>
      <c r="BE77">
        <f t="shared" ref="BE77:BE137" si="149">_xlfn.STDEV.S(AD77:BB77)</f>
        <v>7.8433174678600333</v>
      </c>
      <c r="BF77" s="12">
        <f t="shared" ref="BF77:BF137" si="150">$M$5+$M$6*AC77</f>
        <v>21.876743172879856</v>
      </c>
      <c r="BG77">
        <f t="shared" ref="BG77:BG137" si="151">BC77-BF77</f>
        <v>3.6405060878073527</v>
      </c>
      <c r="BH77">
        <f t="shared" ref="BH77:BH137" si="152">BG77*BG77</f>
        <v>13.253284575362397</v>
      </c>
      <c r="BJ77" s="7">
        <v>65</v>
      </c>
      <c r="BK77">
        <f t="shared" ref="BK77:BK108" si="153">(AD76-(O$5+O$6*$BJ77))^2</f>
        <v>134.87282766527395</v>
      </c>
      <c r="BL77">
        <f t="shared" ref="BL77:BL108" si="154">(AE76-(P$5+P$6*$BJ77))^2</f>
        <v>184.03386137270076</v>
      </c>
      <c r="BM77">
        <f t="shared" ref="BM77:BM108" si="155">(AF76-(Q$5+Q$6*$BJ77))^2</f>
        <v>35.863800070579103</v>
      </c>
      <c r="BN77">
        <f t="shared" ref="BN77:BN108" si="156">(AG76-(R$5+R$6*$BJ77))^2</f>
        <v>215.71283903946482</v>
      </c>
      <c r="BO77">
        <f t="shared" ref="BO77:BO108" si="157">(AH76-(S$5+S$6*$BJ77))^2</f>
        <v>65.445242066373496</v>
      </c>
      <c r="BP77">
        <f t="shared" ref="BP77:BP108" si="158">(AI76-(T$5+T$6*$BJ77))^2</f>
        <v>6.0953322076886831</v>
      </c>
      <c r="BQ77">
        <f t="shared" ref="BQ77:BQ108" si="159">(AJ76-(U$5+U$6*$BJ77))^2</f>
        <v>2.113283097767821</v>
      </c>
      <c r="BR77">
        <f t="shared" ref="BR77:BR108" si="160">(AK76-(V$5+V$6*$BJ77))^2</f>
        <v>1.5949214076331268</v>
      </c>
      <c r="BS77">
        <f t="shared" ref="BS77:BS108" si="161">(AL76-(W$5+W$6*$BJ77))^2</f>
        <v>0.5350426874708909</v>
      </c>
      <c r="BT77">
        <f t="shared" ref="BT77:BT108" si="162">(AM76-(X$5+X$6*$BJ77))^2</f>
        <v>0.37691868440748699</v>
      </c>
      <c r="BU77">
        <f t="shared" ref="BU77:BU108" si="163">(AN76-(Y$5+Y$6*$BJ77))^2</f>
        <v>11.8795929604458</v>
      </c>
      <c r="BV77">
        <f t="shared" ref="BV77:BV108" si="164">(AO76-(Z$5+Z$6*$BJ77))^2</f>
        <v>39.337984709204576</v>
      </c>
      <c r="BW77">
        <f t="shared" ref="BW77:BW108" si="165">(AP76-(AA$5+AA$6*$BJ77))^2</f>
        <v>17.518902603500592</v>
      </c>
      <c r="BX77">
        <f t="shared" ref="BX77:BX108" si="166">(AQ76-(AB$5+AB$6*$BJ77))^2</f>
        <v>10.960808024625832</v>
      </c>
      <c r="BY77">
        <f t="shared" ref="BY77:BY108" si="167">(AR76-(AC$5+AC$6*$BJ77))^2</f>
        <v>160.06107624495988</v>
      </c>
      <c r="BZ77">
        <f t="shared" ref="BZ77:BZ108" si="168">(AS76-(AD$5+AD$6*$BJ77))^2</f>
        <v>26.332560531164379</v>
      </c>
      <c r="CA77">
        <f t="shared" ref="CA77:CA108" si="169">(AT76-(AE$5+AE$6*$BJ77))^2</f>
        <v>190.38538910103134</v>
      </c>
      <c r="CB77">
        <f t="shared" ref="CB77:CB108" si="170">(AU76-(AF$5+AF$6*$BJ77))^2</f>
        <v>35.070357624752937</v>
      </c>
      <c r="CC77">
        <f t="shared" ref="CC77:CC108" si="171">(AV76-(AG$5+AG$6*$BJ77))^2</f>
        <v>12.644186720382212</v>
      </c>
      <c r="CD77">
        <f t="shared" ref="CD77:CD108" si="172">(AW76-(AH$5+AH$6*$BJ77))^2</f>
        <v>61.430972379855049</v>
      </c>
      <c r="CE77">
        <f t="shared" ref="CE77:CE108" si="173">(AX76-(AI$5+AI$6*$BJ77))^2</f>
        <v>217.39952372466948</v>
      </c>
      <c r="CF77">
        <f t="shared" ref="CF77:CF108" si="174">(AY76-(AJ$5+AJ$6*$BJ77))^2</f>
        <v>50.744652301003889</v>
      </c>
      <c r="CG77">
        <f t="shared" ref="CG77:CG108" si="175">(AZ76-(AK$5+AK$6*$BJ77))^2</f>
        <v>40.144764383163547</v>
      </c>
      <c r="CH77">
        <f t="shared" ref="CH77:CH108" si="176">(BA76-(AL$5+AL$6*$BJ77))^2</f>
        <v>8.435415513478743</v>
      </c>
      <c r="CI77">
        <f t="shared" ref="CI77:CI108" si="177">(BB76-(AM$5+AM$6*$BJ77))^2</f>
        <v>117.33537473268325</v>
      </c>
      <c r="CJ77" s="7">
        <v>65</v>
      </c>
      <c r="CK77" s="13">
        <f t="shared" si="61"/>
        <v>21.483450396607495</v>
      </c>
      <c r="CL77">
        <f t="shared" si="62"/>
        <v>2.0732366364285268</v>
      </c>
      <c r="CM77">
        <f t="shared" si="63"/>
        <v>19.410213760178969</v>
      </c>
      <c r="CN77">
        <f t="shared" si="64"/>
        <v>23.55668703303602</v>
      </c>
      <c r="CO77">
        <f t="shared" si="65"/>
        <v>4.1464732728570537</v>
      </c>
      <c r="CP77">
        <f t="shared" si="66"/>
        <v>17.33697712375044</v>
      </c>
      <c r="CQ77">
        <f t="shared" si="67"/>
        <v>25.629923669464549</v>
      </c>
      <c r="CR77">
        <f t="shared" si="68"/>
        <v>6.2197099092855801</v>
      </c>
      <c r="CS77">
        <f t="shared" si="69"/>
        <v>15.263740487321915</v>
      </c>
      <c r="CT77">
        <f t="shared" si="70"/>
        <v>27.703160305893075</v>
      </c>
    </row>
    <row r="78" spans="1:98" x14ac:dyDescent="0.25">
      <c r="A78" s="7">
        <v>67</v>
      </c>
      <c r="B78" s="9">
        <f t="shared" si="146"/>
        <v>22.299095918811506</v>
      </c>
      <c r="C78">
        <v>0.23917355876339008</v>
      </c>
      <c r="D78">
        <v>0.20505386516922508</v>
      </c>
      <c r="E78">
        <v>-0.48429822687459945</v>
      </c>
      <c r="F78">
        <v>0.96563615833002725</v>
      </c>
      <c r="G78">
        <v>0.4499343852046267</v>
      </c>
      <c r="H78">
        <v>-0.44352549821466725</v>
      </c>
      <c r="I78">
        <v>-0.62633136997589034</v>
      </c>
      <c r="J78">
        <v>6.5218054750205923E-2</v>
      </c>
      <c r="K78">
        <v>-0.10013122959074683</v>
      </c>
      <c r="L78">
        <v>0.65123447370830401</v>
      </c>
      <c r="M78">
        <v>0.68114261299478129</v>
      </c>
      <c r="N78">
        <v>-0.40971098971526232</v>
      </c>
      <c r="O78">
        <v>-0.68596453749198893</v>
      </c>
      <c r="P78">
        <v>-0.55577257606738484</v>
      </c>
      <c r="Q78">
        <v>0.18350779747917101</v>
      </c>
      <c r="R78">
        <v>0.4736777855769525</v>
      </c>
      <c r="S78">
        <v>-0.61278115176854764</v>
      </c>
      <c r="T78">
        <v>0.3716849269081699</v>
      </c>
      <c r="U78">
        <v>1.1200292977690873E-2</v>
      </c>
      <c r="V78">
        <v>-0.9915158543656728</v>
      </c>
      <c r="W78">
        <v>0.18576616718039496</v>
      </c>
      <c r="X78">
        <v>-0.60441908017212431</v>
      </c>
      <c r="Y78">
        <v>0.79418317209387501</v>
      </c>
      <c r="Z78">
        <v>0.75536362804040658</v>
      </c>
      <c r="AA78">
        <v>-0.32212286751915031</v>
      </c>
      <c r="AC78" s="7">
        <v>67</v>
      </c>
      <c r="AD78">
        <f t="shared" si="121"/>
        <v>25.604177541091683</v>
      </c>
      <c r="AE78">
        <f t="shared" si="122"/>
        <v>25.132685738908545</v>
      </c>
      <c r="AF78">
        <f t="shared" si="123"/>
        <v>15.606695732009911</v>
      </c>
      <c r="AG78">
        <f t="shared" si="124"/>
        <v>35.64298868524854</v>
      </c>
      <c r="AH78">
        <f t="shared" si="125"/>
        <v>28.516630480158533</v>
      </c>
      <c r="AI78">
        <f t="shared" si="126"/>
        <v>16.170124218339666</v>
      </c>
      <c r="AJ78">
        <f t="shared" si="127"/>
        <v>13.643974043852205</v>
      </c>
      <c r="AK78">
        <f t="shared" si="128"/>
        <v>23.200328460193759</v>
      </c>
      <c r="AL78">
        <f t="shared" si="129"/>
        <v>20.915406649613949</v>
      </c>
      <c r="AM78">
        <f t="shared" si="130"/>
        <v>31.298347767457244</v>
      </c>
      <c r="AN78">
        <f t="shared" si="131"/>
        <v>31.711641118208117</v>
      </c>
      <c r="AO78">
        <f t="shared" si="132"/>
        <v>16.637398741433508</v>
      </c>
      <c r="AP78">
        <f t="shared" si="133"/>
        <v>12.81991770980404</v>
      </c>
      <c r="AQ78">
        <f t="shared" si="134"/>
        <v>14.619008969297116</v>
      </c>
      <c r="AR78">
        <f t="shared" si="135"/>
        <v>24.834945835204344</v>
      </c>
      <c r="AS78">
        <f t="shared" si="136"/>
        <v>28.844734793305651</v>
      </c>
      <c r="AT78">
        <f t="shared" si="137"/>
        <v>13.831221235416885</v>
      </c>
      <c r="AU78">
        <f t="shared" si="138"/>
        <v>27.435320121663398</v>
      </c>
      <c r="AV78">
        <f t="shared" si="139"/>
        <v>22.453870061388617</v>
      </c>
      <c r="AW78">
        <f t="shared" si="140"/>
        <v>8.5975778856022895</v>
      </c>
      <c r="AX78">
        <f t="shared" si="141"/>
        <v>24.866153700465127</v>
      </c>
      <c r="AY78">
        <f t="shared" si="142"/>
        <v>13.946774682463557</v>
      </c>
      <c r="AZ78">
        <f t="shared" si="143"/>
        <v>33.27372129288284</v>
      </c>
      <c r="BA78">
        <f t="shared" si="144"/>
        <v>32.737283392724564</v>
      </c>
      <c r="BB78">
        <f t="shared" si="145"/>
        <v>17.84775784006106</v>
      </c>
      <c r="BC78" s="2">
        <f t="shared" si="147"/>
        <v>22.407547467871801</v>
      </c>
      <c r="BD78">
        <f t="shared" si="148"/>
        <v>58.605130836218677</v>
      </c>
      <c r="BE78">
        <f t="shared" si="149"/>
        <v>7.6553988032119316</v>
      </c>
      <c r="BF78" s="12">
        <f t="shared" si="150"/>
        <v>22.164845391177266</v>
      </c>
      <c r="BG78">
        <f t="shared" si="151"/>
        <v>0.2427020766945347</v>
      </c>
      <c r="BH78">
        <f t="shared" si="152"/>
        <v>5.8904298031839802E-2</v>
      </c>
      <c r="BJ78" s="7">
        <v>66</v>
      </c>
      <c r="BK78">
        <f t="shared" si="153"/>
        <v>51.137888032604849</v>
      </c>
      <c r="BL78">
        <f t="shared" si="154"/>
        <v>23.860960728332486</v>
      </c>
      <c r="BM78">
        <f t="shared" si="155"/>
        <v>67.334140289480288</v>
      </c>
      <c r="BN78">
        <f t="shared" si="156"/>
        <v>79.459596990604368</v>
      </c>
      <c r="BO78">
        <f t="shared" si="157"/>
        <v>16.827516845212187</v>
      </c>
      <c r="BP78">
        <f t="shared" si="158"/>
        <v>101.62810239169265</v>
      </c>
      <c r="BQ78">
        <f t="shared" si="159"/>
        <v>43.985602185389908</v>
      </c>
      <c r="BR78">
        <f t="shared" si="160"/>
        <v>195.89681401800442</v>
      </c>
      <c r="BS78">
        <f t="shared" si="161"/>
        <v>66.57504324570202</v>
      </c>
      <c r="BT78">
        <f t="shared" si="162"/>
        <v>11.189336855339295</v>
      </c>
      <c r="BU78">
        <f t="shared" si="163"/>
        <v>17.820691953321205</v>
      </c>
      <c r="BV78">
        <f t="shared" si="164"/>
        <v>87.089962493874125</v>
      </c>
      <c r="BW78">
        <f t="shared" si="165"/>
        <v>4.0765516681575278</v>
      </c>
      <c r="BX78">
        <f t="shared" si="166"/>
        <v>153.9714165276265</v>
      </c>
      <c r="BY78">
        <f t="shared" si="167"/>
        <v>17.151893658791408</v>
      </c>
      <c r="BZ78">
        <f t="shared" si="168"/>
        <v>202.10977676405972</v>
      </c>
      <c r="CA78">
        <f t="shared" si="169"/>
        <v>120.20697003422312</v>
      </c>
      <c r="CB78">
        <f t="shared" si="170"/>
        <v>19.229427178150431</v>
      </c>
      <c r="CC78">
        <f t="shared" si="171"/>
        <v>13.916124971033616</v>
      </c>
      <c r="CD78">
        <f t="shared" si="172"/>
        <v>174.90809138218336</v>
      </c>
      <c r="CE78">
        <f t="shared" si="173"/>
        <v>81.490201620738077</v>
      </c>
      <c r="CF78">
        <f t="shared" si="174"/>
        <v>133.30094949021179</v>
      </c>
      <c r="CG78">
        <f t="shared" si="175"/>
        <v>55.201550035179572</v>
      </c>
      <c r="CH78">
        <f t="shared" si="176"/>
        <v>140.06670423063827</v>
      </c>
      <c r="CI78">
        <f t="shared" si="177"/>
        <v>6.6411374712748845</v>
      </c>
      <c r="CJ78" s="7">
        <v>66</v>
      </c>
      <c r="CK78" s="13">
        <f t="shared" ref="CK78:CK138" si="178">$AP$5+$AP$6*CJ78</f>
        <v>21.768057010229356</v>
      </c>
      <c r="CL78">
        <f t="shared" ref="CL78:CL138" si="179">SQRT($AS$5^2+2*$AS$5*$AS$6*$AU$5*CJ78+$AS$6^2*CJ78^2)</f>
        <v>2.1166374768308533</v>
      </c>
      <c r="CM78">
        <f t="shared" ref="CM78:CM138" si="180">CK78-CL78</f>
        <v>19.651419533398503</v>
      </c>
      <c r="CN78">
        <f t="shared" ref="CN78:CN138" si="181">CK78+CL78</f>
        <v>23.884694487060209</v>
      </c>
      <c r="CO78">
        <f t="shared" ref="CO78:CO138" si="182">SQRT($AS$5^2+2*$AS$5*$AS$6*$AU$5*CJ78+$AS$6^2*CJ78^2)*2</f>
        <v>4.2332749536617067</v>
      </c>
      <c r="CP78">
        <f t="shared" ref="CP78:CP138" si="183">CK78-CO78</f>
        <v>17.53478205656765</v>
      </c>
      <c r="CQ78">
        <f t="shared" ref="CQ78:CQ138" si="184">CK78+CO78</f>
        <v>26.001331963891062</v>
      </c>
      <c r="CR78">
        <f t="shared" ref="CR78:CR138" si="185">SQRT($AS$5^2+2*$AS$5*$AS$6*$AU$5*CJ78+$AS$6^2*CJ78^2)*3</f>
        <v>6.3499124304925605</v>
      </c>
      <c r="CS78">
        <f t="shared" ref="CS78:CS138" si="186">CK78-CR78</f>
        <v>15.418144579736795</v>
      </c>
      <c r="CT78">
        <f t="shared" ref="CT78:CT138" si="187">CK78+CR78</f>
        <v>28.117969440721915</v>
      </c>
    </row>
    <row r="79" spans="1:98" x14ac:dyDescent="0.25">
      <c r="A79" s="7">
        <v>68</v>
      </c>
      <c r="B79" s="9">
        <f t="shared" si="146"/>
        <v>22.590680318861267</v>
      </c>
      <c r="C79">
        <v>-0.33701590014343696</v>
      </c>
      <c r="D79">
        <v>0.93652150028992587</v>
      </c>
      <c r="E79">
        <v>-3.2502212591936974E-2</v>
      </c>
      <c r="F79">
        <v>-0.2941679128391369</v>
      </c>
      <c r="G79">
        <v>0.83959471419415865</v>
      </c>
      <c r="H79">
        <v>0.86388744773705262</v>
      </c>
      <c r="I79">
        <v>9.9642933439130887E-2</v>
      </c>
      <c r="J79">
        <v>0.71160008545182651</v>
      </c>
      <c r="K79">
        <v>0.18240913113803514</v>
      </c>
      <c r="L79">
        <v>5.5818353831598833E-2</v>
      </c>
      <c r="M79">
        <v>-4.0009765923032292E-2</v>
      </c>
      <c r="N79">
        <v>-0.47093111972411272</v>
      </c>
      <c r="O79">
        <v>0.41337321085238199</v>
      </c>
      <c r="P79">
        <v>-0.3239539780877102</v>
      </c>
      <c r="Q79">
        <v>-0.92986846522415845</v>
      </c>
      <c r="R79">
        <v>-0.44462416455580311</v>
      </c>
      <c r="S79">
        <v>0.45548875392925803</v>
      </c>
      <c r="T79">
        <v>0.61265907773064354</v>
      </c>
      <c r="U79">
        <v>0.794244209112827</v>
      </c>
      <c r="V79">
        <v>-0.38682210760826441</v>
      </c>
      <c r="W79">
        <v>9.537034211249118E-2</v>
      </c>
      <c r="X79">
        <v>-0.25894955290383614</v>
      </c>
      <c r="Y79">
        <v>0.8001037629322183</v>
      </c>
      <c r="Z79">
        <v>0.81749931333353687</v>
      </c>
      <c r="AA79">
        <v>0.63396099734488964</v>
      </c>
      <c r="AC79" s="7">
        <v>68</v>
      </c>
      <c r="AD79">
        <f t="shared" si="121"/>
        <v>17.933539020553244</v>
      </c>
      <c r="AE79">
        <f t="shared" si="122"/>
        <v>35.5322446601796</v>
      </c>
      <c r="AF79">
        <f t="shared" si="123"/>
        <v>22.141540095851393</v>
      </c>
      <c r="AG79">
        <f t="shared" si="124"/>
        <v>18.525645004690205</v>
      </c>
      <c r="AH79">
        <f t="shared" si="125"/>
        <v>34.192836821419633</v>
      </c>
      <c r="AI79">
        <f t="shared" si="126"/>
        <v>34.528532236927482</v>
      </c>
      <c r="AJ79">
        <f t="shared" si="127"/>
        <v>23.967621941515954</v>
      </c>
      <c r="AK79">
        <f t="shared" si="128"/>
        <v>32.424109971369475</v>
      </c>
      <c r="AL79">
        <f t="shared" si="129"/>
        <v>25.111348030532646</v>
      </c>
      <c r="AM79">
        <f t="shared" si="130"/>
        <v>23.362020664293247</v>
      </c>
      <c r="AN79">
        <f t="shared" si="131"/>
        <v>22.037795030254745</v>
      </c>
      <c r="AO79">
        <f t="shared" si="132"/>
        <v>16.082996956170774</v>
      </c>
      <c r="AP79">
        <f t="shared" si="133"/>
        <v>28.302984845310799</v>
      </c>
      <c r="AQ79">
        <f t="shared" si="134"/>
        <v>18.114038565575051</v>
      </c>
      <c r="AR79">
        <f t="shared" si="135"/>
        <v>9.7410526616895599</v>
      </c>
      <c r="AS79">
        <f t="shared" si="136"/>
        <v>16.446526413667968</v>
      </c>
      <c r="AT79">
        <f t="shared" si="137"/>
        <v>28.884969359633452</v>
      </c>
      <c r="AU79">
        <f t="shared" si="138"/>
        <v>31.056868090620171</v>
      </c>
      <c r="AV79">
        <f t="shared" si="139"/>
        <v>33.566149148750455</v>
      </c>
      <c r="AW79">
        <f t="shared" si="140"/>
        <v>17.245279073180363</v>
      </c>
      <c r="AX79">
        <f t="shared" si="141"/>
        <v>23.908580034265828</v>
      </c>
      <c r="AY79">
        <f t="shared" si="142"/>
        <v>19.012319011594801</v>
      </c>
      <c r="AZ79">
        <f t="shared" si="143"/>
        <v>33.647120907264913</v>
      </c>
      <c r="BA79">
        <f t="shared" si="144"/>
        <v>33.887505815354707</v>
      </c>
      <c r="BB79">
        <f t="shared" si="145"/>
        <v>31.351234171052933</v>
      </c>
      <c r="BC79" s="2">
        <f t="shared" si="147"/>
        <v>25.240194341268783</v>
      </c>
      <c r="BD79">
        <f t="shared" si="148"/>
        <v>54.697296087957362</v>
      </c>
      <c r="BE79">
        <f t="shared" si="149"/>
        <v>7.3957620356496978</v>
      </c>
      <c r="BF79" s="12">
        <f t="shared" si="150"/>
        <v>22.452947609474677</v>
      </c>
      <c r="BG79">
        <f t="shared" si="151"/>
        <v>2.7872467317941059</v>
      </c>
      <c r="BH79">
        <f t="shared" si="152"/>
        <v>7.7687443438969241</v>
      </c>
      <c r="BJ79" s="7">
        <v>67</v>
      </c>
      <c r="BK79">
        <f t="shared" si="153"/>
        <v>6.1630631024434823</v>
      </c>
      <c r="BL79">
        <f t="shared" si="154"/>
        <v>2.132820422894758</v>
      </c>
      <c r="BM79">
        <f t="shared" si="155"/>
        <v>26.111170606881799</v>
      </c>
      <c r="BN79">
        <f t="shared" si="156"/>
        <v>377.51229038258566</v>
      </c>
      <c r="BO79">
        <f t="shared" si="157"/>
        <v>62.937728998243948</v>
      </c>
      <c r="BP79">
        <f t="shared" si="158"/>
        <v>22.659524276612682</v>
      </c>
      <c r="BQ79">
        <f t="shared" si="159"/>
        <v>41.073669077946143</v>
      </c>
      <c r="BR79">
        <f t="shared" si="160"/>
        <v>5.3695950549302056</v>
      </c>
      <c r="BS79">
        <f t="shared" si="161"/>
        <v>8.6690654120658799</v>
      </c>
      <c r="BT79">
        <f t="shared" si="162"/>
        <v>129.95661917780629</v>
      </c>
      <c r="BU79">
        <f t="shared" si="163"/>
        <v>53.804230778509421</v>
      </c>
      <c r="BV79">
        <f t="shared" si="164"/>
        <v>34.191285809950031</v>
      </c>
      <c r="BW79">
        <f t="shared" si="165"/>
        <v>94.98435202492216</v>
      </c>
      <c r="BX79">
        <f t="shared" si="166"/>
        <v>98.94409843150153</v>
      </c>
      <c r="BY79">
        <f t="shared" si="167"/>
        <v>10.341363232946826</v>
      </c>
      <c r="BZ79">
        <f t="shared" si="168"/>
        <v>99.093553699374581</v>
      </c>
      <c r="CA79">
        <f t="shared" si="169"/>
        <v>27.165126170309115</v>
      </c>
      <c r="CB79">
        <f t="shared" si="170"/>
        <v>8.2330973775570282</v>
      </c>
      <c r="CC79">
        <f t="shared" si="171"/>
        <v>1.8664915648137395</v>
      </c>
      <c r="CD79">
        <f t="shared" si="172"/>
        <v>181.5378152233329</v>
      </c>
      <c r="CE79">
        <f t="shared" si="173"/>
        <v>0.10670251056933631</v>
      </c>
      <c r="CF79">
        <f t="shared" si="174"/>
        <v>93.199317956703027</v>
      </c>
      <c r="CG79">
        <f t="shared" si="175"/>
        <v>94.929880417388461</v>
      </c>
      <c r="CH79">
        <f t="shared" si="176"/>
        <v>75.789616009457546</v>
      </c>
      <c r="CI79">
        <f t="shared" si="177"/>
        <v>14.683456132843048</v>
      </c>
      <c r="CJ79" s="7">
        <v>67</v>
      </c>
      <c r="CK79" s="13">
        <f t="shared" si="178"/>
        <v>22.052663623851217</v>
      </c>
      <c r="CL79">
        <f t="shared" si="179"/>
        <v>2.1603936612438588</v>
      </c>
      <c r="CM79">
        <f t="shared" si="180"/>
        <v>19.892269962607358</v>
      </c>
      <c r="CN79">
        <f t="shared" si="181"/>
        <v>24.213057285095076</v>
      </c>
      <c r="CO79">
        <f t="shared" si="182"/>
        <v>4.3207873224877176</v>
      </c>
      <c r="CP79">
        <f t="shared" si="183"/>
        <v>17.731876301363499</v>
      </c>
      <c r="CQ79">
        <f t="shared" si="184"/>
        <v>26.373450946338934</v>
      </c>
      <c r="CR79">
        <f t="shared" si="185"/>
        <v>6.4811809837315764</v>
      </c>
      <c r="CS79">
        <f t="shared" si="186"/>
        <v>15.57148264011964</v>
      </c>
      <c r="CT79">
        <f t="shared" si="187"/>
        <v>28.533844607582793</v>
      </c>
    </row>
    <row r="80" spans="1:98" x14ac:dyDescent="0.25">
      <c r="A80" s="7">
        <v>69</v>
      </c>
      <c r="B80" s="9">
        <f t="shared" si="146"/>
        <v>22.882264718911028</v>
      </c>
      <c r="C80">
        <v>0.22196111941892749</v>
      </c>
      <c r="D80">
        <v>-0.58531449324015017</v>
      </c>
      <c r="E80">
        <v>-0.24198126163518174</v>
      </c>
      <c r="F80">
        <v>0.58775597399822987</v>
      </c>
      <c r="G80">
        <v>0.64751121555223246</v>
      </c>
      <c r="H80">
        <v>-0.56254768517105624</v>
      </c>
      <c r="I80">
        <v>-0.68858912930692462</v>
      </c>
      <c r="J80">
        <v>0.50370799890133355</v>
      </c>
      <c r="K80">
        <v>0.84661397137363803</v>
      </c>
      <c r="L80">
        <v>-2.80465102084414E-2</v>
      </c>
      <c r="M80">
        <v>-0.60563982055116428</v>
      </c>
      <c r="N80">
        <v>-5.0508133182775361E-2</v>
      </c>
      <c r="O80">
        <v>-0.83599353007599109</v>
      </c>
      <c r="P80">
        <v>-0.15939817499313336</v>
      </c>
      <c r="Q80">
        <v>0.97033600878933068</v>
      </c>
      <c r="R80">
        <v>0.74242378002258369</v>
      </c>
      <c r="S80">
        <v>-0.97625659962767419</v>
      </c>
      <c r="T80">
        <v>-0.85668507950071715</v>
      </c>
      <c r="U80">
        <v>-0.3766899624622333</v>
      </c>
      <c r="V80">
        <v>-0.52110354930265212</v>
      </c>
      <c r="W80">
        <v>-0.40934476760155036</v>
      </c>
      <c r="X80">
        <v>0.52336191900387585</v>
      </c>
      <c r="Y80">
        <v>1.0406811731314969E-2</v>
      </c>
      <c r="Z80">
        <v>-0.57261879329813525</v>
      </c>
      <c r="AA80">
        <v>0.34177678762169261</v>
      </c>
      <c r="AC80" s="7">
        <v>69</v>
      </c>
      <c r="AD80">
        <f t="shared" si="121"/>
        <v>25.949491800554988</v>
      </c>
      <c r="AE80">
        <f t="shared" si="122"/>
        <v>14.793945153552921</v>
      </c>
      <c r="AF80">
        <f t="shared" si="123"/>
        <v>19.538384129009341</v>
      </c>
      <c r="AG80">
        <f t="shared" si="124"/>
        <v>31.004322516983493</v>
      </c>
      <c r="AH80">
        <f t="shared" si="125"/>
        <v>31.830065762667374</v>
      </c>
      <c r="AI80">
        <f t="shared" si="126"/>
        <v>15.108554173614298</v>
      </c>
      <c r="AJ80">
        <f t="shared" si="127"/>
        <v>13.366817909735628</v>
      </c>
      <c r="AK80">
        <f t="shared" si="128"/>
        <v>29.842883855791758</v>
      </c>
      <c r="AL80">
        <f t="shared" si="129"/>
        <v>34.581418640523168</v>
      </c>
      <c r="AM80">
        <f t="shared" si="130"/>
        <v>22.494696770604854</v>
      </c>
      <c r="AN80">
        <f t="shared" si="131"/>
        <v>14.513074366205901</v>
      </c>
      <c r="AO80">
        <f t="shared" si="132"/>
        <v>22.184305029632771</v>
      </c>
      <c r="AP80">
        <f t="shared" si="133"/>
        <v>11.329872109606338</v>
      </c>
      <c r="AQ80">
        <f t="shared" si="134"/>
        <v>20.679579850572459</v>
      </c>
      <c r="AR80">
        <f t="shared" si="135"/>
        <v>36.291103583323199</v>
      </c>
      <c r="AS80">
        <f t="shared" si="136"/>
        <v>33.141639559437991</v>
      </c>
      <c r="AT80">
        <f t="shared" si="137"/>
        <v>9.391610640166542</v>
      </c>
      <c r="AU80">
        <f t="shared" si="138"/>
        <v>11.043940587352164</v>
      </c>
      <c r="AV80">
        <f t="shared" si="139"/>
        <v>17.676877138994708</v>
      </c>
      <c r="AW80">
        <f t="shared" si="140"/>
        <v>15.681260673940503</v>
      </c>
      <c r="AX80">
        <f t="shared" si="141"/>
        <v>17.225628276440183</v>
      </c>
      <c r="AY80">
        <f t="shared" si="142"/>
        <v>30.114476629142331</v>
      </c>
      <c r="AZ80">
        <f t="shared" si="143"/>
        <v>23.026073935855973</v>
      </c>
      <c r="BA80">
        <f t="shared" si="144"/>
        <v>14.969383963667577</v>
      </c>
      <c r="BB80">
        <f t="shared" si="145"/>
        <v>27.605195571012047</v>
      </c>
      <c r="BC80" s="2">
        <f t="shared" si="147"/>
        <v>21.735384105135545</v>
      </c>
      <c r="BD80">
        <f t="shared" si="148"/>
        <v>66.659655219484264</v>
      </c>
      <c r="BE80">
        <f t="shared" si="149"/>
        <v>8.164536436288607</v>
      </c>
      <c r="BF80" s="12">
        <f t="shared" si="150"/>
        <v>22.741049827772084</v>
      </c>
      <c r="BG80">
        <f t="shared" si="151"/>
        <v>-1.0056657226365395</v>
      </c>
      <c r="BH80">
        <f t="shared" si="152"/>
        <v>1.0113635456860732</v>
      </c>
      <c r="BJ80" s="7">
        <v>68</v>
      </c>
      <c r="BK80">
        <f t="shared" si="153"/>
        <v>30.42917296328319</v>
      </c>
      <c r="BL80">
        <f t="shared" si="154"/>
        <v>133.45903239846595</v>
      </c>
      <c r="BM80">
        <f t="shared" si="155"/>
        <v>1.279538504781826</v>
      </c>
      <c r="BN80">
        <f t="shared" si="156"/>
        <v>4.7838822397468688</v>
      </c>
      <c r="BO80">
        <f t="shared" si="157"/>
        <v>178.7687005378487</v>
      </c>
      <c r="BP80">
        <f t="shared" si="158"/>
        <v>177.8797274414174</v>
      </c>
      <c r="BQ80">
        <f t="shared" si="159"/>
        <v>13.278062515546928</v>
      </c>
      <c r="BR80">
        <f t="shared" si="160"/>
        <v>127.14456749549025</v>
      </c>
      <c r="BS80">
        <f t="shared" si="161"/>
        <v>0.80191716252543166</v>
      </c>
      <c r="BT80">
        <f t="shared" si="162"/>
        <v>10.399850838041164</v>
      </c>
      <c r="BU80">
        <f t="shared" si="163"/>
        <v>6.9425364252806201</v>
      </c>
      <c r="BV80">
        <f t="shared" si="164"/>
        <v>44.922878522936799</v>
      </c>
      <c r="BW80">
        <f t="shared" si="165"/>
        <v>29.16292613426624</v>
      </c>
      <c r="BX80">
        <f t="shared" si="166"/>
        <v>45.484368986004434</v>
      </c>
      <c r="BY80">
        <f t="shared" si="167"/>
        <v>148.33707851573291</v>
      </c>
      <c r="BZ80">
        <f t="shared" si="168"/>
        <v>6.8802008594915405</v>
      </c>
      <c r="CA80">
        <f t="shared" si="169"/>
        <v>91.880960301052014</v>
      </c>
      <c r="CB80">
        <f t="shared" si="170"/>
        <v>37.763609833078178</v>
      </c>
      <c r="CC80">
        <f t="shared" si="171"/>
        <v>89.196819745722635</v>
      </c>
      <c r="CD80">
        <f t="shared" si="172"/>
        <v>26.261181836130827</v>
      </c>
      <c r="CE80">
        <f t="shared" si="173"/>
        <v>0.9376886670010911</v>
      </c>
      <c r="CF80">
        <f t="shared" si="174"/>
        <v>24.130049473428016</v>
      </c>
      <c r="CG80">
        <f t="shared" si="175"/>
        <v>97.041840828417619</v>
      </c>
      <c r="CH80">
        <f t="shared" si="176"/>
        <v>91.009066966310002</v>
      </c>
      <c r="CI80">
        <f t="shared" si="177"/>
        <v>88.241417726926969</v>
      </c>
      <c r="CJ80" s="7">
        <v>68</v>
      </c>
      <c r="CK80" s="13">
        <f t="shared" si="178"/>
        <v>22.337270237473078</v>
      </c>
      <c r="CL80">
        <f t="shared" si="179"/>
        <v>2.2044840303986692</v>
      </c>
      <c r="CM80">
        <f t="shared" si="180"/>
        <v>20.13278620707441</v>
      </c>
      <c r="CN80">
        <f t="shared" si="181"/>
        <v>24.541754267871745</v>
      </c>
      <c r="CO80">
        <f t="shared" si="182"/>
        <v>4.4089680607973385</v>
      </c>
      <c r="CP80">
        <f t="shared" si="183"/>
        <v>17.928302176675739</v>
      </c>
      <c r="CQ80">
        <f t="shared" si="184"/>
        <v>26.746238298270416</v>
      </c>
      <c r="CR80">
        <f t="shared" si="185"/>
        <v>6.6134520911960077</v>
      </c>
      <c r="CS80">
        <f t="shared" si="186"/>
        <v>15.72381814627707</v>
      </c>
      <c r="CT80">
        <f t="shared" si="187"/>
        <v>28.950722328669087</v>
      </c>
    </row>
    <row r="81" spans="1:98" x14ac:dyDescent="0.25">
      <c r="A81" s="7">
        <v>70</v>
      </c>
      <c r="B81" s="9">
        <f t="shared" si="146"/>
        <v>23.173849118960788</v>
      </c>
      <c r="C81">
        <v>0.70293282876064334</v>
      </c>
      <c r="D81">
        <v>-0.49485763115329451</v>
      </c>
      <c r="E81">
        <v>0.846858119449446</v>
      </c>
      <c r="F81">
        <v>0.36063722647785879</v>
      </c>
      <c r="G81">
        <v>-0.14969328897976619</v>
      </c>
      <c r="H81">
        <v>0.34568315683462014</v>
      </c>
      <c r="I81">
        <v>-0.20645771660512102</v>
      </c>
      <c r="J81">
        <v>0.16653950621051661</v>
      </c>
      <c r="K81">
        <v>-0.65788750877407143</v>
      </c>
      <c r="L81">
        <v>0.59849848933378103</v>
      </c>
      <c r="M81">
        <v>0.47904904324472786</v>
      </c>
      <c r="N81">
        <v>0.89165929136020994</v>
      </c>
      <c r="O81">
        <v>-0.5178075502792443</v>
      </c>
      <c r="P81">
        <v>-0.7483443708609272</v>
      </c>
      <c r="Q81">
        <v>-0.75914792321543012</v>
      </c>
      <c r="R81">
        <v>0.61809137241737111</v>
      </c>
      <c r="S81">
        <v>-0.25998718222602013</v>
      </c>
      <c r="T81">
        <v>-0.2508316293832209</v>
      </c>
      <c r="U81">
        <v>-0.81066316721091347</v>
      </c>
      <c r="V81">
        <v>0.68767357402264473</v>
      </c>
      <c r="W81">
        <v>-0.92870876186407059</v>
      </c>
      <c r="X81">
        <v>-0.72063356425672165</v>
      </c>
      <c r="Y81">
        <v>-0.40745262001403848</v>
      </c>
      <c r="Z81">
        <v>-0.20291756950590534</v>
      </c>
      <c r="AA81">
        <v>0.88335825678273872</v>
      </c>
      <c r="AC81" s="7">
        <v>70</v>
      </c>
      <c r="AD81">
        <f t="shared" si="121"/>
        <v>32.887508045333036</v>
      </c>
      <c r="AE81">
        <f t="shared" si="122"/>
        <v>16.3355310756696</v>
      </c>
      <c r="AF81">
        <f t="shared" si="123"/>
        <v>34.876376863844364</v>
      </c>
      <c r="AG81">
        <f t="shared" si="124"/>
        <v>28.157407818780214</v>
      </c>
      <c r="AH81">
        <f t="shared" si="125"/>
        <v>21.105273725661789</v>
      </c>
      <c r="AI81">
        <f t="shared" si="126"/>
        <v>27.950761143404776</v>
      </c>
      <c r="AJ81">
        <f t="shared" si="127"/>
        <v>20.320859815052994</v>
      </c>
      <c r="AK81">
        <f t="shared" si="128"/>
        <v>25.475218317988848</v>
      </c>
      <c r="AL81">
        <f t="shared" si="129"/>
        <v>14.082660586168426</v>
      </c>
      <c r="AM81">
        <f t="shared" si="130"/>
        <v>31.444355140976423</v>
      </c>
      <c r="AN81">
        <f t="shared" si="131"/>
        <v>29.793712105426515</v>
      </c>
      <c r="AO81">
        <f t="shared" si="132"/>
        <v>35.495473434152814</v>
      </c>
      <c r="AP81">
        <f t="shared" si="133"/>
        <v>16.018391688154647</v>
      </c>
      <c r="AQ81">
        <f t="shared" si="134"/>
        <v>12.832659064101506</v>
      </c>
      <c r="AR81">
        <f t="shared" si="135"/>
        <v>12.683367384340478</v>
      </c>
      <c r="AS81">
        <f t="shared" si="136"/>
        <v>31.715104458509135</v>
      </c>
      <c r="AT81">
        <f t="shared" si="137"/>
        <v>19.581149062790722</v>
      </c>
      <c r="AU81">
        <f t="shared" si="138"/>
        <v>19.70766743546956</v>
      </c>
      <c r="AV81">
        <f t="shared" si="139"/>
        <v>11.97149067406755</v>
      </c>
      <c r="AW81">
        <f t="shared" si="140"/>
        <v>32.676644090868308</v>
      </c>
      <c r="AX81">
        <f t="shared" si="141"/>
        <v>10.3402471223284</v>
      </c>
      <c r="AY81">
        <f t="shared" si="142"/>
        <v>13.215588005409456</v>
      </c>
      <c r="AZ81">
        <f t="shared" si="143"/>
        <v>17.543359806843572</v>
      </c>
      <c r="BA81">
        <f t="shared" si="144"/>
        <v>20.369780252488809</v>
      </c>
      <c r="BB81">
        <f t="shared" si="145"/>
        <v>35.380763442924</v>
      </c>
      <c r="BC81" s="2">
        <f t="shared" si="147"/>
        <v>22.878454022430237</v>
      </c>
      <c r="BD81">
        <f t="shared" si="148"/>
        <v>71.760633911289233</v>
      </c>
      <c r="BE81">
        <f t="shared" si="149"/>
        <v>8.4711648497293002</v>
      </c>
      <c r="BF81" s="12">
        <f t="shared" si="150"/>
        <v>23.029152046069495</v>
      </c>
      <c r="BG81">
        <f t="shared" si="151"/>
        <v>-0.15069802363925788</v>
      </c>
      <c r="BH81">
        <f t="shared" si="152"/>
        <v>2.2709894328778329E-2</v>
      </c>
      <c r="BJ81" s="7">
        <v>69</v>
      </c>
      <c r="BK81">
        <f t="shared" si="153"/>
        <v>4.7154589918998893</v>
      </c>
      <c r="BL81">
        <f t="shared" si="154"/>
        <v>90.124306727301004</v>
      </c>
      <c r="BM81">
        <f t="shared" si="155"/>
        <v>3.1178996022331469</v>
      </c>
      <c r="BN81">
        <f t="shared" si="156"/>
        <v>211.43379561503022</v>
      </c>
      <c r="BO81">
        <f t="shared" si="157"/>
        <v>115.96220622937042</v>
      </c>
      <c r="BP81">
        <f t="shared" si="158"/>
        <v>40.24471399202077</v>
      </c>
      <c r="BQ81">
        <f t="shared" si="159"/>
        <v>52.240550867596106</v>
      </c>
      <c r="BR81">
        <f t="shared" si="160"/>
        <v>71.055352238969988</v>
      </c>
      <c r="BS81">
        <f t="shared" si="161"/>
        <v>100.18915833850602</v>
      </c>
      <c r="BT81">
        <f t="shared" si="162"/>
        <v>4.4897856796640223</v>
      </c>
      <c r="BU81">
        <f t="shared" si="163"/>
        <v>109.32270756510589</v>
      </c>
      <c r="BV81">
        <f t="shared" si="164"/>
        <v>0.81336043024053195</v>
      </c>
      <c r="BW81">
        <f t="shared" si="165"/>
        <v>141.83967786184778</v>
      </c>
      <c r="BX81">
        <f t="shared" si="166"/>
        <v>19.98844218167941</v>
      </c>
      <c r="BY81">
        <f t="shared" si="167"/>
        <v>197.94810205236462</v>
      </c>
      <c r="BZ81">
        <f t="shared" si="168"/>
        <v>193.00765839393682</v>
      </c>
      <c r="CA81">
        <f t="shared" si="169"/>
        <v>103.31051519119281</v>
      </c>
      <c r="CB81">
        <f t="shared" si="170"/>
        <v>202.02052025079885</v>
      </c>
      <c r="CC81">
        <f t="shared" si="171"/>
        <v>45.515821986800432</v>
      </c>
      <c r="CD81">
        <f t="shared" si="172"/>
        <v>48.821741162983777</v>
      </c>
      <c r="CE81">
        <f t="shared" si="173"/>
        <v>63.819617067810455</v>
      </c>
      <c r="CF81">
        <f t="shared" si="174"/>
        <v>34.411402908767379</v>
      </c>
      <c r="CG81">
        <f t="shared" si="175"/>
        <v>1.072632585740702</v>
      </c>
      <c r="CH81">
        <f t="shared" si="176"/>
        <v>93.980091711545043</v>
      </c>
      <c r="CI81">
        <f t="shared" si="177"/>
        <v>28.834381583588126</v>
      </c>
      <c r="CJ81" s="7">
        <v>69</v>
      </c>
      <c r="CK81" s="13">
        <f t="shared" si="178"/>
        <v>22.621876851094939</v>
      </c>
      <c r="CL81">
        <f t="shared" si="179"/>
        <v>2.2488889289036114</v>
      </c>
      <c r="CM81">
        <f t="shared" si="180"/>
        <v>20.372987922191328</v>
      </c>
      <c r="CN81">
        <f t="shared" si="181"/>
        <v>24.87076577999855</v>
      </c>
      <c r="CO81">
        <f t="shared" si="182"/>
        <v>4.4977778578072227</v>
      </c>
      <c r="CP81">
        <f t="shared" si="183"/>
        <v>18.124098993287717</v>
      </c>
      <c r="CQ81">
        <f t="shared" si="184"/>
        <v>27.119654708902161</v>
      </c>
      <c r="CR81">
        <f t="shared" si="185"/>
        <v>6.7466667867108345</v>
      </c>
      <c r="CS81">
        <f t="shared" si="186"/>
        <v>15.875210064384104</v>
      </c>
      <c r="CT81">
        <f t="shared" si="187"/>
        <v>29.368543637805772</v>
      </c>
    </row>
    <row r="82" spans="1:98" x14ac:dyDescent="0.25">
      <c r="A82" s="7">
        <v>71</v>
      </c>
      <c r="B82" s="9">
        <f t="shared" si="146"/>
        <v>23.465433519010549</v>
      </c>
      <c r="C82">
        <v>0.12961210974456017</v>
      </c>
      <c r="D82">
        <v>-0.93774224066896572</v>
      </c>
      <c r="E82">
        <v>0.69035920285653241</v>
      </c>
      <c r="F82">
        <v>0.20664082766197689</v>
      </c>
      <c r="G82">
        <v>0.41978209784234144</v>
      </c>
      <c r="H82">
        <v>0.60277108066042051</v>
      </c>
      <c r="I82">
        <v>-0.73839533677175206</v>
      </c>
      <c r="J82">
        <v>-0.36289559617908262</v>
      </c>
      <c r="K82">
        <v>0.52757347331156357</v>
      </c>
      <c r="L82">
        <v>-0.4141056550798059</v>
      </c>
      <c r="M82">
        <v>0.88079470198675502</v>
      </c>
      <c r="N82">
        <v>-0.39072847682119205</v>
      </c>
      <c r="O82">
        <v>0.51738029114658035</v>
      </c>
      <c r="P82">
        <v>0.71428571428571419</v>
      </c>
      <c r="Q82">
        <v>-0.24637592699972533</v>
      </c>
      <c r="R82">
        <v>-0.43522446363719591</v>
      </c>
      <c r="S82">
        <v>0.88549455244605846</v>
      </c>
      <c r="T82">
        <v>-0.96520889919736319</v>
      </c>
      <c r="U82">
        <v>0.13064973906674404</v>
      </c>
      <c r="V82">
        <v>-0.42240668965727712</v>
      </c>
      <c r="W82">
        <v>-6.5462202826014004E-2</v>
      </c>
      <c r="X82">
        <v>-0.9336527603991821</v>
      </c>
      <c r="Y82">
        <v>-0.8248237556077761</v>
      </c>
      <c r="Z82">
        <v>0.99871822260200815</v>
      </c>
      <c r="AA82">
        <v>8.92056031983397E-2</v>
      </c>
      <c r="AC82" s="7">
        <v>71</v>
      </c>
      <c r="AD82">
        <f t="shared" si="121"/>
        <v>25.256511948233964</v>
      </c>
      <c r="AE82">
        <f t="shared" si="122"/>
        <v>10.507000061335042</v>
      </c>
      <c r="AF82">
        <f t="shared" si="123"/>
        <v>33.005340546903852</v>
      </c>
      <c r="AG82">
        <f t="shared" si="124"/>
        <v>26.32095319037192</v>
      </c>
      <c r="AH82">
        <f t="shared" si="125"/>
        <v>29.266300906335267</v>
      </c>
      <c r="AI82">
        <f t="shared" si="126"/>
        <v>31.794981448276307</v>
      </c>
      <c r="AJ82">
        <f t="shared" si="127"/>
        <v>13.261726762462272</v>
      </c>
      <c r="AK82">
        <f t="shared" si="128"/>
        <v>18.450666953930345</v>
      </c>
      <c r="AL82">
        <f t="shared" si="129"/>
        <v>30.755843880674121</v>
      </c>
      <c r="AM82">
        <f t="shared" si="130"/>
        <v>17.743007522746709</v>
      </c>
      <c r="AN82">
        <f t="shared" si="131"/>
        <v>35.636922698623685</v>
      </c>
      <c r="AO82">
        <f t="shared" si="132"/>
        <v>18.066051100986677</v>
      </c>
      <c r="AP82">
        <f t="shared" si="133"/>
        <v>30.614986759091678</v>
      </c>
      <c r="AQ82">
        <f t="shared" si="134"/>
        <v>33.335975227504548</v>
      </c>
      <c r="AR82">
        <f t="shared" si="135"/>
        <v>20.06082411022302</v>
      </c>
      <c r="AS82">
        <f t="shared" si="136"/>
        <v>17.451171809767523</v>
      </c>
      <c r="AT82">
        <f t="shared" si="137"/>
        <v>35.701868796598824</v>
      </c>
      <c r="AU82">
        <f t="shared" si="138"/>
        <v>10.127444943298528</v>
      </c>
      <c r="AV82">
        <f t="shared" si="139"/>
        <v>25.270850697137568</v>
      </c>
      <c r="AW82">
        <f t="shared" si="140"/>
        <v>17.628297531517898</v>
      </c>
      <c r="AX82">
        <f t="shared" si="141"/>
        <v>22.560827154356858</v>
      </c>
      <c r="AY82">
        <f t="shared" si="142"/>
        <v>10.563511601131589</v>
      </c>
      <c r="AZ82">
        <f t="shared" si="143"/>
        <v>12.067393324374041</v>
      </c>
      <c r="BA82">
        <f t="shared" si="144"/>
        <v>37.266479338727116</v>
      </c>
      <c r="BB82">
        <f t="shared" si="145"/>
        <v>24.698144196811359</v>
      </c>
      <c r="BC82" s="2">
        <f t="shared" si="147"/>
        <v>23.496523300456825</v>
      </c>
      <c r="BD82">
        <f t="shared" si="148"/>
        <v>75.675430636010404</v>
      </c>
      <c r="BE82">
        <f t="shared" si="149"/>
        <v>8.6991626399332489</v>
      </c>
      <c r="BF82" s="12">
        <f t="shared" si="150"/>
        <v>23.317254264366902</v>
      </c>
      <c r="BG82">
        <f t="shared" si="151"/>
        <v>0.17926903608992362</v>
      </c>
      <c r="BH82">
        <f t="shared" si="152"/>
        <v>3.2137387300610339E-2</v>
      </c>
      <c r="BJ82" s="7">
        <v>70</v>
      </c>
      <c r="BK82">
        <f t="shared" si="153"/>
        <v>77.11209715917623</v>
      </c>
      <c r="BL82">
        <f t="shared" si="154"/>
        <v>68.216467977294698</v>
      </c>
      <c r="BM82">
        <f t="shared" si="155"/>
        <v>176.31768039689518</v>
      </c>
      <c r="BN82">
        <f t="shared" si="156"/>
        <v>133.83540951264015</v>
      </c>
      <c r="BO82">
        <f t="shared" si="157"/>
        <v>3.8146932962821511E-2</v>
      </c>
      <c r="BP82">
        <f t="shared" si="158"/>
        <v>38.903721848720679</v>
      </c>
      <c r="BQ82">
        <f t="shared" si="159"/>
        <v>0.29657463794286149</v>
      </c>
      <c r="BR82">
        <f t="shared" si="160"/>
        <v>14.414080106166086</v>
      </c>
      <c r="BS82">
        <f t="shared" si="161"/>
        <v>117.62313591732403</v>
      </c>
      <c r="BT82">
        <f t="shared" si="162"/>
        <v>117.28727910678801</v>
      </c>
      <c r="BU82">
        <f t="shared" si="163"/>
        <v>20.509375380173399</v>
      </c>
      <c r="BV82">
        <f t="shared" si="164"/>
        <v>146.61779573917531</v>
      </c>
      <c r="BW82">
        <f t="shared" si="165"/>
        <v>57.122327929149229</v>
      </c>
      <c r="BX82">
        <f t="shared" si="166"/>
        <v>159.01056579531809</v>
      </c>
      <c r="BY82">
        <f t="shared" si="167"/>
        <v>96.817925088531979</v>
      </c>
      <c r="BZ82">
        <f t="shared" si="168"/>
        <v>150.9655694389279</v>
      </c>
      <c r="CA82">
        <f t="shared" si="169"/>
        <v>5.3321552015490263E-2</v>
      </c>
      <c r="CB82">
        <f t="shared" si="170"/>
        <v>34.75504002696816</v>
      </c>
      <c r="CC82">
        <f t="shared" si="171"/>
        <v>162.65442057049282</v>
      </c>
      <c r="CD82">
        <f t="shared" si="172"/>
        <v>94.273556580708089</v>
      </c>
      <c r="CE82">
        <f t="shared" si="173"/>
        <v>231.39041253207884</v>
      </c>
      <c r="CF82">
        <f t="shared" si="174"/>
        <v>128.97156659146287</v>
      </c>
      <c r="CG82">
        <f t="shared" si="175"/>
        <v>46.0227701935545</v>
      </c>
      <c r="CH82">
        <f t="shared" si="176"/>
        <v>21.252238648299407</v>
      </c>
      <c r="CI82">
        <f t="shared" si="177"/>
        <v>165.57119662766681</v>
      </c>
      <c r="CJ82" s="7">
        <v>70</v>
      </c>
      <c r="CK82" s="13">
        <f t="shared" si="178"/>
        <v>22.9064834647168</v>
      </c>
      <c r="CL82">
        <f t="shared" si="179"/>
        <v>2.293590088557687</v>
      </c>
      <c r="CM82">
        <f t="shared" si="180"/>
        <v>20.612893376159114</v>
      </c>
      <c r="CN82">
        <f t="shared" si="181"/>
        <v>25.200073553274486</v>
      </c>
      <c r="CO82">
        <f t="shared" si="182"/>
        <v>4.587180177115374</v>
      </c>
      <c r="CP82">
        <f t="shared" si="183"/>
        <v>18.319303287601425</v>
      </c>
      <c r="CQ82">
        <f t="shared" si="184"/>
        <v>27.493663641832175</v>
      </c>
      <c r="CR82">
        <f t="shared" si="185"/>
        <v>6.8807702656730605</v>
      </c>
      <c r="CS82">
        <f t="shared" si="186"/>
        <v>16.025713199043739</v>
      </c>
      <c r="CT82">
        <f t="shared" si="187"/>
        <v>29.78725373038986</v>
      </c>
    </row>
    <row r="83" spans="1:98" x14ac:dyDescent="0.25">
      <c r="A83" s="7">
        <v>72</v>
      </c>
      <c r="B83" s="9">
        <f t="shared" si="146"/>
        <v>23.757017919060306</v>
      </c>
      <c r="C83">
        <v>-0.89745780816064946</v>
      </c>
      <c r="D83">
        <v>0.304422132023072</v>
      </c>
      <c r="E83">
        <v>-0.3171178319650868</v>
      </c>
      <c r="F83">
        <v>0.46562089907528925</v>
      </c>
      <c r="G83">
        <v>0.75292214728232665</v>
      </c>
      <c r="H83">
        <v>0.81572923978392886</v>
      </c>
      <c r="I83">
        <v>0.36020996734519484</v>
      </c>
      <c r="J83">
        <v>7.415997802667329E-3</v>
      </c>
      <c r="K83">
        <v>0.78490554521317168</v>
      </c>
      <c r="L83">
        <v>0.61033967101046782</v>
      </c>
      <c r="M83">
        <v>-0.28574480422376169</v>
      </c>
      <c r="N83">
        <v>0.5008392590105899</v>
      </c>
      <c r="O83">
        <v>-0.67046113467818236</v>
      </c>
      <c r="P83">
        <v>-0.17221594897305215</v>
      </c>
      <c r="Q83">
        <v>0.73015533921323272</v>
      </c>
      <c r="R83">
        <v>-0.21945860164189579</v>
      </c>
      <c r="S83">
        <v>-0.48771629993591115</v>
      </c>
      <c r="T83">
        <v>0.20218512527848143</v>
      </c>
      <c r="U83">
        <v>-0.12570574053163242</v>
      </c>
      <c r="V83">
        <v>0.44035157322916341</v>
      </c>
      <c r="W83">
        <v>0.57231360820337529</v>
      </c>
      <c r="X83">
        <v>-4.5686208685567831E-2</v>
      </c>
      <c r="Y83">
        <v>-0.33097323526718958</v>
      </c>
      <c r="Z83">
        <v>0.3596606341746269</v>
      </c>
      <c r="AA83">
        <v>-0.46714682454908907</v>
      </c>
      <c r="AC83" s="7">
        <v>72</v>
      </c>
      <c r="AD83">
        <f t="shared" si="121"/>
        <v>11.355265301171684</v>
      </c>
      <c r="AE83">
        <f t="shared" si="122"/>
        <v>27.963753810631665</v>
      </c>
      <c r="AF83">
        <f t="shared" si="123"/>
        <v>19.374843217374291</v>
      </c>
      <c r="AG83">
        <f t="shared" si="124"/>
        <v>30.191320625597076</v>
      </c>
      <c r="AH83">
        <f t="shared" si="125"/>
        <v>34.161467160259008</v>
      </c>
      <c r="AI83">
        <f t="shared" si="126"/>
        <v>35.029383196835838</v>
      </c>
      <c r="AJ83">
        <f t="shared" si="127"/>
        <v>28.734672428154717</v>
      </c>
      <c r="AK83">
        <f t="shared" si="128"/>
        <v>23.859497800930164</v>
      </c>
      <c r="AL83">
        <f t="shared" si="129"/>
        <v>34.603438008817079</v>
      </c>
      <c r="AM83">
        <f t="shared" si="130"/>
        <v>32.191154369740573</v>
      </c>
      <c r="AN83">
        <f t="shared" si="131"/>
        <v>19.808379507753777</v>
      </c>
      <c r="AO83">
        <f t="shared" si="132"/>
        <v>30.677994632501669</v>
      </c>
      <c r="AP83">
        <f t="shared" si="133"/>
        <v>14.492077487789006</v>
      </c>
      <c r="AQ83">
        <f t="shared" si="134"/>
        <v>21.377207328971366</v>
      </c>
      <c r="AR83">
        <f t="shared" si="135"/>
        <v>33.846858140197625</v>
      </c>
      <c r="AS83">
        <f t="shared" si="136"/>
        <v>20.72437252594856</v>
      </c>
      <c r="AT83">
        <f t="shared" si="137"/>
        <v>17.017384206458612</v>
      </c>
      <c r="AU83">
        <f t="shared" si="138"/>
        <v>26.550965315717978</v>
      </c>
      <c r="AV83">
        <f t="shared" si="139"/>
        <v>22.019920662179864</v>
      </c>
      <c r="AW83">
        <f t="shared" si="140"/>
        <v>29.842129917003479</v>
      </c>
      <c r="AX83">
        <f t="shared" si="141"/>
        <v>31.665681395214463</v>
      </c>
      <c r="AY83">
        <f t="shared" si="142"/>
        <v>23.125691239392903</v>
      </c>
      <c r="AZ83">
        <f t="shared" si="143"/>
        <v>19.183378746720315</v>
      </c>
      <c r="BA83">
        <f t="shared" si="144"/>
        <v>28.727081325793989</v>
      </c>
      <c r="BB83">
        <f t="shared" si="145"/>
        <v>17.301628817077066</v>
      </c>
      <c r="BC83" s="2">
        <f t="shared" si="147"/>
        <v>25.353021886729312</v>
      </c>
      <c r="BD83">
        <f t="shared" si="148"/>
        <v>46.95071595381993</v>
      </c>
      <c r="BE83">
        <f t="shared" si="149"/>
        <v>6.8520592491469259</v>
      </c>
      <c r="BF83" s="12">
        <f t="shared" si="150"/>
        <v>23.605356482664313</v>
      </c>
      <c r="BG83">
        <f t="shared" si="151"/>
        <v>1.7476654040649997</v>
      </c>
      <c r="BH83">
        <f t="shared" si="152"/>
        <v>3.0543343645656789</v>
      </c>
      <c r="BJ83" s="7">
        <v>71</v>
      </c>
      <c r="BK83">
        <f t="shared" si="153"/>
        <v>0.67597285084089087</v>
      </c>
      <c r="BL83">
        <f t="shared" si="154"/>
        <v>207.22716455766306</v>
      </c>
      <c r="BM83">
        <f t="shared" si="155"/>
        <v>123.51348418755836</v>
      </c>
      <c r="BN83">
        <f t="shared" si="156"/>
        <v>92.297289112951319</v>
      </c>
      <c r="BO83">
        <f t="shared" si="157"/>
        <v>59.700648609245675</v>
      </c>
      <c r="BP83">
        <f t="shared" si="158"/>
        <v>96.441338832270603</v>
      </c>
      <c r="BQ83">
        <f t="shared" si="159"/>
        <v>62.009101274966831</v>
      </c>
      <c r="BR83">
        <f t="shared" si="160"/>
        <v>12.202052203247181</v>
      </c>
      <c r="BS83">
        <f t="shared" si="161"/>
        <v>29.938929795656346</v>
      </c>
      <c r="BT83">
        <f t="shared" si="162"/>
        <v>9.6725173261326383</v>
      </c>
      <c r="BU83">
        <f t="shared" si="163"/>
        <v>101.52131050120835</v>
      </c>
      <c r="BV83">
        <f t="shared" si="164"/>
        <v>31.601921675052218</v>
      </c>
      <c r="BW83">
        <f t="shared" si="165"/>
        <v>44.914914005029999</v>
      </c>
      <c r="BX83">
        <f t="shared" si="166"/>
        <v>57.778274592933023</v>
      </c>
      <c r="BY83">
        <f t="shared" si="167"/>
        <v>7.6365461074080896</v>
      </c>
      <c r="BZ83">
        <f t="shared" si="168"/>
        <v>4.6505258497573658</v>
      </c>
      <c r="CA83">
        <f t="shared" si="169"/>
        <v>244.40726499478407</v>
      </c>
      <c r="CB83">
        <f t="shared" si="170"/>
        <v>250.31157583118511</v>
      </c>
      <c r="CC83">
        <f t="shared" si="171"/>
        <v>5.9574818776071903E-2</v>
      </c>
      <c r="CD83">
        <f t="shared" si="172"/>
        <v>31.782085156353499</v>
      </c>
      <c r="CE83">
        <f t="shared" si="173"/>
        <v>11.078016393788383</v>
      </c>
      <c r="CF83">
        <f t="shared" si="174"/>
        <v>205.41886308527458</v>
      </c>
      <c r="CG83">
        <f t="shared" si="175"/>
        <v>156.89039022677937</v>
      </c>
      <c r="CH83">
        <f t="shared" si="176"/>
        <v>143.2954006044871</v>
      </c>
      <c r="CI83">
        <f t="shared" si="177"/>
        <v>3.6364266968409917</v>
      </c>
      <c r="CJ83" s="7">
        <v>71</v>
      </c>
      <c r="CK83" s="13">
        <f t="shared" si="178"/>
        <v>23.191090078338661</v>
      </c>
      <c r="CL83">
        <f t="shared" si="179"/>
        <v>2.3385705205610616</v>
      </c>
      <c r="CM83">
        <f t="shared" si="180"/>
        <v>20.852519557777597</v>
      </c>
      <c r="CN83">
        <f t="shared" si="181"/>
        <v>25.529660598899724</v>
      </c>
      <c r="CO83">
        <f t="shared" si="182"/>
        <v>4.6771410411221233</v>
      </c>
      <c r="CP83">
        <f t="shared" si="183"/>
        <v>18.513949037216538</v>
      </c>
      <c r="CQ83">
        <f t="shared" si="184"/>
        <v>27.868231119460784</v>
      </c>
      <c r="CR83">
        <f t="shared" si="185"/>
        <v>7.0157115616831849</v>
      </c>
      <c r="CS83">
        <f t="shared" si="186"/>
        <v>16.175378516655478</v>
      </c>
      <c r="CT83">
        <f t="shared" si="187"/>
        <v>30.206801640021844</v>
      </c>
    </row>
    <row r="84" spans="1:98" x14ac:dyDescent="0.25">
      <c r="A84" s="7">
        <v>73</v>
      </c>
      <c r="B84" s="9">
        <f t="shared" si="146"/>
        <v>24.048602319110067</v>
      </c>
      <c r="C84">
        <v>-0.96899319437238685</v>
      </c>
      <c r="D84">
        <v>0.22409741508224745</v>
      </c>
      <c r="E84">
        <v>0.35862300485244303</v>
      </c>
      <c r="F84">
        <v>-0.51536606952116459</v>
      </c>
      <c r="G84">
        <v>0.50486770226142164</v>
      </c>
      <c r="H84">
        <v>0.28751487777336959</v>
      </c>
      <c r="I84">
        <v>-0.70427564317758717</v>
      </c>
      <c r="J84">
        <v>-0.4548783837397381</v>
      </c>
      <c r="K84">
        <v>0.94647053437910089</v>
      </c>
      <c r="L84">
        <v>-0.62120426038392285</v>
      </c>
      <c r="M84">
        <v>-8.1942197943052464E-2</v>
      </c>
      <c r="N84">
        <v>0.55589465010528882</v>
      </c>
      <c r="O84">
        <v>-0.41801202429273354</v>
      </c>
      <c r="P84">
        <v>-0.43345439008758813</v>
      </c>
      <c r="Q84">
        <v>-0.22122867519150369</v>
      </c>
      <c r="R84">
        <v>-0.41904965361491742</v>
      </c>
      <c r="S84">
        <v>-0.95171971800897248</v>
      </c>
      <c r="T84">
        <v>0.45292519913327434</v>
      </c>
      <c r="U84">
        <v>0.53324991607409888</v>
      </c>
      <c r="V84">
        <v>-0.73143711661122468</v>
      </c>
      <c r="W84">
        <v>-0.44175542466505935</v>
      </c>
      <c r="X84">
        <v>-7.2237311929685299E-2</v>
      </c>
      <c r="Y84">
        <v>-7.3397015289773271E-2</v>
      </c>
      <c r="Z84">
        <v>-0.86181218909268464</v>
      </c>
      <c r="AA84">
        <v>-0.71160008545182651</v>
      </c>
      <c r="AC84" s="7">
        <v>73</v>
      </c>
      <c r="AD84">
        <f t="shared" si="121"/>
        <v>10.658319482690793</v>
      </c>
      <c r="AE84">
        <f t="shared" si="122"/>
        <v>27.14535035437909</v>
      </c>
      <c r="AF84">
        <f t="shared" si="123"/>
        <v>29.004326976940149</v>
      </c>
      <c r="AG84">
        <f t="shared" si="124"/>
        <v>16.926883121018282</v>
      </c>
      <c r="AH84">
        <f t="shared" si="125"/>
        <v>31.025247116530121</v>
      </c>
      <c r="AI84">
        <f t="shared" si="126"/>
        <v>28.021700949134509</v>
      </c>
      <c r="AJ84">
        <f t="shared" si="127"/>
        <v>14.316387364744926</v>
      </c>
      <c r="AK84">
        <f t="shared" si="128"/>
        <v>17.762747836516471</v>
      </c>
      <c r="AL84">
        <f t="shared" si="129"/>
        <v>37.127649958739397</v>
      </c>
      <c r="AM84">
        <f t="shared" si="130"/>
        <v>15.464330732850915</v>
      </c>
      <c r="AN84">
        <f t="shared" si="131"/>
        <v>22.916262883634467</v>
      </c>
      <c r="AO84">
        <f t="shared" si="132"/>
        <v>31.730376180260176</v>
      </c>
      <c r="AP84">
        <f t="shared" si="133"/>
        <v>18.272195150503258</v>
      </c>
      <c r="AQ84">
        <f t="shared" si="134"/>
        <v>18.05880082858495</v>
      </c>
      <c r="AR84">
        <f t="shared" si="135"/>
        <v>20.991496707280412</v>
      </c>
      <c r="AS84">
        <f t="shared" si="136"/>
        <v>18.257856401599657</v>
      </c>
      <c r="AT84">
        <f t="shared" si="137"/>
        <v>10.897017479144866</v>
      </c>
      <c r="AU84">
        <f t="shared" si="138"/>
        <v>30.30746621553218</v>
      </c>
      <c r="AV84">
        <f t="shared" si="139"/>
        <v>31.417454071834516</v>
      </c>
      <c r="AW84">
        <f t="shared" si="140"/>
        <v>13.941049525797707</v>
      </c>
      <c r="AX84">
        <f t="shared" si="141"/>
        <v>17.944090837356139</v>
      </c>
      <c r="AY84">
        <f t="shared" si="142"/>
        <v>23.050372358674036</v>
      </c>
      <c r="AZ84">
        <f t="shared" si="143"/>
        <v>23.034346698134716</v>
      </c>
      <c r="BA84">
        <f t="shared" si="144"/>
        <v>12.139427898851055</v>
      </c>
      <c r="BB84">
        <f t="shared" si="145"/>
        <v>14.215172666601855</v>
      </c>
      <c r="BC84" s="2">
        <f t="shared" si="147"/>
        <v>21.385053191893384</v>
      </c>
      <c r="BD84">
        <f t="shared" si="148"/>
        <v>56.211407524179627</v>
      </c>
      <c r="BE84">
        <f t="shared" si="149"/>
        <v>7.4974267268296542</v>
      </c>
      <c r="BF84" s="12">
        <f t="shared" si="150"/>
        <v>23.893458700961723</v>
      </c>
      <c r="BG84">
        <f t="shared" si="151"/>
        <v>-2.5084055090683393</v>
      </c>
      <c r="BH84">
        <f t="shared" si="152"/>
        <v>6.2920981979243944</v>
      </c>
      <c r="BJ84" s="7">
        <v>72</v>
      </c>
      <c r="BK84">
        <f t="shared" si="153"/>
        <v>179.75431449404579</v>
      </c>
      <c r="BL84">
        <f t="shared" si="154"/>
        <v>7.583618477013724</v>
      </c>
      <c r="BM84">
        <f t="shared" si="155"/>
        <v>7.8994931818458713</v>
      </c>
      <c r="BN84">
        <f t="shared" si="156"/>
        <v>178.28637742920191</v>
      </c>
      <c r="BO84">
        <f t="shared" si="157"/>
        <v>153.33102239150998</v>
      </c>
      <c r="BP84">
        <f t="shared" si="158"/>
        <v>163.68149440151225</v>
      </c>
      <c r="BQ84">
        <f t="shared" si="159"/>
        <v>53.692165633212589</v>
      </c>
      <c r="BR84">
        <f t="shared" si="160"/>
        <v>2.72417354603013</v>
      </c>
      <c r="BS84">
        <f t="shared" si="161"/>
        <v>80.337636729214509</v>
      </c>
      <c r="BT84">
        <f t="shared" si="162"/>
        <v>123.19745980425762</v>
      </c>
      <c r="BU84">
        <f t="shared" si="163"/>
        <v>36.589490738837334</v>
      </c>
      <c r="BV84">
        <f t="shared" si="164"/>
        <v>44.751617877962062</v>
      </c>
      <c r="BW84">
        <f t="shared" si="165"/>
        <v>95.215732083085371</v>
      </c>
      <c r="BX84">
        <f t="shared" si="166"/>
        <v>21.620087027964782</v>
      </c>
      <c r="BY84">
        <f t="shared" si="167"/>
        <v>114.9468535486846</v>
      </c>
      <c r="BZ84">
        <f t="shared" si="168"/>
        <v>0.87855584058509439</v>
      </c>
      <c r="CA84">
        <f t="shared" si="169"/>
        <v>10.93776645092869</v>
      </c>
      <c r="CB84">
        <f t="shared" si="170"/>
        <v>6.5847228613349365E-2</v>
      </c>
      <c r="CC84">
        <f t="shared" si="171"/>
        <v>10.94634939958747</v>
      </c>
      <c r="CD84">
        <f t="shared" si="172"/>
        <v>39.408279956565877</v>
      </c>
      <c r="CE84">
        <f t="shared" si="173"/>
        <v>29.583435930007674</v>
      </c>
      <c r="CF84">
        <f t="shared" si="174"/>
        <v>4.3850910988696645</v>
      </c>
      <c r="CG84">
        <f t="shared" si="175"/>
        <v>32.208105153105599</v>
      </c>
      <c r="CH84">
        <f t="shared" si="176"/>
        <v>9.7040306813828199</v>
      </c>
      <c r="CI84">
        <f t="shared" si="177"/>
        <v>33.263593419399555</v>
      </c>
      <c r="CJ84" s="7">
        <v>72</v>
      </c>
      <c r="CK84" s="13">
        <f t="shared" si="178"/>
        <v>23.475696691960529</v>
      </c>
      <c r="CL84">
        <f t="shared" si="179"/>
        <v>2.3838144161127079</v>
      </c>
      <c r="CM84">
        <f t="shared" si="180"/>
        <v>21.091882275847823</v>
      </c>
      <c r="CN84">
        <f t="shared" si="181"/>
        <v>25.859511108073235</v>
      </c>
      <c r="CO84">
        <f t="shared" si="182"/>
        <v>4.7676288322254159</v>
      </c>
      <c r="CP84">
        <f t="shared" si="183"/>
        <v>18.708067859735113</v>
      </c>
      <c r="CQ84">
        <f t="shared" si="184"/>
        <v>28.243325524185945</v>
      </c>
      <c r="CR84">
        <f t="shared" si="185"/>
        <v>7.1514432483381238</v>
      </c>
      <c r="CS84">
        <f t="shared" si="186"/>
        <v>16.324253443622403</v>
      </c>
      <c r="CT84">
        <f t="shared" si="187"/>
        <v>30.627139940298655</v>
      </c>
    </row>
    <row r="85" spans="1:98" x14ac:dyDescent="0.25">
      <c r="A85" s="7">
        <v>74</v>
      </c>
      <c r="B85" s="9">
        <f t="shared" si="146"/>
        <v>24.340186719159828</v>
      </c>
      <c r="C85">
        <v>0.25522629474776459</v>
      </c>
      <c r="D85">
        <v>-0.21488082522049623</v>
      </c>
      <c r="E85">
        <v>0.85656300546281328</v>
      </c>
      <c r="F85">
        <v>0.80248420667134623</v>
      </c>
      <c r="G85">
        <v>5.3804132206183075E-2</v>
      </c>
      <c r="H85">
        <v>0.32419812616351806</v>
      </c>
      <c r="I85">
        <v>0.56358531449324012</v>
      </c>
      <c r="J85">
        <v>0.32175664540543836</v>
      </c>
      <c r="K85">
        <v>-0.26535843989379559</v>
      </c>
      <c r="L85">
        <v>8.4994048890652207E-2</v>
      </c>
      <c r="M85">
        <v>0.31266212958159123</v>
      </c>
      <c r="N85">
        <v>-0.34372997222815638</v>
      </c>
      <c r="O85">
        <v>0.95861690115054787</v>
      </c>
      <c r="P85">
        <v>-0.18741416669209876</v>
      </c>
      <c r="Q85">
        <v>-0.31449324015015112</v>
      </c>
      <c r="R85">
        <v>-0.39170506912442393</v>
      </c>
      <c r="S85">
        <v>-0.32468642231513412</v>
      </c>
      <c r="T85">
        <v>-0.41166417432172608</v>
      </c>
      <c r="U85">
        <v>-0.35343485824152343</v>
      </c>
      <c r="V85">
        <v>0.66093935972167128</v>
      </c>
      <c r="W85">
        <v>-0.69243446150090038</v>
      </c>
      <c r="X85">
        <v>-0.4719687490462966</v>
      </c>
      <c r="Y85">
        <v>-0.30295724356822418</v>
      </c>
      <c r="Z85">
        <v>-0.23538926358836632</v>
      </c>
      <c r="AA85">
        <v>-0.35819574571977908</v>
      </c>
      <c r="AC85" s="7">
        <v>74</v>
      </c>
      <c r="AD85">
        <f t="shared" si="121"/>
        <v>27.867097221536902</v>
      </c>
      <c r="AE85">
        <f t="shared" si="122"/>
        <v>21.370800512387504</v>
      </c>
      <c r="AF85">
        <f t="shared" si="123"/>
        <v>36.176823939082972</v>
      </c>
      <c r="AG85">
        <f t="shared" si="124"/>
        <v>35.429522084459975</v>
      </c>
      <c r="AH85">
        <f t="shared" si="125"/>
        <v>25.083693022602464</v>
      </c>
      <c r="AI85">
        <f t="shared" si="126"/>
        <v>28.820202295717475</v>
      </c>
      <c r="AJ85">
        <f t="shared" si="127"/>
        <v>32.128236013360159</v>
      </c>
      <c r="AK85">
        <f t="shared" si="128"/>
        <v>28.78646406300312</v>
      </c>
      <c r="AL85">
        <f t="shared" si="129"/>
        <v>20.673262551018176</v>
      </c>
      <c r="AM85">
        <f t="shared" si="130"/>
        <v>25.514698945528373</v>
      </c>
      <c r="AN85">
        <f t="shared" si="131"/>
        <v>28.660789146142143</v>
      </c>
      <c r="AO85">
        <f t="shared" si="132"/>
        <v>19.590265280887323</v>
      </c>
      <c r="AP85">
        <f t="shared" si="133"/>
        <v>37.58708206654309</v>
      </c>
      <c r="AQ85">
        <f t="shared" si="134"/>
        <v>21.750355630424014</v>
      </c>
      <c r="AR85">
        <f t="shared" si="135"/>
        <v>19.994280617641746</v>
      </c>
      <c r="AS85">
        <f t="shared" si="136"/>
        <v>18.927309008050212</v>
      </c>
      <c r="AT85">
        <f t="shared" si="137"/>
        <v>19.853423496059307</v>
      </c>
      <c r="AU85">
        <f t="shared" si="138"/>
        <v>18.651498955610347</v>
      </c>
      <c r="AV85">
        <f t="shared" si="139"/>
        <v>19.456155805847757</v>
      </c>
      <c r="AW85">
        <f t="shared" si="140"/>
        <v>33.473548042845138</v>
      </c>
      <c r="AX85">
        <f t="shared" si="141"/>
        <v>14.771602193459316</v>
      </c>
      <c r="AY85">
        <f t="shared" si="142"/>
        <v>17.818164607565734</v>
      </c>
      <c r="AZ85">
        <f t="shared" si="143"/>
        <v>20.153693767217082</v>
      </c>
      <c r="BA85">
        <f t="shared" si="144"/>
        <v>21.087399357586904</v>
      </c>
      <c r="BB85">
        <f t="shared" si="145"/>
        <v>19.390366252054758</v>
      </c>
      <c r="BC85" s="2">
        <f t="shared" si="147"/>
        <v>24.520669395065273</v>
      </c>
      <c r="BD85">
        <f t="shared" si="148"/>
        <v>42.394311152041006</v>
      </c>
      <c r="BE85">
        <f t="shared" si="149"/>
        <v>6.5110913948462592</v>
      </c>
      <c r="BF85" s="12">
        <f t="shared" si="150"/>
        <v>24.18156091925913</v>
      </c>
      <c r="BG85">
        <f t="shared" si="151"/>
        <v>0.33910847580614245</v>
      </c>
      <c r="BH85">
        <f t="shared" si="152"/>
        <v>0.11499455836356511</v>
      </c>
      <c r="BJ85" s="7">
        <v>73</v>
      </c>
      <c r="BK85">
        <f t="shared" si="153"/>
        <v>208.29336192960665</v>
      </c>
      <c r="BL85">
        <f t="shared" si="154"/>
        <v>2.6500708022167321</v>
      </c>
      <c r="BM85">
        <f t="shared" si="155"/>
        <v>42.577081778808925</v>
      </c>
      <c r="BN85">
        <f t="shared" si="156"/>
        <v>1.3814866831043013E-3</v>
      </c>
      <c r="BO85">
        <f t="shared" si="157"/>
        <v>81.132806004802603</v>
      </c>
      <c r="BP85">
        <f t="shared" si="158"/>
        <v>30.526449710289246</v>
      </c>
      <c r="BQ85">
        <f t="shared" si="159"/>
        <v>54.193998371031796</v>
      </c>
      <c r="BR85">
        <f t="shared" si="160"/>
        <v>22.197507607547113</v>
      </c>
      <c r="BS85">
        <f t="shared" si="161"/>
        <v>123.90412584299747</v>
      </c>
      <c r="BT85">
        <f t="shared" si="162"/>
        <v>34.410345110307787</v>
      </c>
      <c r="BU85">
        <f t="shared" si="163"/>
        <v>10.479472630710744</v>
      </c>
      <c r="BV85">
        <f t="shared" si="164"/>
        <v>55.373342726020958</v>
      </c>
      <c r="BW85">
        <f t="shared" si="165"/>
        <v>39.873438714018498</v>
      </c>
      <c r="BX85">
        <f t="shared" si="166"/>
        <v>68.232917056126155</v>
      </c>
      <c r="BY85">
        <f t="shared" si="167"/>
        <v>5.9307408545597236</v>
      </c>
      <c r="BZ85">
        <f t="shared" si="168"/>
        <v>2.9192553809550348</v>
      </c>
      <c r="CA85">
        <f t="shared" si="169"/>
        <v>93.777360119269602</v>
      </c>
      <c r="CB85">
        <f t="shared" si="170"/>
        <v>13.45006444232083</v>
      </c>
      <c r="CC85">
        <f t="shared" si="171"/>
        <v>33.493192780754789</v>
      </c>
      <c r="CD85">
        <f t="shared" si="172"/>
        <v>98.449053973455747</v>
      </c>
      <c r="CE85">
        <f t="shared" si="173"/>
        <v>74.303502327531916</v>
      </c>
      <c r="CF85">
        <f t="shared" si="174"/>
        <v>6.2159435623202208</v>
      </c>
      <c r="CG85">
        <f t="shared" si="175"/>
        <v>4.367536042406865</v>
      </c>
      <c r="CH85">
        <f t="shared" si="176"/>
        <v>190.12555792303741</v>
      </c>
      <c r="CI85">
        <f t="shared" si="177"/>
        <v>83.389812067055047</v>
      </c>
      <c r="CJ85" s="7">
        <v>73</v>
      </c>
      <c r="CK85" s="13">
        <f t="shared" si="178"/>
        <v>23.76030330558239</v>
      </c>
      <c r="CL85">
        <f t="shared" si="179"/>
        <v>2.4293070548653697</v>
      </c>
      <c r="CM85">
        <f t="shared" si="180"/>
        <v>21.330996250717021</v>
      </c>
      <c r="CN85">
        <f t="shared" si="181"/>
        <v>26.189610360447759</v>
      </c>
      <c r="CO85">
        <f t="shared" si="182"/>
        <v>4.8586141097307394</v>
      </c>
      <c r="CP85">
        <f t="shared" si="183"/>
        <v>18.901689195851652</v>
      </c>
      <c r="CQ85">
        <f t="shared" si="184"/>
        <v>28.618917415313128</v>
      </c>
      <c r="CR85">
        <f t="shared" si="185"/>
        <v>7.2879211645961091</v>
      </c>
      <c r="CS85">
        <f t="shared" si="186"/>
        <v>16.47238214098628</v>
      </c>
      <c r="CT85">
        <f t="shared" si="187"/>
        <v>31.0482244701785</v>
      </c>
    </row>
    <row r="86" spans="1:98" x14ac:dyDescent="0.25">
      <c r="A86" s="7">
        <v>75</v>
      </c>
      <c r="B86" s="9">
        <f t="shared" si="146"/>
        <v>24.631771119209589</v>
      </c>
      <c r="C86">
        <v>-0.64061403241065706</v>
      </c>
      <c r="D86">
        <v>0.3928037354655598</v>
      </c>
      <c r="E86">
        <v>-0.96642963957640304</v>
      </c>
      <c r="F86">
        <v>-1.1627552110354933E-2</v>
      </c>
      <c r="G86">
        <v>-0.80913724173711354</v>
      </c>
      <c r="H86">
        <v>0.2883083590197455</v>
      </c>
      <c r="I86">
        <v>-0.83477278969695123</v>
      </c>
      <c r="J86">
        <v>0.17441328165532388</v>
      </c>
      <c r="K86">
        <v>0.78460036011841172</v>
      </c>
      <c r="L86">
        <v>-0.63188573870052189</v>
      </c>
      <c r="M86">
        <v>-0.60588396862697225</v>
      </c>
      <c r="N86">
        <v>-6.9429609057893638E-2</v>
      </c>
      <c r="O86">
        <v>-0.35508285775322734</v>
      </c>
      <c r="P86">
        <v>2.9755546739097305E-2</v>
      </c>
      <c r="Q86">
        <v>0.794305246131779</v>
      </c>
      <c r="R86">
        <v>0.23483993041779838</v>
      </c>
      <c r="S86">
        <v>-0.76293221839045378</v>
      </c>
      <c r="T86">
        <v>-0.32041383098849452</v>
      </c>
      <c r="U86">
        <v>0.74138615070039982</v>
      </c>
      <c r="V86">
        <v>-0.82360301522873625</v>
      </c>
      <c r="W86">
        <v>-0.3538010803552355</v>
      </c>
      <c r="X86">
        <v>4.6693319498276598E-3</v>
      </c>
      <c r="Y86">
        <v>-0.65282143620105593</v>
      </c>
      <c r="Z86">
        <v>-9.903256324961085E-2</v>
      </c>
      <c r="AA86">
        <v>-9.2471083712271085E-3</v>
      </c>
      <c r="AC86" s="7">
        <v>75</v>
      </c>
      <c r="AD86">
        <f t="shared" si="121"/>
        <v>15.7792805828713</v>
      </c>
      <c r="AE86">
        <f t="shared" si="122"/>
        <v>30.059831035040663</v>
      </c>
      <c r="AF86">
        <f t="shared" si="123"/>
        <v>11.276913427140389</v>
      </c>
      <c r="AG86">
        <f t="shared" si="124"/>
        <v>24.471092785907466</v>
      </c>
      <c r="AH86">
        <f t="shared" si="125"/>
        <v>13.450499069762824</v>
      </c>
      <c r="AI86">
        <f t="shared" si="126"/>
        <v>28.615834674866193</v>
      </c>
      <c r="AJ86">
        <f t="shared" si="127"/>
        <v>13.096247626262077</v>
      </c>
      <c r="AK86">
        <f t="shared" si="128"/>
        <v>27.04194611874145</v>
      </c>
      <c r="AL86">
        <f t="shared" si="129"/>
        <v>35.473973929877069</v>
      </c>
      <c r="AM86">
        <f t="shared" si="130"/>
        <v>15.899894764825126</v>
      </c>
      <c r="AN86">
        <f t="shared" si="131"/>
        <v>16.259206943233025</v>
      </c>
      <c r="AO86">
        <f t="shared" si="132"/>
        <v>23.672340126395067</v>
      </c>
      <c r="AP86">
        <f t="shared" si="133"/>
        <v>19.724966898815325</v>
      </c>
      <c r="AQ86">
        <f t="shared" si="134"/>
        <v>25.042955830415814</v>
      </c>
      <c r="AR86">
        <f t="shared" si="135"/>
        <v>35.608083404916641</v>
      </c>
      <c r="AS86">
        <f t="shared" si="136"/>
        <v>27.876967378421782</v>
      </c>
      <c r="AT86">
        <f t="shared" si="137"/>
        <v>14.088995123882025</v>
      </c>
      <c r="AU86">
        <f t="shared" si="138"/>
        <v>20.20404980335919</v>
      </c>
      <c r="AV86">
        <f t="shared" si="139"/>
        <v>34.876807210832951</v>
      </c>
      <c r="AW86">
        <f t="shared" si="140"/>
        <v>13.250600040930259</v>
      </c>
      <c r="AX86">
        <f t="shared" si="141"/>
        <v>19.74267947099036</v>
      </c>
      <c r="AY86">
        <f t="shared" si="142"/>
        <v>24.696295489275798</v>
      </c>
      <c r="AZ86">
        <f t="shared" si="143"/>
        <v>15.610589419299517</v>
      </c>
      <c r="BA86">
        <f t="shared" si="144"/>
        <v>23.263264054733494</v>
      </c>
      <c r="BB86">
        <f t="shared" si="145"/>
        <v>24.503987562803964</v>
      </c>
      <c r="BC86" s="2">
        <f t="shared" si="147"/>
        <v>22.143492110943988</v>
      </c>
      <c r="BD86">
        <f t="shared" si="148"/>
        <v>54.320491839889577</v>
      </c>
      <c r="BE86">
        <f t="shared" si="149"/>
        <v>7.3702436757470631</v>
      </c>
      <c r="BF86" s="12">
        <f t="shared" si="150"/>
        <v>24.469663137556541</v>
      </c>
      <c r="BG86">
        <f t="shared" si="151"/>
        <v>-2.3261710266125526</v>
      </c>
      <c r="BH86">
        <f t="shared" si="152"/>
        <v>5.4110716450516971</v>
      </c>
      <c r="BJ86" s="7">
        <v>74</v>
      </c>
      <c r="BK86">
        <f t="shared" si="153"/>
        <v>5.9938208838693443</v>
      </c>
      <c r="BL86">
        <f t="shared" si="154"/>
        <v>19.839682231479916</v>
      </c>
      <c r="BM86">
        <f t="shared" si="155"/>
        <v>179.66293119430131</v>
      </c>
      <c r="BN86">
        <f t="shared" si="156"/>
        <v>336.36834852610724</v>
      </c>
      <c r="BO86">
        <f t="shared" si="157"/>
        <v>7.9903781531637561</v>
      </c>
      <c r="BP86">
        <f t="shared" si="158"/>
        <v>36.754221322208082</v>
      </c>
      <c r="BQ86">
        <f t="shared" si="159"/>
        <v>103.61866300314944</v>
      </c>
      <c r="BR86">
        <f t="shared" si="160"/>
        <v>36.567574882812202</v>
      </c>
      <c r="BS86">
        <f t="shared" si="161"/>
        <v>32.254219373689203</v>
      </c>
      <c r="BT86">
        <f t="shared" si="162"/>
        <v>15.568472769363101</v>
      </c>
      <c r="BU86">
        <f t="shared" si="163"/>
        <v>4.8892503476565743</v>
      </c>
      <c r="BV86">
        <f t="shared" si="164"/>
        <v>24.99504120998705</v>
      </c>
      <c r="BW86">
        <f t="shared" si="165"/>
        <v>160.36525684330527</v>
      </c>
      <c r="BX86">
        <f t="shared" si="166"/>
        <v>23.628755797670649</v>
      </c>
      <c r="BY86">
        <f t="shared" si="167"/>
        <v>13.941293705454965</v>
      </c>
      <c r="BZ86">
        <f t="shared" si="168"/>
        <v>1.4847668164152852</v>
      </c>
      <c r="CA86">
        <f t="shared" si="169"/>
        <v>0.96774458328592072</v>
      </c>
      <c r="CB86">
        <f t="shared" si="170"/>
        <v>69.459046460703703</v>
      </c>
      <c r="CC86">
        <f t="shared" si="171"/>
        <v>41.933967405805724</v>
      </c>
      <c r="CD86">
        <f t="shared" si="172"/>
        <v>86.707349579021582</v>
      </c>
      <c r="CE86">
        <f t="shared" si="173"/>
        <v>147.13349560296427</v>
      </c>
      <c r="CF86">
        <f t="shared" si="174"/>
        <v>64.789407757434191</v>
      </c>
      <c r="CG86">
        <f t="shared" si="175"/>
        <v>27.417083829496637</v>
      </c>
      <c r="CH86">
        <f t="shared" si="176"/>
        <v>26.591651458786423</v>
      </c>
      <c r="CI86">
        <f t="shared" si="177"/>
        <v>17.930946711740898</v>
      </c>
      <c r="CJ86" s="7">
        <v>74</v>
      </c>
      <c r="CK86" s="13">
        <f t="shared" si="178"/>
        <v>24.044909919204251</v>
      </c>
      <c r="CL86">
        <f t="shared" si="179"/>
        <v>2.4750347207045196</v>
      </c>
      <c r="CM86">
        <f t="shared" si="180"/>
        <v>21.56987519849973</v>
      </c>
      <c r="CN86">
        <f t="shared" si="181"/>
        <v>26.519944639908772</v>
      </c>
      <c r="CO86">
        <f t="shared" si="182"/>
        <v>4.9500694414090392</v>
      </c>
      <c r="CP86">
        <f t="shared" si="183"/>
        <v>19.094840477795213</v>
      </c>
      <c r="CQ86">
        <f t="shared" si="184"/>
        <v>28.994979360613289</v>
      </c>
      <c r="CR86">
        <f t="shared" si="185"/>
        <v>7.4251041621135592</v>
      </c>
      <c r="CS86">
        <f t="shared" si="186"/>
        <v>16.619805757090692</v>
      </c>
      <c r="CT86">
        <f t="shared" si="187"/>
        <v>31.47001408131781</v>
      </c>
    </row>
    <row r="87" spans="1:98" x14ac:dyDescent="0.25">
      <c r="A87" s="7">
        <v>76</v>
      </c>
      <c r="B87" s="9">
        <f t="shared" si="146"/>
        <v>24.923355519259349</v>
      </c>
      <c r="C87">
        <v>0.98260444959868165</v>
      </c>
      <c r="D87">
        <v>-0.31998657185583057</v>
      </c>
      <c r="E87">
        <v>-0.79900509659108243</v>
      </c>
      <c r="F87">
        <v>0.90227973265785688</v>
      </c>
      <c r="G87">
        <v>0.69219031342509241</v>
      </c>
      <c r="H87">
        <v>0.58201849421674234</v>
      </c>
      <c r="I87">
        <v>0.31272316660054322</v>
      </c>
      <c r="J87">
        <v>0.38401440473647264</v>
      </c>
      <c r="K87">
        <v>0.988036744285409</v>
      </c>
      <c r="L87">
        <v>-0.10299996948149048</v>
      </c>
      <c r="M87">
        <v>0.48271126438184764</v>
      </c>
      <c r="N87">
        <v>-0.63896603289895326</v>
      </c>
      <c r="O87">
        <v>9.9887081514938858E-2</v>
      </c>
      <c r="P87">
        <v>0.92107913449507128</v>
      </c>
      <c r="Q87">
        <v>0.86681722464674826</v>
      </c>
      <c r="R87">
        <v>0.23410748619037447</v>
      </c>
      <c r="S87">
        <v>0.22092349009674361</v>
      </c>
      <c r="T87">
        <v>-0.11197241126743374</v>
      </c>
      <c r="U87">
        <v>-0.67680898464918982</v>
      </c>
      <c r="V87">
        <v>0.75005340739158299</v>
      </c>
      <c r="W87">
        <v>-0.85326700643940545</v>
      </c>
      <c r="X87">
        <v>-0.6972563859981078</v>
      </c>
      <c r="Y87">
        <v>-0.33744315927610091</v>
      </c>
      <c r="Z87">
        <v>0.50108340708639787</v>
      </c>
      <c r="AA87">
        <v>2.755821405682557E-2</v>
      </c>
      <c r="AC87" s="7">
        <v>76</v>
      </c>
      <c r="AD87">
        <f t="shared" si="121"/>
        <v>38.501729003061165</v>
      </c>
      <c r="AE87">
        <f t="shared" si="122"/>
        <v>20.501538394133963</v>
      </c>
      <c r="AF87">
        <f t="shared" si="123"/>
        <v>13.882097135577165</v>
      </c>
      <c r="AG87">
        <f t="shared" si="124"/>
        <v>37.391741146758825</v>
      </c>
      <c r="AH87">
        <f t="shared" si="125"/>
        <v>34.48856622168843</v>
      </c>
      <c r="AI87">
        <f t="shared" si="126"/>
        <v>32.966128470453071</v>
      </c>
      <c r="AJ87">
        <f t="shared" si="127"/>
        <v>29.244801402059522</v>
      </c>
      <c r="AK87">
        <f t="shared" si="128"/>
        <v>30.22995779731874</v>
      </c>
      <c r="AL87">
        <f t="shared" si="129"/>
        <v>38.576796570850604</v>
      </c>
      <c r="AM87">
        <f t="shared" si="130"/>
        <v>23.500023826622424</v>
      </c>
      <c r="AN87">
        <f t="shared" si="131"/>
        <v>31.593825854796613</v>
      </c>
      <c r="AO87">
        <f t="shared" si="132"/>
        <v>16.093638290003248</v>
      </c>
      <c r="AP87">
        <f t="shared" si="133"/>
        <v>26.303670965185471</v>
      </c>
      <c r="AQ87">
        <f t="shared" si="134"/>
        <v>37.651525538659371</v>
      </c>
      <c r="AR87">
        <f t="shared" si="135"/>
        <v>36.901693316582794</v>
      </c>
      <c r="AS87">
        <f t="shared" si="136"/>
        <v>28.158430308657234</v>
      </c>
      <c r="AT87">
        <f t="shared" si="137"/>
        <v>27.976243851999708</v>
      </c>
      <c r="AU87">
        <f t="shared" si="138"/>
        <v>23.37603582139716</v>
      </c>
      <c r="AV87">
        <f t="shared" si="139"/>
        <v>15.570695682930721</v>
      </c>
      <c r="AW87">
        <f t="shared" si="140"/>
        <v>35.288162337018683</v>
      </c>
      <c r="AX87">
        <f t="shared" si="141"/>
        <v>13.132264913500586</v>
      </c>
      <c r="AY87">
        <f t="shared" si="142"/>
        <v>15.288137983947983</v>
      </c>
      <c r="AZ87">
        <f t="shared" si="143"/>
        <v>20.260310030226314</v>
      </c>
      <c r="BA87">
        <f t="shared" si="144"/>
        <v>31.847706055972147</v>
      </c>
      <c r="BB87">
        <f t="shared" si="145"/>
        <v>25.304175821022653</v>
      </c>
      <c r="BC87" s="2">
        <f t="shared" si="147"/>
        <v>27.361195869616978</v>
      </c>
      <c r="BD87">
        <f t="shared" si="148"/>
        <v>69.700433504816218</v>
      </c>
      <c r="BE87">
        <f t="shared" si="149"/>
        <v>8.3486785484180803</v>
      </c>
      <c r="BF87" s="12">
        <f t="shared" si="150"/>
        <v>24.757765355853952</v>
      </c>
      <c r="BG87">
        <f t="shared" si="151"/>
        <v>2.6034305137630263</v>
      </c>
      <c r="BH87">
        <f t="shared" si="152"/>
        <v>6.7778504399924149</v>
      </c>
      <c r="BJ87" s="7">
        <v>75</v>
      </c>
      <c r="BK87">
        <f t="shared" si="153"/>
        <v>99.356361863206828</v>
      </c>
      <c r="BL87">
        <f t="shared" si="154"/>
        <v>15.4238810221352</v>
      </c>
      <c r="BM87">
        <f t="shared" si="155"/>
        <v>139.00029826487525</v>
      </c>
      <c r="BN87">
        <f t="shared" si="156"/>
        <v>52.66107670154544</v>
      </c>
      <c r="BO87">
        <f t="shared" si="157"/>
        <v>81.822220101436912</v>
      </c>
      <c r="BP87">
        <f t="shared" si="158"/>
        <v>31.327622096755015</v>
      </c>
      <c r="BQ87">
        <f t="shared" si="159"/>
        <v>83.238784685481292</v>
      </c>
      <c r="BR87">
        <f t="shared" si="160"/>
        <v>16.300718289988513</v>
      </c>
      <c r="BS87">
        <f t="shared" si="161"/>
        <v>76.830766552139224</v>
      </c>
      <c r="BT87">
        <f t="shared" si="162"/>
        <v>34.901609520619154</v>
      </c>
      <c r="BU87">
        <f t="shared" si="163"/>
        <v>109.96830237103438</v>
      </c>
      <c r="BV87">
        <f t="shared" si="164"/>
        <v>1.4838872925697546</v>
      </c>
      <c r="BW87">
        <f t="shared" si="165"/>
        <v>30.640424322394978</v>
      </c>
      <c r="BX87">
        <f t="shared" si="166"/>
        <v>3.4615215681599247</v>
      </c>
      <c r="BY87">
        <f t="shared" si="167"/>
        <v>134.0667972983355</v>
      </c>
      <c r="BZ87">
        <f t="shared" si="168"/>
        <v>57.029206878187985</v>
      </c>
      <c r="CA87">
        <f t="shared" si="169"/>
        <v>49.062228115388173</v>
      </c>
      <c r="CB87">
        <f t="shared" si="170"/>
        <v>50.798885083696646</v>
      </c>
      <c r="CC87">
        <f t="shared" si="171"/>
        <v>74.707170175278563</v>
      </c>
      <c r="CD87">
        <f t="shared" si="172"/>
        <v>125.66276816413766</v>
      </c>
      <c r="CE87">
        <f t="shared" si="173"/>
        <v>56.193096703286045</v>
      </c>
      <c r="CF87">
        <f t="shared" si="174"/>
        <v>2.2345929991328068</v>
      </c>
      <c r="CG87">
        <f t="shared" si="175"/>
        <v>100.89903947480427</v>
      </c>
      <c r="CH87">
        <f t="shared" si="176"/>
        <v>10.869701425952442</v>
      </c>
      <c r="CI87">
        <f t="shared" si="177"/>
        <v>0.36148982923740969</v>
      </c>
      <c r="CJ87" s="7">
        <v>75</v>
      </c>
      <c r="CK87" s="13">
        <f t="shared" si="178"/>
        <v>24.329516532826112</v>
      </c>
      <c r="CL87">
        <f t="shared" si="179"/>
        <v>2.5209846243262759</v>
      </c>
      <c r="CM87">
        <f t="shared" si="180"/>
        <v>21.808531908499837</v>
      </c>
      <c r="CN87">
        <f t="shared" si="181"/>
        <v>26.850501157152387</v>
      </c>
      <c r="CO87">
        <f t="shared" si="182"/>
        <v>5.0419692486525518</v>
      </c>
      <c r="CP87">
        <f t="shared" si="183"/>
        <v>19.287547284173559</v>
      </c>
      <c r="CQ87">
        <f t="shared" si="184"/>
        <v>29.371485781478665</v>
      </c>
      <c r="CR87">
        <f t="shared" si="185"/>
        <v>7.5629538729788273</v>
      </c>
      <c r="CS87">
        <f t="shared" si="186"/>
        <v>16.766562659847285</v>
      </c>
      <c r="CT87">
        <f t="shared" si="187"/>
        <v>31.892470405804939</v>
      </c>
    </row>
    <row r="88" spans="1:98" x14ac:dyDescent="0.25">
      <c r="A88" s="7">
        <v>77</v>
      </c>
      <c r="B88" s="9">
        <f t="shared" si="146"/>
        <v>25.214939919309106</v>
      </c>
      <c r="C88">
        <v>0.93438520462660613</v>
      </c>
      <c r="D88">
        <v>-8.1942197943052464E-2</v>
      </c>
      <c r="E88">
        <v>0.36539811395611443</v>
      </c>
      <c r="F88">
        <v>0.29606006042664879</v>
      </c>
      <c r="G88">
        <v>-0.71733756523331405</v>
      </c>
      <c r="H88">
        <v>-0.80309457686086616</v>
      </c>
      <c r="I88">
        <v>0.20187994018372146</v>
      </c>
      <c r="J88">
        <v>-0.16629535813470875</v>
      </c>
      <c r="K88">
        <v>-0.67088839381084631</v>
      </c>
      <c r="L88">
        <v>-0.32303842280343031</v>
      </c>
      <c r="M88">
        <v>-0.88909573656422625</v>
      </c>
      <c r="N88">
        <v>-0.5620593890194403</v>
      </c>
      <c r="O88">
        <v>-0.61436811426129956</v>
      </c>
      <c r="P88">
        <v>-0.69017609179967643</v>
      </c>
      <c r="Q88">
        <v>-0.42558061464278085</v>
      </c>
      <c r="R88">
        <v>-0.34769737846003601</v>
      </c>
      <c r="S88">
        <v>0.85387737662892538</v>
      </c>
      <c r="T88">
        <v>-0.20596942045350508</v>
      </c>
      <c r="U88">
        <v>-0.21292764061403247</v>
      </c>
      <c r="V88">
        <v>-0.97747734000671405</v>
      </c>
      <c r="W88">
        <v>-0.29325235755485701</v>
      </c>
      <c r="X88">
        <v>-0.62034974211859495</v>
      </c>
      <c r="Y88">
        <v>-0.50840784936063721</v>
      </c>
      <c r="Z88">
        <v>-0.15884884182256542</v>
      </c>
      <c r="AA88">
        <v>-0.49461348307748654</v>
      </c>
      <c r="AC88" s="7">
        <v>77</v>
      </c>
      <c r="AD88">
        <f t="shared" si="121"/>
        <v>38.126983307002376</v>
      </c>
      <c r="AE88">
        <f t="shared" si="122"/>
        <v>24.082600483833506</v>
      </c>
      <c r="AF88">
        <f t="shared" si="123"/>
        <v>30.264288172921528</v>
      </c>
      <c r="AG88">
        <f t="shared" si="124"/>
        <v>29.306122363833794</v>
      </c>
      <c r="AH88">
        <f t="shared" si="125"/>
        <v>15.302225419922156</v>
      </c>
      <c r="AI88">
        <f t="shared" si="126"/>
        <v>14.117169995830373</v>
      </c>
      <c r="AJ88">
        <f t="shared" si="127"/>
        <v>28.004670036877481</v>
      </c>
      <c r="AK88">
        <f t="shared" si="128"/>
        <v>22.916944543552479</v>
      </c>
      <c r="AL88">
        <f t="shared" si="129"/>
        <v>15.944095297312794</v>
      </c>
      <c r="AM88">
        <f t="shared" si="130"/>
        <v>20.750950003290775</v>
      </c>
      <c r="AN88">
        <f t="shared" si="131"/>
        <v>12.928740748467156</v>
      </c>
      <c r="AO88">
        <f t="shared" si="132"/>
        <v>17.447977020555246</v>
      </c>
      <c r="AP88">
        <f t="shared" si="133"/>
        <v>16.725135384650152</v>
      </c>
      <c r="AQ88">
        <f t="shared" si="134"/>
        <v>15.677563258869377</v>
      </c>
      <c r="AR88">
        <f t="shared" si="135"/>
        <v>19.333944229287791</v>
      </c>
      <c r="AS88">
        <f t="shared" si="136"/>
        <v>20.410193852875771</v>
      </c>
      <c r="AT88">
        <f t="shared" si="137"/>
        <v>37.014465083246456</v>
      </c>
      <c r="AU88">
        <f t="shared" si="138"/>
        <v>22.368698261944182</v>
      </c>
      <c r="AV88">
        <f t="shared" si="139"/>
        <v>22.272544298708265</v>
      </c>
      <c r="AW88">
        <f t="shared" si="140"/>
        <v>11.707416724207443</v>
      </c>
      <c r="AX88">
        <f t="shared" si="141"/>
        <v>21.162556442405929</v>
      </c>
      <c r="AY88">
        <f t="shared" si="142"/>
        <v>16.642476714499978</v>
      </c>
      <c r="AZ88">
        <f t="shared" si="143"/>
        <v>18.189374684453238</v>
      </c>
      <c r="BA88">
        <f t="shared" si="144"/>
        <v>23.019846153331269</v>
      </c>
      <c r="BB88">
        <f t="shared" si="145"/>
        <v>18.379995699289353</v>
      </c>
      <c r="BC88" s="2">
        <f t="shared" si="147"/>
        <v>21.28387912724676</v>
      </c>
      <c r="BD88">
        <f t="shared" si="148"/>
        <v>46.895704995514883</v>
      </c>
      <c r="BE88">
        <f t="shared" si="149"/>
        <v>6.8480438809571655</v>
      </c>
      <c r="BF88" s="12">
        <f t="shared" si="150"/>
        <v>25.045867574151359</v>
      </c>
      <c r="BG88">
        <f t="shared" si="151"/>
        <v>-3.7619884469045992</v>
      </c>
      <c r="BH88">
        <f t="shared" si="152"/>
        <v>14.152557074643678</v>
      </c>
      <c r="BJ88" s="7">
        <v>76</v>
      </c>
      <c r="BK88">
        <f t="shared" si="153"/>
        <v>154.41801815489688</v>
      </c>
      <c r="BL88">
        <f t="shared" si="154"/>
        <v>35.265752620587229</v>
      </c>
      <c r="BM88">
        <f t="shared" si="155"/>
        <v>89.840511839775658</v>
      </c>
      <c r="BN88">
        <f t="shared" si="156"/>
        <v>402.0955582159898</v>
      </c>
      <c r="BO88">
        <f t="shared" si="157"/>
        <v>138.14260647565692</v>
      </c>
      <c r="BP88">
        <f t="shared" si="158"/>
        <v>93.825418353328445</v>
      </c>
      <c r="BQ88">
        <f t="shared" si="159"/>
        <v>45.618657472848966</v>
      </c>
      <c r="BR88">
        <f t="shared" si="160"/>
        <v>48.445028426416997</v>
      </c>
      <c r="BS88">
        <f t="shared" si="161"/>
        <v>132.52668082613701</v>
      </c>
      <c r="BT88">
        <f t="shared" si="162"/>
        <v>2.1133192908278726</v>
      </c>
      <c r="BU88">
        <f t="shared" si="163"/>
        <v>20.719626912146659</v>
      </c>
      <c r="BV88">
        <f t="shared" si="164"/>
        <v>82.765795134167249</v>
      </c>
      <c r="BW88">
        <f t="shared" si="165"/>
        <v>0.49917068053942881</v>
      </c>
      <c r="BX88">
        <f t="shared" si="166"/>
        <v>109.3253934027363</v>
      </c>
      <c r="BY88">
        <f t="shared" si="167"/>
        <v>158.0314189238598</v>
      </c>
      <c r="BZ88">
        <f t="shared" si="168"/>
        <v>58.581443718536192</v>
      </c>
      <c r="CA88">
        <f t="shared" si="169"/>
        <v>43.910903678968907</v>
      </c>
      <c r="CB88">
        <f t="shared" si="170"/>
        <v>18.498796601644717</v>
      </c>
      <c r="CC88">
        <f t="shared" si="171"/>
        <v>120.21931364622991</v>
      </c>
      <c r="CD88">
        <f t="shared" si="172"/>
        <v>110.85880867830774</v>
      </c>
      <c r="CE88">
        <f t="shared" si="173"/>
        <v>208.63038221474247</v>
      </c>
      <c r="CF88">
        <f t="shared" si="174"/>
        <v>126.04132189934415</v>
      </c>
      <c r="CG88">
        <f t="shared" si="175"/>
        <v>32.044037328122272</v>
      </c>
      <c r="CH88">
        <f t="shared" si="176"/>
        <v>24.715221834027503</v>
      </c>
      <c r="CI88">
        <f t="shared" si="177"/>
        <v>1.2623472810786587</v>
      </c>
      <c r="CJ88" s="7">
        <v>76</v>
      </c>
      <c r="CK88" s="13">
        <f t="shared" si="178"/>
        <v>24.614123146447973</v>
      </c>
      <c r="CL88">
        <f t="shared" si="179"/>
        <v>2.5671448321059809</v>
      </c>
      <c r="CM88">
        <f t="shared" si="180"/>
        <v>22.046978314341992</v>
      </c>
      <c r="CN88">
        <f t="shared" si="181"/>
        <v>27.181267978553954</v>
      </c>
      <c r="CO88">
        <f t="shared" si="182"/>
        <v>5.1342896642119618</v>
      </c>
      <c r="CP88">
        <f t="shared" si="183"/>
        <v>19.47983348223601</v>
      </c>
      <c r="CQ88">
        <f t="shared" si="184"/>
        <v>29.748412810659936</v>
      </c>
      <c r="CR88">
        <f t="shared" si="185"/>
        <v>7.7014344963179422</v>
      </c>
      <c r="CS88">
        <f t="shared" si="186"/>
        <v>16.912688650130029</v>
      </c>
      <c r="CT88">
        <f t="shared" si="187"/>
        <v>32.315557642765917</v>
      </c>
    </row>
    <row r="89" spans="1:98" x14ac:dyDescent="0.25">
      <c r="A89" s="7">
        <v>78</v>
      </c>
      <c r="B89" s="9">
        <f t="shared" si="146"/>
        <v>25.506524319358867</v>
      </c>
      <c r="C89">
        <v>-0.9318826868495742</v>
      </c>
      <c r="D89">
        <v>-0.36979277932065802</v>
      </c>
      <c r="E89">
        <v>0.44236579485457939</v>
      </c>
      <c r="F89">
        <v>0.76354258857997381</v>
      </c>
      <c r="G89">
        <v>-0.23166600543229465</v>
      </c>
      <c r="H89">
        <v>-0.87462996307260354</v>
      </c>
      <c r="I89">
        <v>0.11087374492629776</v>
      </c>
      <c r="J89">
        <v>0.47215186010315247</v>
      </c>
      <c r="K89">
        <v>0.97308267464217058</v>
      </c>
      <c r="L89">
        <v>-0.89855647450178533</v>
      </c>
      <c r="M89">
        <v>-0.33439130832850128</v>
      </c>
      <c r="N89">
        <v>0.59697256385998099</v>
      </c>
      <c r="O89">
        <v>0.51676992095706042</v>
      </c>
      <c r="P89">
        <v>-0.13913388470107124</v>
      </c>
      <c r="Q89">
        <v>-0.21732230597857605</v>
      </c>
      <c r="R89">
        <v>-0.63933225501266522</v>
      </c>
      <c r="S89">
        <v>-2.1881771294290031E-2</v>
      </c>
      <c r="T89">
        <v>0.92596209601123092</v>
      </c>
      <c r="U89">
        <v>0.11850337229529706</v>
      </c>
      <c r="V89">
        <v>0.1233252967925047</v>
      </c>
      <c r="W89">
        <v>-0.71001312295907471</v>
      </c>
      <c r="X89">
        <v>-0.53965880306405833</v>
      </c>
      <c r="Y89">
        <v>-0.70372631000701924</v>
      </c>
      <c r="Z89">
        <v>-0.32761619922482987</v>
      </c>
      <c r="AA89">
        <v>-0.88177129428998691</v>
      </c>
      <c r="AC89" s="7">
        <v>78</v>
      </c>
      <c r="AD89">
        <f t="shared" si="121"/>
        <v>12.629062620197816</v>
      </c>
      <c r="AE89">
        <f t="shared" si="122"/>
        <v>20.396447246860603</v>
      </c>
      <c r="AF89">
        <f t="shared" si="123"/>
        <v>31.619470359291387</v>
      </c>
      <c r="AG89">
        <f t="shared" si="124"/>
        <v>36.057734872865019</v>
      </c>
      <c r="AH89">
        <f t="shared" si="125"/>
        <v>22.305187762675338</v>
      </c>
      <c r="AI89">
        <f t="shared" si="126"/>
        <v>13.420224177349482</v>
      </c>
      <c r="AJ89">
        <f t="shared" si="127"/>
        <v>27.038661812499594</v>
      </c>
      <c r="AK89">
        <f t="shared" si="128"/>
        <v>32.031076798406538</v>
      </c>
      <c r="AL89">
        <f t="shared" si="129"/>
        <v>38.953318695574694</v>
      </c>
      <c r="AM89">
        <f t="shared" si="130"/>
        <v>13.089589496748784</v>
      </c>
      <c r="AN89">
        <f t="shared" si="131"/>
        <v>20.885651621218777</v>
      </c>
      <c r="AO89">
        <f t="shared" si="132"/>
        <v>33.755943945928024</v>
      </c>
      <c r="AP89">
        <f t="shared" si="133"/>
        <v>32.647643001261407</v>
      </c>
      <c r="AQ89">
        <f t="shared" si="134"/>
        <v>23.58386678254946</v>
      </c>
      <c r="AR89">
        <f t="shared" si="135"/>
        <v>22.503399879872184</v>
      </c>
      <c r="AS89">
        <f t="shared" si="136"/>
        <v>16.671746355195616</v>
      </c>
      <c r="AT89">
        <f t="shared" si="137"/>
        <v>25.204145408656444</v>
      </c>
      <c r="AU89">
        <f t="shared" si="138"/>
        <v>38.302170804187604</v>
      </c>
      <c r="AV89">
        <f t="shared" si="139"/>
        <v>27.144093789731958</v>
      </c>
      <c r="AW89">
        <f t="shared" si="140"/>
        <v>27.210726799342815</v>
      </c>
      <c r="AX89">
        <f t="shared" si="141"/>
        <v>15.695024518114987</v>
      </c>
      <c r="AY89">
        <f t="shared" si="142"/>
        <v>18.049109705759232</v>
      </c>
      <c r="AZ89">
        <f t="shared" si="143"/>
        <v>15.781900467354456</v>
      </c>
      <c r="BA89">
        <f t="shared" si="144"/>
        <v>20.979275217001117</v>
      </c>
      <c r="BB89">
        <f t="shared" si="145"/>
        <v>13.321539846659988</v>
      </c>
      <c r="BC89" s="2">
        <f t="shared" si="147"/>
        <v>23.971080479412141</v>
      </c>
      <c r="BD89">
        <f t="shared" si="148"/>
        <v>68.08048461139515</v>
      </c>
      <c r="BE89">
        <f t="shared" si="149"/>
        <v>8.2510899044547532</v>
      </c>
      <c r="BF89" s="12">
        <f t="shared" si="150"/>
        <v>25.333969792448769</v>
      </c>
      <c r="BG89">
        <f t="shared" si="151"/>
        <v>-1.3628893130366286</v>
      </c>
      <c r="BH89">
        <f t="shared" si="152"/>
        <v>1.8574672795894536</v>
      </c>
      <c r="BJ89" s="7">
        <v>77</v>
      </c>
      <c r="BK89">
        <f t="shared" si="153"/>
        <v>137.4423597419572</v>
      </c>
      <c r="BL89">
        <f t="shared" si="154"/>
        <v>7.10203951382426</v>
      </c>
      <c r="BM89">
        <f t="shared" si="155"/>
        <v>43.692088397990752</v>
      </c>
      <c r="BN89">
        <f t="shared" si="156"/>
        <v>140.22298578734802</v>
      </c>
      <c r="BO89">
        <f t="shared" si="157"/>
        <v>58.860010730385582</v>
      </c>
      <c r="BP89">
        <f t="shared" si="158"/>
        <v>88.805298065155583</v>
      </c>
      <c r="BQ89">
        <f t="shared" si="159"/>
        <v>27.490738340911282</v>
      </c>
      <c r="BR89">
        <f t="shared" si="160"/>
        <v>0.38185868497770015</v>
      </c>
      <c r="BS89">
        <f t="shared" si="161"/>
        <v>131.71678663585908</v>
      </c>
      <c r="BT89">
        <f t="shared" si="162"/>
        <v>2.353132874102922</v>
      </c>
      <c r="BU89">
        <f t="shared" si="163"/>
        <v>207.62975336011797</v>
      </c>
      <c r="BV89">
        <f t="shared" si="164"/>
        <v>64.705163477415454</v>
      </c>
      <c r="BW89">
        <f t="shared" si="165"/>
        <v>84.802367201484657</v>
      </c>
      <c r="BX89">
        <f t="shared" si="166"/>
        <v>139.48221012860003</v>
      </c>
      <c r="BY89">
        <f t="shared" si="167"/>
        <v>28.068498147837197</v>
      </c>
      <c r="BZ89">
        <f t="shared" si="168"/>
        <v>7.4947124236710946E-2</v>
      </c>
      <c r="CA89">
        <f t="shared" si="169"/>
        <v>237.42114920375033</v>
      </c>
      <c r="CB89">
        <f t="shared" si="170"/>
        <v>31.968116267822857</v>
      </c>
      <c r="CC89">
        <f t="shared" si="171"/>
        <v>20.83269288662266</v>
      </c>
      <c r="CD89">
        <f t="shared" si="172"/>
        <v>178.23492529554116</v>
      </c>
      <c r="CE89">
        <f t="shared" si="173"/>
        <v>45.578359904708023</v>
      </c>
      <c r="CF89">
        <f t="shared" si="174"/>
        <v>103.96399367940434</v>
      </c>
      <c r="CG89">
        <f t="shared" si="175"/>
        <v>63.956729895356233</v>
      </c>
      <c r="CH89">
        <f t="shared" si="176"/>
        <v>17.409736562070265</v>
      </c>
      <c r="CI89">
        <f t="shared" si="177"/>
        <v>36.948454495425779</v>
      </c>
      <c r="CJ89" s="7">
        <v>77</v>
      </c>
      <c r="CK89" s="13">
        <f t="shared" si="178"/>
        <v>24.898729760069834</v>
      </c>
      <c r="CL89">
        <f t="shared" si="179"/>
        <v>2.6135042007713989</v>
      </c>
      <c r="CM89">
        <f t="shared" si="180"/>
        <v>22.285225559298436</v>
      </c>
      <c r="CN89">
        <f t="shared" si="181"/>
        <v>27.512233960841233</v>
      </c>
      <c r="CO89">
        <f t="shared" si="182"/>
        <v>5.2270084015427978</v>
      </c>
      <c r="CP89">
        <f t="shared" si="183"/>
        <v>19.671721358527037</v>
      </c>
      <c r="CQ89">
        <f t="shared" si="184"/>
        <v>30.125738161612631</v>
      </c>
      <c r="CR89">
        <f t="shared" si="185"/>
        <v>7.8405126023141971</v>
      </c>
      <c r="CS89">
        <f t="shared" si="186"/>
        <v>17.058217157755635</v>
      </c>
      <c r="CT89">
        <f t="shared" si="187"/>
        <v>32.739242362384033</v>
      </c>
    </row>
    <row r="90" spans="1:98" x14ac:dyDescent="0.25">
      <c r="A90" s="7">
        <v>79</v>
      </c>
      <c r="B90" s="9">
        <f t="shared" si="146"/>
        <v>25.798108719408628</v>
      </c>
      <c r="C90">
        <v>-0.61833552049317908</v>
      </c>
      <c r="D90">
        <v>0.81859797967467274</v>
      </c>
      <c r="E90">
        <v>0.73577074495681627</v>
      </c>
      <c r="F90">
        <v>0.57298501541184721</v>
      </c>
      <c r="G90">
        <v>0.47752311777092804</v>
      </c>
      <c r="H90">
        <v>0.96758934293649101</v>
      </c>
      <c r="I90">
        <v>0.52995391705069128</v>
      </c>
      <c r="J90">
        <v>0.81432538834803303</v>
      </c>
      <c r="K90">
        <v>-0.16129032258064513</v>
      </c>
      <c r="L90">
        <v>-0.24301889095736562</v>
      </c>
      <c r="M90">
        <v>0.15573595385601369</v>
      </c>
      <c r="N90">
        <v>0.11520737327188946</v>
      </c>
      <c r="O90">
        <v>0.92107913449507128</v>
      </c>
      <c r="P90">
        <v>0.99639881588183243</v>
      </c>
      <c r="Q90">
        <v>0.65404217658009589</v>
      </c>
      <c r="R90">
        <v>0.94354075746940524</v>
      </c>
      <c r="S90">
        <v>0.54832605975524151</v>
      </c>
      <c r="T90">
        <v>0.53178502761925106</v>
      </c>
      <c r="U90">
        <v>0.53459273049104272</v>
      </c>
      <c r="V90">
        <v>0.62657551805169831</v>
      </c>
      <c r="W90">
        <v>-0.83062227240821562</v>
      </c>
      <c r="X90">
        <v>0.72447889645069741</v>
      </c>
      <c r="Y90">
        <v>0.58970915860469364</v>
      </c>
      <c r="Z90">
        <v>0.15970336008789321</v>
      </c>
      <c r="AA90">
        <v>0.68187505722220521</v>
      </c>
      <c r="AC90" s="7">
        <v>79</v>
      </c>
      <c r="AD90">
        <f t="shared" si="121"/>
        <v>17.253479556588843</v>
      </c>
      <c r="AE90">
        <f t="shared" si="122"/>
        <v>37.110116420623527</v>
      </c>
      <c r="AF90">
        <f t="shared" si="123"/>
        <v>35.965546875788974</v>
      </c>
      <c r="AG90">
        <f t="shared" si="124"/>
        <v>33.716050209559235</v>
      </c>
      <c r="AH90">
        <f t="shared" si="125"/>
        <v>32.396885310427884</v>
      </c>
      <c r="AI90">
        <f t="shared" si="126"/>
        <v>39.168992072017147</v>
      </c>
      <c r="AJ90">
        <f t="shared" si="127"/>
        <v>33.121413857968697</v>
      </c>
      <c r="AK90">
        <f t="shared" si="128"/>
        <v>37.051074513373401</v>
      </c>
      <c r="AL90">
        <f t="shared" si="129"/>
        <v>23.569276720716434</v>
      </c>
      <c r="AM90">
        <f t="shared" si="130"/>
        <v>22.43988938060334</v>
      </c>
      <c r="AN90">
        <f t="shared" si="131"/>
        <v>27.950186238675663</v>
      </c>
      <c r="AO90">
        <f t="shared" si="132"/>
        <v>27.390131575617339</v>
      </c>
      <c r="AP90">
        <f t="shared" si="133"/>
        <v>38.526278738808649</v>
      </c>
      <c r="AQ90">
        <f t="shared" si="134"/>
        <v>39.567103218046562</v>
      </c>
      <c r="AR90">
        <f t="shared" si="135"/>
        <v>34.836159535675876</v>
      </c>
      <c r="AS90">
        <f t="shared" si="136"/>
        <v>38.836670479780736</v>
      </c>
      <c r="AT90">
        <f t="shared" si="137"/>
        <v>33.375294059144231</v>
      </c>
      <c r="AU90">
        <f t="shared" si="138"/>
        <v>33.146717532504461</v>
      </c>
      <c r="AV90">
        <f t="shared" si="139"/>
        <v>33.185516500125971</v>
      </c>
      <c r="AW90">
        <f t="shared" si="140"/>
        <v>34.456604417639362</v>
      </c>
      <c r="AX90">
        <f t="shared" si="141"/>
        <v>14.319940222075523</v>
      </c>
      <c r="AY90">
        <f t="shared" si="142"/>
        <v>35.809507549485076</v>
      </c>
      <c r="AZ90">
        <f t="shared" si="143"/>
        <v>33.947157103652579</v>
      </c>
      <c r="BA90">
        <f t="shared" si="144"/>
        <v>28.005010866836489</v>
      </c>
      <c r="BB90">
        <f t="shared" si="145"/>
        <v>35.220775388619543</v>
      </c>
      <c r="BC90" s="2">
        <f t="shared" si="147"/>
        <v>32.014631133774216</v>
      </c>
      <c r="BD90">
        <f t="shared" si="148"/>
        <v>44.299640152157281</v>
      </c>
      <c r="BE90">
        <f t="shared" si="149"/>
        <v>6.6557974843107477</v>
      </c>
      <c r="BF90" s="12">
        <f t="shared" si="150"/>
        <v>25.62207201074618</v>
      </c>
      <c r="BG90">
        <f t="shared" si="151"/>
        <v>6.3925591230280361</v>
      </c>
      <c r="BH90">
        <f t="shared" si="152"/>
        <v>40.864812141408976</v>
      </c>
      <c r="BJ90" s="7">
        <v>78</v>
      </c>
      <c r="BK90">
        <f t="shared" si="153"/>
        <v>198.88098427513722</v>
      </c>
      <c r="BL90">
        <f t="shared" si="154"/>
        <v>44.337596118913034</v>
      </c>
      <c r="BM90">
        <f t="shared" si="155"/>
        <v>58.850575620847195</v>
      </c>
      <c r="BN90">
        <f t="shared" si="156"/>
        <v>341.06954102211114</v>
      </c>
      <c r="BO90">
        <f t="shared" si="157"/>
        <v>0.82475598244581605</v>
      </c>
      <c r="BP90">
        <f t="shared" si="158"/>
        <v>107.77870061486372</v>
      </c>
      <c r="BQ90">
        <f t="shared" si="159"/>
        <v>16.050334027015559</v>
      </c>
      <c r="BR90">
        <f t="shared" si="160"/>
        <v>67.749441832297833</v>
      </c>
      <c r="BS90">
        <f t="shared" si="161"/>
        <v>124.91000726717978</v>
      </c>
      <c r="BT90">
        <f t="shared" si="162"/>
        <v>89.000310910906649</v>
      </c>
      <c r="BU90">
        <f t="shared" si="163"/>
        <v>45.543770592864576</v>
      </c>
      <c r="BV90">
        <f t="shared" si="164"/>
        <v>63.414068359507063</v>
      </c>
      <c r="BW90">
        <f t="shared" si="165"/>
        <v>40.66463582289866</v>
      </c>
      <c r="BX90">
        <f t="shared" si="166"/>
        <v>17.607506755809975</v>
      </c>
      <c r="BY90">
        <f t="shared" si="167"/>
        <v>5.903890804647264</v>
      </c>
      <c r="BZ90">
        <f t="shared" si="168"/>
        <v>17.569443925526361</v>
      </c>
      <c r="CA90">
        <f t="shared" si="169"/>
        <v>11.168174495687611</v>
      </c>
      <c r="CB90">
        <f t="shared" si="170"/>
        <v>98.679628410471281</v>
      </c>
      <c r="CC90">
        <f t="shared" si="171"/>
        <v>3.123393180530163E-5</v>
      </c>
      <c r="CD90">
        <f t="shared" si="172"/>
        <v>3.4379611974802833</v>
      </c>
      <c r="CE90">
        <f t="shared" si="173"/>
        <v>157.65639366621903</v>
      </c>
      <c r="CF90">
        <f t="shared" si="174"/>
        <v>83.054791270483165</v>
      </c>
      <c r="CG90">
        <f t="shared" si="175"/>
        <v>113.85709248350368</v>
      </c>
      <c r="CH90">
        <f t="shared" si="176"/>
        <v>42.629759695848648</v>
      </c>
      <c r="CI90">
        <f t="shared" si="177"/>
        <v>130.29916810314774</v>
      </c>
      <c r="CJ90" s="7">
        <v>78</v>
      </c>
      <c r="CK90" s="13">
        <f t="shared" si="178"/>
        <v>25.183336373691695</v>
      </c>
      <c r="CL90">
        <f t="shared" si="179"/>
        <v>2.6600523174203565</v>
      </c>
      <c r="CM90">
        <f t="shared" si="180"/>
        <v>22.52328405627134</v>
      </c>
      <c r="CN90">
        <f t="shared" si="181"/>
        <v>27.84338869111205</v>
      </c>
      <c r="CO90">
        <f t="shared" si="182"/>
        <v>5.3201046348407131</v>
      </c>
      <c r="CP90">
        <f t="shared" si="183"/>
        <v>19.863231738850981</v>
      </c>
      <c r="CQ90">
        <f t="shared" si="184"/>
        <v>30.503441008532409</v>
      </c>
      <c r="CR90">
        <f t="shared" si="185"/>
        <v>7.9801569522610691</v>
      </c>
      <c r="CS90">
        <f t="shared" si="186"/>
        <v>17.203179421430626</v>
      </c>
      <c r="CT90">
        <f t="shared" si="187"/>
        <v>33.163493325952764</v>
      </c>
    </row>
    <row r="91" spans="1:98" x14ac:dyDescent="0.25">
      <c r="A91" s="7">
        <v>80</v>
      </c>
      <c r="B91" s="9">
        <f t="shared" si="146"/>
        <v>26.089693119458389</v>
      </c>
      <c r="C91">
        <v>0.2303842280343027</v>
      </c>
      <c r="D91">
        <v>0.80535294656208989</v>
      </c>
      <c r="E91">
        <v>0.72246467482528143</v>
      </c>
      <c r="F91">
        <v>-0.86584063234351638</v>
      </c>
      <c r="G91">
        <v>-0.85686819055757313</v>
      </c>
      <c r="H91">
        <v>-0.81701101718192082</v>
      </c>
      <c r="I91">
        <v>0.46360667744987327</v>
      </c>
      <c r="J91">
        <v>0.6198614459669789</v>
      </c>
      <c r="K91">
        <v>0.56260872219000824</v>
      </c>
      <c r="L91">
        <v>-0.71617786187322618</v>
      </c>
      <c r="M91">
        <v>-0.88103885006256299</v>
      </c>
      <c r="N91">
        <v>-0.32529679250465404</v>
      </c>
      <c r="O91">
        <v>0.65153965880306397</v>
      </c>
      <c r="P91">
        <v>0.3077791680654316</v>
      </c>
      <c r="Q91">
        <v>-0.97686696981719412</v>
      </c>
      <c r="R91">
        <v>0.49125644703512683</v>
      </c>
      <c r="S91">
        <v>0.24338511307107757</v>
      </c>
      <c r="T91">
        <v>0.52079836420789216</v>
      </c>
      <c r="U91">
        <v>7.8585161900692757E-2</v>
      </c>
      <c r="V91">
        <v>0.26169621875667581</v>
      </c>
      <c r="W91">
        <v>6.3509018219550128E-2</v>
      </c>
      <c r="X91">
        <v>-0.1582384716330455</v>
      </c>
      <c r="Y91">
        <v>-0.75609607226783049</v>
      </c>
      <c r="Z91">
        <v>0.96227912228766743</v>
      </c>
      <c r="AA91">
        <v>0.62553788872951444</v>
      </c>
      <c r="AC91" s="7">
        <v>80</v>
      </c>
      <c r="AD91">
        <f t="shared" si="121"/>
        <v>29.273317103966878</v>
      </c>
      <c r="AE91">
        <f t="shared" si="122"/>
        <v>37.2186709081979</v>
      </c>
      <c r="AF91">
        <f t="shared" si="123"/>
        <v>36.073257907545489</v>
      </c>
      <c r="AG91">
        <f t="shared" si="124"/>
        <v>14.124850615220687</v>
      </c>
      <c r="AH91">
        <f t="shared" si="125"/>
        <v>14.248838620445948</v>
      </c>
      <c r="AI91">
        <f t="shared" si="126"/>
        <v>14.799615269507823</v>
      </c>
      <c r="AJ91">
        <f t="shared" si="127"/>
        <v>32.496161784005807</v>
      </c>
      <c r="AK91">
        <f t="shared" si="128"/>
        <v>34.655408677724644</v>
      </c>
      <c r="AL91">
        <f t="shared" si="129"/>
        <v>33.864247120572976</v>
      </c>
      <c r="AM91">
        <f t="shared" si="130"/>
        <v>16.193004280610758</v>
      </c>
      <c r="AN91">
        <f t="shared" si="131"/>
        <v>13.914830116573816</v>
      </c>
      <c r="AO91">
        <f t="shared" si="132"/>
        <v>21.594495338179279</v>
      </c>
      <c r="AP91">
        <f t="shared" si="133"/>
        <v>35.093162247193419</v>
      </c>
      <c r="AQ91">
        <f t="shared" si="134"/>
        <v>30.342819081011989</v>
      </c>
      <c r="AR91">
        <f t="shared" si="135"/>
        <v>12.590604482535314</v>
      </c>
      <c r="AS91">
        <f t="shared" si="136"/>
        <v>32.878247269495901</v>
      </c>
      <c r="AT91">
        <f t="shared" si="137"/>
        <v>29.452973193170831</v>
      </c>
      <c r="AU91">
        <f t="shared" si="138"/>
        <v>33.286479885339617</v>
      </c>
      <c r="AV91">
        <f t="shared" si="139"/>
        <v>27.175642484951748</v>
      </c>
      <c r="AW91">
        <f t="shared" si="140"/>
        <v>29.706009938528503</v>
      </c>
      <c r="AX91">
        <f t="shared" si="141"/>
        <v>26.967308897940594</v>
      </c>
      <c r="AY91">
        <f t="shared" si="142"/>
        <v>23.90303391165914</v>
      </c>
      <c r="AZ91">
        <f t="shared" si="143"/>
        <v>15.641384175731023</v>
      </c>
      <c r="BA91">
        <f t="shared" si="144"/>
        <v>39.387195815913181</v>
      </c>
      <c r="BB91">
        <f t="shared" si="145"/>
        <v>34.733850068785522</v>
      </c>
      <c r="BC91" s="2">
        <f t="shared" si="147"/>
        <v>26.784616367792349</v>
      </c>
      <c r="BD91">
        <f t="shared" si="148"/>
        <v>76.86423419160792</v>
      </c>
      <c r="BE91">
        <f t="shared" si="149"/>
        <v>8.7672249994857498</v>
      </c>
      <c r="BF91" s="12">
        <f t="shared" si="150"/>
        <v>25.910174229043587</v>
      </c>
      <c r="BG91">
        <f t="shared" si="151"/>
        <v>0.87444213874876198</v>
      </c>
      <c r="BH91">
        <f t="shared" si="152"/>
        <v>0.76464905401950911</v>
      </c>
      <c r="BJ91" s="7">
        <v>79</v>
      </c>
      <c r="BK91">
        <f t="shared" si="153"/>
        <v>96.163080884700562</v>
      </c>
      <c r="BL91">
        <f t="shared" si="154"/>
        <v>95.013584107660549</v>
      </c>
      <c r="BM91">
        <f t="shared" si="155"/>
        <v>137.44563346820024</v>
      </c>
      <c r="BN91">
        <f t="shared" si="156"/>
        <v>256.04033541137744</v>
      </c>
      <c r="BO91">
        <f t="shared" si="157"/>
        <v>80.003033348716087</v>
      </c>
      <c r="BP91">
        <f t="shared" si="158"/>
        <v>228.19322351630905</v>
      </c>
      <c r="BQ91">
        <f t="shared" si="159"/>
        <v>96.396517006076195</v>
      </c>
      <c r="BR91">
        <f t="shared" si="160"/>
        <v>168.63158429912582</v>
      </c>
      <c r="BS91">
        <f t="shared" si="161"/>
        <v>20.828661531341861</v>
      </c>
      <c r="BT91">
        <f t="shared" si="162"/>
        <v>0.10390460219023966</v>
      </c>
      <c r="BU91">
        <f t="shared" si="163"/>
        <v>3.9054252555667177E-4</v>
      </c>
      <c r="BV91">
        <f t="shared" si="164"/>
        <v>1.6815938218620394</v>
      </c>
      <c r="BW91">
        <f t="shared" si="165"/>
        <v>142.05574448394924</v>
      </c>
      <c r="BX91">
        <f t="shared" si="166"/>
        <v>132.133453550881</v>
      </c>
      <c r="BY91">
        <f t="shared" si="167"/>
        <v>92.192459780803802</v>
      </c>
      <c r="BZ91">
        <f t="shared" si="168"/>
        <v>316.62473644975165</v>
      </c>
      <c r="CA91">
        <f t="shared" si="169"/>
        <v>126.71454543187805</v>
      </c>
      <c r="CB91">
        <f t="shared" si="170"/>
        <v>19.648241316621686</v>
      </c>
      <c r="CC91">
        <f t="shared" si="171"/>
        <v>33.008876243645354</v>
      </c>
      <c r="CD91">
        <f t="shared" si="172"/>
        <v>77.46430554536208</v>
      </c>
      <c r="CE91">
        <f t="shared" si="173"/>
        <v>203.59400514314433</v>
      </c>
      <c r="CF91">
        <f t="shared" si="174"/>
        <v>69.274960464267195</v>
      </c>
      <c r="CG91">
        <f t="shared" si="175"/>
        <v>52.262174455102446</v>
      </c>
      <c r="CH91">
        <f t="shared" si="176"/>
        <v>3.2583989118318467E-2</v>
      </c>
      <c r="CI91">
        <f t="shared" si="177"/>
        <v>104.17229996237435</v>
      </c>
      <c r="CJ91" s="7">
        <v>79</v>
      </c>
      <c r="CK91" s="13">
        <f t="shared" si="178"/>
        <v>25.467942987313556</v>
      </c>
      <c r="CL91">
        <f t="shared" si="179"/>
        <v>2.7067794444504378</v>
      </c>
      <c r="CM91">
        <f t="shared" si="180"/>
        <v>22.76116354286312</v>
      </c>
      <c r="CN91">
        <f t="shared" si="181"/>
        <v>28.174722431763993</v>
      </c>
      <c r="CO91">
        <f t="shared" si="182"/>
        <v>5.4135588889008757</v>
      </c>
      <c r="CP91">
        <f t="shared" si="183"/>
        <v>20.05438409841268</v>
      </c>
      <c r="CQ91">
        <f t="shared" si="184"/>
        <v>30.881501876214433</v>
      </c>
      <c r="CR91">
        <f t="shared" si="185"/>
        <v>8.1203383333513131</v>
      </c>
      <c r="CS91">
        <f t="shared" si="186"/>
        <v>17.347604653962243</v>
      </c>
      <c r="CT91">
        <f t="shared" si="187"/>
        <v>33.588281320664869</v>
      </c>
    </row>
    <row r="92" spans="1:98" x14ac:dyDescent="0.25">
      <c r="A92" s="7">
        <v>81</v>
      </c>
      <c r="B92" s="9">
        <f t="shared" si="146"/>
        <v>26.381277519508149</v>
      </c>
      <c r="C92">
        <v>0.40275276955473505</v>
      </c>
      <c r="D92">
        <v>0.10495315408795425</v>
      </c>
      <c r="E92">
        <v>0.89165929136020994</v>
      </c>
      <c r="F92">
        <v>0.8665120395519883</v>
      </c>
      <c r="G92">
        <v>0.89355143894772171</v>
      </c>
      <c r="H92">
        <v>-0.9107028412732322</v>
      </c>
      <c r="I92">
        <v>0.27555162205877859</v>
      </c>
      <c r="J92">
        <v>0.58268990142521448</v>
      </c>
      <c r="K92">
        <v>-0.49559007538071842</v>
      </c>
      <c r="L92">
        <v>-0.11123996704000971</v>
      </c>
      <c r="M92">
        <v>0.25064851832636492</v>
      </c>
      <c r="N92">
        <v>0.72862941373943291</v>
      </c>
      <c r="O92">
        <v>-0.7210608233893856</v>
      </c>
      <c r="P92">
        <v>0.65086825159459205</v>
      </c>
      <c r="Q92">
        <v>-0.46073793755912962</v>
      </c>
      <c r="R92">
        <v>0.6419568468276009</v>
      </c>
      <c r="S92">
        <v>0.68950468459120451</v>
      </c>
      <c r="T92">
        <v>-0.4974211859492782</v>
      </c>
      <c r="U92">
        <v>0.12863551744132806</v>
      </c>
      <c r="V92">
        <v>0.25669118320261242</v>
      </c>
      <c r="W92">
        <v>-0.75237281411175871</v>
      </c>
      <c r="X92">
        <v>0.96862697225867489</v>
      </c>
      <c r="Y92">
        <v>0.26602984710226751</v>
      </c>
      <c r="Z92">
        <v>0.36692403942991425</v>
      </c>
      <c r="AA92">
        <v>0.96270638142033138</v>
      </c>
      <c r="AC92" s="7">
        <v>81</v>
      </c>
      <c r="AD92">
        <f t="shared" si="121"/>
        <v>31.946820733650231</v>
      </c>
      <c r="AE92">
        <f t="shared" si="122"/>
        <v>27.83159979831656</v>
      </c>
      <c r="AF92">
        <f t="shared" si="123"/>
        <v>38.702901834700171</v>
      </c>
      <c r="AG92">
        <f t="shared" si="124"/>
        <v>38.355398037742297</v>
      </c>
      <c r="AH92">
        <f t="shared" si="125"/>
        <v>38.729048965053799</v>
      </c>
      <c r="AI92">
        <f t="shared" si="126"/>
        <v>13.796494989144142</v>
      </c>
      <c r="AJ92">
        <f t="shared" si="127"/>
        <v>30.18905880923224</v>
      </c>
      <c r="AK92">
        <f t="shared" si="128"/>
        <v>34.433328484698322</v>
      </c>
      <c r="AL92">
        <f t="shared" si="129"/>
        <v>19.532838006402653</v>
      </c>
      <c r="AM92">
        <f t="shared" si="130"/>
        <v>24.844079291460268</v>
      </c>
      <c r="AN92">
        <f t="shared" si="131"/>
        <v>29.844928835545801</v>
      </c>
      <c r="AO92">
        <f t="shared" si="132"/>
        <v>36.450031345199001</v>
      </c>
      <c r="AP92">
        <f t="shared" si="133"/>
        <v>16.417112215231803</v>
      </c>
      <c r="AQ92">
        <f t="shared" si="134"/>
        <v>35.375468633246733</v>
      </c>
      <c r="AR92">
        <f t="shared" si="135"/>
        <v>20.014451278400095</v>
      </c>
      <c r="AS92">
        <f t="shared" si="136"/>
        <v>35.252324083839333</v>
      </c>
      <c r="AT92">
        <f t="shared" si="137"/>
        <v>35.909376165951429</v>
      </c>
      <c r="AU92">
        <f t="shared" si="138"/>
        <v>19.507534331866886</v>
      </c>
      <c r="AV92">
        <f t="shared" si="139"/>
        <v>28.158860655645821</v>
      </c>
      <c r="AW92">
        <f t="shared" si="140"/>
        <v>29.928430961513836</v>
      </c>
      <c r="AX92">
        <f t="shared" si="141"/>
        <v>15.984419380670181</v>
      </c>
      <c r="AY92">
        <f t="shared" si="142"/>
        <v>39.766499621020273</v>
      </c>
      <c r="AZ92">
        <f t="shared" si="143"/>
        <v>30.057479701646251</v>
      </c>
      <c r="BA92">
        <f t="shared" si="144"/>
        <v>31.451712168567042</v>
      </c>
      <c r="BB92">
        <f t="shared" si="145"/>
        <v>39.684684406687957</v>
      </c>
      <c r="BC92" s="2">
        <f t="shared" si="147"/>
        <v>29.686595309417321</v>
      </c>
      <c r="BD92">
        <f t="shared" si="148"/>
        <v>65.19260927991354</v>
      </c>
      <c r="BE92">
        <f t="shared" si="149"/>
        <v>8.0741940328378003</v>
      </c>
      <c r="BF92" s="12">
        <f t="shared" si="150"/>
        <v>26.198276447340998</v>
      </c>
      <c r="BG92">
        <f t="shared" si="151"/>
        <v>3.4883188620763228</v>
      </c>
      <c r="BH92">
        <f t="shared" si="152"/>
        <v>12.168368483517451</v>
      </c>
      <c r="BJ92" s="7">
        <v>80</v>
      </c>
      <c r="BK92">
        <f t="shared" si="153"/>
        <v>3.5546664418658089</v>
      </c>
      <c r="BL92">
        <f t="shared" si="154"/>
        <v>91.174155391084724</v>
      </c>
      <c r="BM92">
        <f t="shared" si="155"/>
        <v>133.11768087639203</v>
      </c>
      <c r="BN92">
        <f t="shared" si="156"/>
        <v>13.801687242648157</v>
      </c>
      <c r="BO92">
        <f t="shared" si="157"/>
        <v>89.164592982026363</v>
      </c>
      <c r="BP92">
        <f t="shared" si="158"/>
        <v>90.713452690856144</v>
      </c>
      <c r="BQ92">
        <f t="shared" si="159"/>
        <v>79.603059266878432</v>
      </c>
      <c r="BR92">
        <f t="shared" si="160"/>
        <v>106.60513782689176</v>
      </c>
      <c r="BS92">
        <f t="shared" si="161"/>
        <v>28.890755240439528</v>
      </c>
      <c r="BT92">
        <f t="shared" si="162"/>
        <v>46.34712265937889</v>
      </c>
      <c r="BU92">
        <f t="shared" si="163"/>
        <v>204.82630106916056</v>
      </c>
      <c r="BV92">
        <f t="shared" si="164"/>
        <v>23.036095732438454</v>
      </c>
      <c r="BW92">
        <f t="shared" si="165"/>
        <v>66.40282632847007</v>
      </c>
      <c r="BX92">
        <f t="shared" si="166"/>
        <v>3.9143541990437183</v>
      </c>
      <c r="BY92">
        <f t="shared" si="167"/>
        <v>167.57668694533879</v>
      </c>
      <c r="BZ92">
        <f t="shared" si="168"/>
        <v>135.86581426300714</v>
      </c>
      <c r="CA92">
        <f t="shared" si="169"/>
        <v>50.100344696330694</v>
      </c>
      <c r="CB92">
        <f t="shared" si="170"/>
        <v>17.865169835304961</v>
      </c>
      <c r="CC92">
        <f t="shared" si="171"/>
        <v>0.32059955449483313</v>
      </c>
      <c r="CD92">
        <f t="shared" si="172"/>
        <v>14.078372123996386</v>
      </c>
      <c r="CE92">
        <f t="shared" si="173"/>
        <v>3.8364725290463291</v>
      </c>
      <c r="CF92">
        <f t="shared" si="174"/>
        <v>15.26554896824312</v>
      </c>
      <c r="CG92">
        <f t="shared" si="175"/>
        <v>128.64389529741831</v>
      </c>
      <c r="CH92">
        <f t="shared" si="176"/>
        <v>126.48639279205482</v>
      </c>
      <c r="CI92">
        <f t="shared" si="177"/>
        <v>89.145164545585757</v>
      </c>
      <c r="CJ92" s="7">
        <v>80</v>
      </c>
      <c r="CK92" s="13">
        <f t="shared" si="178"/>
        <v>25.752549600935417</v>
      </c>
      <c r="CL92">
        <f t="shared" si="179"/>
        <v>2.7536764689969999</v>
      </c>
      <c r="CM92">
        <f t="shared" si="180"/>
        <v>22.998873131938417</v>
      </c>
      <c r="CN92">
        <f t="shared" si="181"/>
        <v>28.506226069932417</v>
      </c>
      <c r="CO92">
        <f t="shared" si="182"/>
        <v>5.5073529379939998</v>
      </c>
      <c r="CP92">
        <f t="shared" si="183"/>
        <v>20.245196662941417</v>
      </c>
      <c r="CQ92">
        <f t="shared" si="184"/>
        <v>31.259902538929417</v>
      </c>
      <c r="CR92">
        <f t="shared" si="185"/>
        <v>8.2610294069909997</v>
      </c>
      <c r="CS92">
        <f t="shared" si="186"/>
        <v>17.491520193944417</v>
      </c>
      <c r="CT92">
        <f t="shared" si="187"/>
        <v>34.013579007926417</v>
      </c>
    </row>
    <row r="93" spans="1:98" x14ac:dyDescent="0.25">
      <c r="A93" s="7">
        <v>82</v>
      </c>
      <c r="B93" s="9">
        <f t="shared" si="146"/>
        <v>26.672861919557906</v>
      </c>
      <c r="C93">
        <v>0.84649189733573404</v>
      </c>
      <c r="D93">
        <v>8.3285012359996413E-2</v>
      </c>
      <c r="E93">
        <v>-0.99584948271126439</v>
      </c>
      <c r="F93">
        <v>-0.54026917325357826</v>
      </c>
      <c r="G93">
        <v>0.10141300698873867</v>
      </c>
      <c r="H93">
        <v>0.16220587786492513</v>
      </c>
      <c r="I93">
        <v>0.99035615100558494</v>
      </c>
      <c r="J93">
        <v>-0.42893765068514056</v>
      </c>
      <c r="K93">
        <v>-0.65691091647083955</v>
      </c>
      <c r="L93">
        <v>0.35422833948789934</v>
      </c>
      <c r="M93">
        <v>0.72887356181524088</v>
      </c>
      <c r="N93">
        <v>-0.78783532212286755</v>
      </c>
      <c r="O93">
        <v>0.44718771935178681</v>
      </c>
      <c r="P93">
        <v>-0.83342997528000728</v>
      </c>
      <c r="Q93">
        <v>-0.70311593981749931</v>
      </c>
      <c r="R93">
        <v>0.35581530198065137</v>
      </c>
      <c r="S93">
        <v>0.88335825678273872</v>
      </c>
      <c r="T93">
        <v>-0.97302163762321847</v>
      </c>
      <c r="U93">
        <v>-9.9398785363322806E-2</v>
      </c>
      <c r="V93">
        <v>0.91570787682729571</v>
      </c>
      <c r="W93">
        <v>-0.68663594470046085</v>
      </c>
      <c r="X93">
        <v>-0.25998718222602013</v>
      </c>
      <c r="Y93">
        <v>0.75621814630573447</v>
      </c>
      <c r="Z93">
        <v>0.35349589526047542</v>
      </c>
      <c r="AA93">
        <v>2.1149327066866119E-2</v>
      </c>
      <c r="AC93" s="7">
        <v>82</v>
      </c>
      <c r="AD93">
        <f t="shared" si="121"/>
        <v>38.370328929534331</v>
      </c>
      <c r="AE93">
        <f t="shared" si="122"/>
        <v>27.823757383026404</v>
      </c>
      <c r="AF93">
        <f t="shared" si="123"/>
        <v>12.911458523280707</v>
      </c>
      <c r="AG93">
        <f t="shared" si="124"/>
        <v>19.207012747779682</v>
      </c>
      <c r="AH93">
        <f t="shared" si="125"/>
        <v>28.074263760930499</v>
      </c>
      <c r="AI93">
        <f t="shared" si="126"/>
        <v>28.914345755517985</v>
      </c>
      <c r="AJ93">
        <f t="shared" si="127"/>
        <v>40.358354292227801</v>
      </c>
      <c r="AK93">
        <f t="shared" si="128"/>
        <v>20.74547615955435</v>
      </c>
      <c r="AL93">
        <f t="shared" si="129"/>
        <v>17.595168679851287</v>
      </c>
      <c r="AM93">
        <f t="shared" si="130"/>
        <v>31.567857758502143</v>
      </c>
      <c r="AN93">
        <f t="shared" si="131"/>
        <v>36.744989568520189</v>
      </c>
      <c r="AO93">
        <f t="shared" si="132"/>
        <v>15.785955950543904</v>
      </c>
      <c r="AP93">
        <f t="shared" si="133"/>
        <v>32.852440969101281</v>
      </c>
      <c r="AQ93">
        <f t="shared" si="134"/>
        <v>15.155894454603292</v>
      </c>
      <c r="AR93">
        <f t="shared" si="135"/>
        <v>16.956672625732082</v>
      </c>
      <c r="AS93">
        <f t="shared" si="136"/>
        <v>31.589787609766478</v>
      </c>
      <c r="AT93">
        <f t="shared" si="137"/>
        <v>38.879776243521121</v>
      </c>
      <c r="AU93">
        <f t="shared" si="138"/>
        <v>13.226910999159943</v>
      </c>
      <c r="AV93">
        <f t="shared" si="139"/>
        <v>25.299294120174658</v>
      </c>
      <c r="AW93">
        <f t="shared" si="140"/>
        <v>39.326807826986347</v>
      </c>
      <c r="AX93">
        <f t="shared" si="141"/>
        <v>17.184405696553991</v>
      </c>
      <c r="AY93">
        <f t="shared" si="142"/>
        <v>23.08016186338784</v>
      </c>
      <c r="AZ93">
        <f t="shared" si="143"/>
        <v>37.122857774920988</v>
      </c>
      <c r="BA93">
        <f t="shared" si="144"/>
        <v>31.557736288687838</v>
      </c>
      <c r="BB93">
        <f t="shared" si="145"/>
        <v>26.965119360446025</v>
      </c>
      <c r="BC93" s="2">
        <f t="shared" si="147"/>
        <v>26.691873413692448</v>
      </c>
      <c r="BD93">
        <f t="shared" si="148"/>
        <v>81.513411721897839</v>
      </c>
      <c r="BE93">
        <f t="shared" si="149"/>
        <v>9.0284778186523695</v>
      </c>
      <c r="BF93" s="12">
        <f t="shared" si="150"/>
        <v>26.486378665638409</v>
      </c>
      <c r="BG93">
        <f t="shared" si="151"/>
        <v>0.20549474805403989</v>
      </c>
      <c r="BH93">
        <f t="shared" si="152"/>
        <v>4.2228091477793328E-2</v>
      </c>
      <c r="BJ93" s="7">
        <v>81</v>
      </c>
      <c r="BK93">
        <f t="shared" si="153"/>
        <v>17.898892903680728</v>
      </c>
      <c r="BL93">
        <f t="shared" si="154"/>
        <v>2.1340833037202672E-2</v>
      </c>
      <c r="BM93">
        <f t="shared" si="155"/>
        <v>192.47508663123497</v>
      </c>
      <c r="BN93">
        <f t="shared" si="156"/>
        <v>415.76686901299536</v>
      </c>
      <c r="BO93">
        <f t="shared" si="157"/>
        <v>218.99307261490509</v>
      </c>
      <c r="BP93">
        <f t="shared" si="158"/>
        <v>116.39240734749862</v>
      </c>
      <c r="BQ93">
        <f t="shared" si="159"/>
        <v>40.247422297325016</v>
      </c>
      <c r="BR93">
        <f t="shared" si="160"/>
        <v>96.780656574376167</v>
      </c>
      <c r="BS93">
        <f t="shared" si="161"/>
        <v>86.722887877345087</v>
      </c>
      <c r="BT93">
        <f t="shared" si="162"/>
        <v>2.5746072091064081</v>
      </c>
      <c r="BU93">
        <f t="shared" si="163"/>
        <v>1.7481726352762108</v>
      </c>
      <c r="BV93">
        <f t="shared" si="164"/>
        <v>95.164372734835808</v>
      </c>
      <c r="BW93">
        <f t="shared" si="165"/>
        <v>118.02783686998445</v>
      </c>
      <c r="BX93">
        <f t="shared" si="166"/>
        <v>45.144254568799077</v>
      </c>
      <c r="BY93">
        <f t="shared" si="167"/>
        <v>33.902338862359045</v>
      </c>
      <c r="BZ93">
        <f t="shared" si="168"/>
        <v>191.84594014348127</v>
      </c>
      <c r="CA93">
        <f t="shared" si="169"/>
        <v>176.31292388138331</v>
      </c>
      <c r="CB93">
        <f t="shared" si="170"/>
        <v>97.968418866240953</v>
      </c>
      <c r="CC93">
        <f t="shared" si="171"/>
        <v>1.3300267774811077E-2</v>
      </c>
      <c r="CD93">
        <f t="shared" si="172"/>
        <v>13.511990749305074</v>
      </c>
      <c r="CE93">
        <f t="shared" si="173"/>
        <v>176.33195114106928</v>
      </c>
      <c r="CF93">
        <f t="shared" si="174"/>
        <v>135.31624091941873</v>
      </c>
      <c r="CG93">
        <f t="shared" si="175"/>
        <v>7.8868397541234838</v>
      </c>
      <c r="CH93">
        <f t="shared" si="176"/>
        <v>8.9703541158936293</v>
      </c>
      <c r="CI93">
        <f t="shared" si="177"/>
        <v>199.22249299329451</v>
      </c>
      <c r="CJ93" s="7">
        <v>81</v>
      </c>
      <c r="CK93" s="13">
        <f t="shared" si="178"/>
        <v>26.037156214557278</v>
      </c>
      <c r="CL93">
        <f t="shared" si="179"/>
        <v>2.8007348565043615</v>
      </c>
      <c r="CM93">
        <f t="shared" si="180"/>
        <v>23.236421358052915</v>
      </c>
      <c r="CN93">
        <f t="shared" si="181"/>
        <v>28.837891071061641</v>
      </c>
      <c r="CO93">
        <f t="shared" si="182"/>
        <v>5.601469713008723</v>
      </c>
      <c r="CP93">
        <f t="shared" si="183"/>
        <v>20.435686501548556</v>
      </c>
      <c r="CQ93">
        <f t="shared" si="184"/>
        <v>31.638625927566</v>
      </c>
      <c r="CR93">
        <f t="shared" si="185"/>
        <v>8.4022045695130849</v>
      </c>
      <c r="CS93">
        <f t="shared" si="186"/>
        <v>17.634951645044193</v>
      </c>
      <c r="CT93">
        <f t="shared" si="187"/>
        <v>34.43936078407036</v>
      </c>
    </row>
    <row r="94" spans="1:98" x14ac:dyDescent="0.25">
      <c r="A94" s="7">
        <v>83</v>
      </c>
      <c r="B94" s="9">
        <f t="shared" si="146"/>
        <v>26.964446319607667</v>
      </c>
      <c r="C94">
        <v>-0.55284279915768919</v>
      </c>
      <c r="D94">
        <v>-0.54063539536729022</v>
      </c>
      <c r="E94">
        <v>0.82073427533799248</v>
      </c>
      <c r="F94">
        <v>0.73711355937376011</v>
      </c>
      <c r="G94">
        <v>-0.59617908261360508</v>
      </c>
      <c r="H94">
        <v>-9.4576860866115275E-2</v>
      </c>
      <c r="I94">
        <v>0.6479995117038484</v>
      </c>
      <c r="J94">
        <v>-0.58067567979979851</v>
      </c>
      <c r="K94">
        <v>-0.11563463240455341</v>
      </c>
      <c r="L94">
        <v>-0.17722098452711565</v>
      </c>
      <c r="M94">
        <v>-5.2797021393474752E-3</v>
      </c>
      <c r="N94">
        <v>0.55546739097262487</v>
      </c>
      <c r="O94">
        <v>-0.47062593462935265</v>
      </c>
      <c r="P94">
        <v>-1.7853328043458405E-2</v>
      </c>
      <c r="Q94">
        <v>-0.52836695455793947</v>
      </c>
      <c r="R94">
        <v>0.54460280159916996</v>
      </c>
      <c r="S94">
        <v>-0.55369731742301709</v>
      </c>
      <c r="T94">
        <v>-0.85595263527329324</v>
      </c>
      <c r="U94">
        <v>-0.45188756981109046</v>
      </c>
      <c r="V94">
        <v>0.72600482192449722</v>
      </c>
      <c r="W94">
        <v>0.37693411053804127</v>
      </c>
      <c r="X94">
        <v>-0.19278542435987422</v>
      </c>
      <c r="Y94">
        <v>-0.44273201696829123</v>
      </c>
      <c r="Z94">
        <v>-0.38718832972197637</v>
      </c>
      <c r="AA94">
        <v>0.24307992797631761</v>
      </c>
      <c r="AC94" s="7">
        <v>83</v>
      </c>
      <c r="AD94">
        <f t="shared" si="121"/>
        <v>19.324845249350503</v>
      </c>
      <c r="AE94">
        <f t="shared" si="122"/>
        <v>19.493536412922289</v>
      </c>
      <c r="AF94">
        <f t="shared" si="123"/>
        <v>38.305974974447629</v>
      </c>
      <c r="AG94">
        <f t="shared" si="124"/>
        <v>37.150440503980903</v>
      </c>
      <c r="AH94">
        <f t="shared" si="125"/>
        <v>18.725991618670673</v>
      </c>
      <c r="AI94">
        <f t="shared" si="126"/>
        <v>25.657511529835272</v>
      </c>
      <c r="AJ94">
        <f t="shared" si="127"/>
        <v>35.918995009906887</v>
      </c>
      <c r="AK94">
        <f t="shared" si="128"/>
        <v>18.940229396406838</v>
      </c>
      <c r="AL94">
        <f t="shared" si="129"/>
        <v>25.366519272673944</v>
      </c>
      <c r="AM94">
        <f t="shared" si="130"/>
        <v>24.515472352454296</v>
      </c>
      <c r="AN94">
        <f t="shared" si="131"/>
        <v>26.891487391362872</v>
      </c>
      <c r="AO94">
        <f t="shared" si="132"/>
        <v>34.640315990032761</v>
      </c>
      <c r="AP94">
        <f t="shared" si="133"/>
        <v>20.460980236006471</v>
      </c>
      <c r="AQ94">
        <f t="shared" si="134"/>
        <v>26.717735492883932</v>
      </c>
      <c r="AR94">
        <f t="shared" si="135"/>
        <v>19.66307103231193</v>
      </c>
      <c r="AS94">
        <f t="shared" si="136"/>
        <v>34.490180854453875</v>
      </c>
      <c r="AT94">
        <f t="shared" si="137"/>
        <v>19.313036867900479</v>
      </c>
      <c r="AU94">
        <f t="shared" si="138"/>
        <v>15.13624365786311</v>
      </c>
      <c r="AV94">
        <f t="shared" si="139"/>
        <v>20.719921172089158</v>
      </c>
      <c r="AW94">
        <f t="shared" si="140"/>
        <v>36.996931545130586</v>
      </c>
      <c r="AX94">
        <f t="shared" si="141"/>
        <v>32.173207722795425</v>
      </c>
      <c r="AY94">
        <f t="shared" si="142"/>
        <v>24.300391118900272</v>
      </c>
      <c r="AZ94">
        <f t="shared" si="143"/>
        <v>20.846439544767996</v>
      </c>
      <c r="BA94">
        <f t="shared" si="144"/>
        <v>21.613984339019613</v>
      </c>
      <c r="BB94">
        <f t="shared" si="145"/>
        <v>30.323509114230813</v>
      </c>
      <c r="BC94" s="2">
        <f t="shared" si="147"/>
        <v>25.907478096015939</v>
      </c>
      <c r="BD94">
        <f t="shared" si="148"/>
        <v>50.092820672493112</v>
      </c>
      <c r="BE94">
        <f t="shared" si="149"/>
        <v>7.0776281812831279</v>
      </c>
      <c r="BF94" s="12">
        <f t="shared" si="150"/>
        <v>26.774480883935816</v>
      </c>
      <c r="BG94">
        <f t="shared" si="151"/>
        <v>-0.86700278791987628</v>
      </c>
      <c r="BH94">
        <f t="shared" si="152"/>
        <v>0.75169383426083802</v>
      </c>
      <c r="BJ94" s="7">
        <v>82</v>
      </c>
      <c r="BK94">
        <f t="shared" si="153"/>
        <v>106.62707942909122</v>
      </c>
      <c r="BL94">
        <f t="shared" si="154"/>
        <v>0.21294276490842717</v>
      </c>
      <c r="BM94">
        <f t="shared" si="155"/>
        <v>149.12494906334342</v>
      </c>
      <c r="BN94">
        <f t="shared" si="156"/>
        <v>1.2473624549298525</v>
      </c>
      <c r="BO94">
        <f t="shared" si="157"/>
        <v>15.245385955211251</v>
      </c>
      <c r="BP94">
        <f t="shared" si="158"/>
        <v>16.550816589372584</v>
      </c>
      <c r="BQ94">
        <f t="shared" si="159"/>
        <v>263.81929462480542</v>
      </c>
      <c r="BR94">
        <f t="shared" si="160"/>
        <v>16.935829826138253</v>
      </c>
      <c r="BS94">
        <f t="shared" si="161"/>
        <v>134.7061347057664</v>
      </c>
      <c r="BT94">
        <f t="shared" si="162"/>
        <v>65.443118035067457</v>
      </c>
      <c r="BU94">
        <f t="shared" si="163"/>
        <v>62.822832215983006</v>
      </c>
      <c r="BV94">
        <f t="shared" si="164"/>
        <v>125.65451396415963</v>
      </c>
      <c r="BW94">
        <f t="shared" si="165"/>
        <v>27.399596889733914</v>
      </c>
      <c r="BX94">
        <f t="shared" si="166"/>
        <v>190.24137498817893</v>
      </c>
      <c r="BY94">
        <f t="shared" si="167"/>
        <v>84.302274460463252</v>
      </c>
      <c r="BZ94">
        <f t="shared" si="168"/>
        <v>100.17867744567164</v>
      </c>
      <c r="CA94">
        <f t="shared" si="169"/>
        <v>255.75726654111637</v>
      </c>
      <c r="CB94">
        <f t="shared" si="170"/>
        <v>273.04912453147591</v>
      </c>
      <c r="CC94">
        <f t="shared" si="171"/>
        <v>9.2776043954824168</v>
      </c>
      <c r="CD94">
        <f t="shared" si="172"/>
        <v>163.21524321621126</v>
      </c>
      <c r="CE94">
        <f t="shared" si="173"/>
        <v>154.16800527590257</v>
      </c>
      <c r="CF94">
        <f t="shared" si="174"/>
        <v>28.918436067551053</v>
      </c>
      <c r="CG94">
        <f t="shared" si="175"/>
        <v>92.315880421711654</v>
      </c>
      <c r="CH94">
        <f t="shared" si="176"/>
        <v>7.7562289332441106</v>
      </c>
      <c r="CI94">
        <f t="shared" si="177"/>
        <v>1.2480656279480145</v>
      </c>
      <c r="CJ94" s="7">
        <v>82</v>
      </c>
      <c r="CK94" s="13">
        <f t="shared" si="178"/>
        <v>26.321762828179139</v>
      </c>
      <c r="CL94">
        <f t="shared" si="179"/>
        <v>2.8479466080830207</v>
      </c>
      <c r="CM94">
        <f t="shared" si="180"/>
        <v>23.473816220096118</v>
      </c>
      <c r="CN94">
        <f t="shared" si="181"/>
        <v>29.16970943626216</v>
      </c>
      <c r="CO94">
        <f t="shared" si="182"/>
        <v>5.6958932161660414</v>
      </c>
      <c r="CP94">
        <f t="shared" si="183"/>
        <v>20.625869612013098</v>
      </c>
      <c r="CQ94">
        <f t="shared" si="184"/>
        <v>32.017656044345181</v>
      </c>
      <c r="CR94">
        <f t="shared" si="185"/>
        <v>8.5438398242490621</v>
      </c>
      <c r="CS94">
        <f t="shared" si="186"/>
        <v>17.777923003930077</v>
      </c>
      <c r="CT94">
        <f t="shared" si="187"/>
        <v>34.865602652428201</v>
      </c>
    </row>
    <row r="95" spans="1:98" x14ac:dyDescent="0.25">
      <c r="A95" s="7">
        <v>84</v>
      </c>
      <c r="B95" s="9">
        <f t="shared" si="146"/>
        <v>27.256030719657428</v>
      </c>
      <c r="C95">
        <v>0.82000183111056857</v>
      </c>
      <c r="D95">
        <v>0.11123996704000971</v>
      </c>
      <c r="E95">
        <v>0.89696951200903352</v>
      </c>
      <c r="F95">
        <v>0.38462477492599256</v>
      </c>
      <c r="G95">
        <v>-8.230842005676442E-2</v>
      </c>
      <c r="H95">
        <v>-0.26071962645344404</v>
      </c>
      <c r="I95">
        <v>0.78460036011841172</v>
      </c>
      <c r="J95">
        <v>-0.19925534836878567</v>
      </c>
      <c r="K95">
        <v>0.24839014862514119</v>
      </c>
      <c r="L95">
        <v>-0.43931394390697953</v>
      </c>
      <c r="M95">
        <v>-0.77257606738486895</v>
      </c>
      <c r="N95">
        <v>-0.29221472823267314</v>
      </c>
      <c r="O95">
        <v>-5.0752281258583332E-2</v>
      </c>
      <c r="P95">
        <v>0.80571916867580184</v>
      </c>
      <c r="Q95">
        <v>0.61027863399151583</v>
      </c>
      <c r="R95">
        <v>-0.27402569658497877</v>
      </c>
      <c r="S95">
        <v>0.83617664113284706</v>
      </c>
      <c r="T95">
        <v>0.99609363078707225</v>
      </c>
      <c r="U95">
        <v>0.45811334574419393</v>
      </c>
      <c r="V95">
        <v>7.7211828974272922E-3</v>
      </c>
      <c r="W95">
        <v>-0.73064363536484878</v>
      </c>
      <c r="X95">
        <v>-0.40086062196722316</v>
      </c>
      <c r="Y95">
        <v>-0.27445295571764272</v>
      </c>
      <c r="Z95">
        <v>0.61967833491012292</v>
      </c>
      <c r="AA95">
        <v>-0.74285103915524764</v>
      </c>
      <c r="AC95" s="7">
        <v>84</v>
      </c>
      <c r="AD95">
        <f t="shared" si="121"/>
        <v>38.587437904683078</v>
      </c>
      <c r="AE95">
        <f t="shared" si="122"/>
        <v>28.793228947705309</v>
      </c>
      <c r="AF95">
        <f t="shared" si="123"/>
        <v>39.65103569100318</v>
      </c>
      <c r="AG95">
        <f t="shared" si="124"/>
        <v>32.571067555895411</v>
      </c>
      <c r="AH95">
        <f t="shared" si="125"/>
        <v>26.118630549274677</v>
      </c>
      <c r="AI95">
        <f t="shared" si="126"/>
        <v>23.653209193673053</v>
      </c>
      <c r="AJ95">
        <f t="shared" si="127"/>
        <v>38.098233530324904</v>
      </c>
      <c r="AK95">
        <f t="shared" si="128"/>
        <v>24.502569202256986</v>
      </c>
      <c r="AL95">
        <f t="shared" si="129"/>
        <v>30.688474170434301</v>
      </c>
      <c r="AM95">
        <f t="shared" si="130"/>
        <v>21.185257470617856</v>
      </c>
      <c r="AN95">
        <f t="shared" si="131"/>
        <v>16.579988705108157</v>
      </c>
      <c r="AO95">
        <f t="shared" si="132"/>
        <v>23.217985991657851</v>
      </c>
      <c r="AP95">
        <f t="shared" si="133"/>
        <v>26.554697207107736</v>
      </c>
      <c r="AQ95">
        <f t="shared" si="134"/>
        <v>38.390069243304097</v>
      </c>
      <c r="AR95">
        <f t="shared" si="135"/>
        <v>35.68932371451983</v>
      </c>
      <c r="AS95">
        <f t="shared" si="136"/>
        <v>23.469335825379808</v>
      </c>
      <c r="AT95">
        <f t="shared" si="137"/>
        <v>38.810953696415694</v>
      </c>
      <c r="AU95">
        <f t="shared" si="138"/>
        <v>41.020807939206065</v>
      </c>
      <c r="AV95">
        <f t="shared" si="139"/>
        <v>33.586588360597545</v>
      </c>
      <c r="AW95">
        <f t="shared" si="140"/>
        <v>27.362727880616582</v>
      </c>
      <c r="AX95">
        <f t="shared" si="141"/>
        <v>17.159442851977232</v>
      </c>
      <c r="AY95">
        <f t="shared" si="142"/>
        <v>21.716634635868974</v>
      </c>
      <c r="AZ95">
        <f t="shared" si="143"/>
        <v>23.463431634654796</v>
      </c>
      <c r="BA95">
        <f t="shared" si="144"/>
        <v>35.819215910470106</v>
      </c>
      <c r="BB95">
        <f t="shared" si="145"/>
        <v>16.990751688405449</v>
      </c>
      <c r="BC95" s="2">
        <f t="shared" si="147"/>
        <v>28.947243980046352</v>
      </c>
      <c r="BD95">
        <f t="shared" si="148"/>
        <v>60.75740722529023</v>
      </c>
      <c r="BE95">
        <f t="shared" si="149"/>
        <v>7.7947037933003092</v>
      </c>
      <c r="BF95" s="12">
        <f t="shared" si="150"/>
        <v>27.062583102233226</v>
      </c>
      <c r="BG95">
        <f t="shared" si="151"/>
        <v>1.8846608778131255</v>
      </c>
      <c r="BH95">
        <f t="shared" si="152"/>
        <v>3.5519466243593407</v>
      </c>
      <c r="BJ95" s="7">
        <v>83</v>
      </c>
      <c r="BK95">
        <f t="shared" si="153"/>
        <v>81.859470939886265</v>
      </c>
      <c r="BL95">
        <f t="shared" si="154"/>
        <v>82.795585732145895</v>
      </c>
      <c r="BM95">
        <f t="shared" si="155"/>
        <v>166.12826387085963</v>
      </c>
      <c r="BN95">
        <f t="shared" si="156"/>
        <v>358.54022840290008</v>
      </c>
      <c r="BO95">
        <f t="shared" si="157"/>
        <v>32.294595655120844</v>
      </c>
      <c r="BP95">
        <f t="shared" si="158"/>
        <v>0.30292393715590865</v>
      </c>
      <c r="BQ95">
        <f t="shared" si="159"/>
        <v>132.99370542118112</v>
      </c>
      <c r="BR95">
        <f t="shared" si="160"/>
        <v>38.263421973653564</v>
      </c>
      <c r="BS95">
        <f t="shared" si="161"/>
        <v>17.565001066865609</v>
      </c>
      <c r="BT95">
        <f t="shared" si="162"/>
        <v>0.63786105049269592</v>
      </c>
      <c r="BU95">
        <f t="shared" si="163"/>
        <v>4.9442928848700447</v>
      </c>
      <c r="BV95">
        <f t="shared" si="164"/>
        <v>53.935330955950882</v>
      </c>
      <c r="BW95">
        <f t="shared" si="165"/>
        <v>56.157082255103596</v>
      </c>
      <c r="BX95">
        <f t="shared" si="166"/>
        <v>6.3662119515954592</v>
      </c>
      <c r="BY95">
        <f t="shared" si="167"/>
        <v>45.921026138247221</v>
      </c>
      <c r="BZ95">
        <f t="shared" si="168"/>
        <v>162.05145642951715</v>
      </c>
      <c r="CA95">
        <f t="shared" si="169"/>
        <v>14.67350845386478</v>
      </c>
      <c r="CB95">
        <f t="shared" si="170"/>
        <v>223.81777476041472</v>
      </c>
      <c r="CC95">
        <f t="shared" si="171"/>
        <v>62.836777880180151</v>
      </c>
      <c r="CD95">
        <f t="shared" si="172"/>
        <v>102.96211886321267</v>
      </c>
      <c r="CE95">
        <f t="shared" si="173"/>
        <v>4.9949478860981147</v>
      </c>
      <c r="CF95">
        <f t="shared" si="174"/>
        <v>20.080766399851949</v>
      </c>
      <c r="CG95">
        <f t="shared" si="175"/>
        <v>48.079210590772739</v>
      </c>
      <c r="CH95">
        <f t="shared" si="176"/>
        <v>55.873077567154525</v>
      </c>
      <c r="CI95">
        <f t="shared" si="177"/>
        <v>17.620451235412407</v>
      </c>
      <c r="CJ95" s="7">
        <v>83</v>
      </c>
      <c r="CK95" s="13">
        <f t="shared" si="178"/>
        <v>26.606369441801007</v>
      </c>
      <c r="CL95">
        <f t="shared" si="179"/>
        <v>2.8953042213327107</v>
      </c>
      <c r="CM95">
        <f t="shared" si="180"/>
        <v>23.711065220468296</v>
      </c>
      <c r="CN95">
        <f t="shared" si="181"/>
        <v>29.501673663133719</v>
      </c>
      <c r="CO95">
        <f t="shared" si="182"/>
        <v>5.7906084426654214</v>
      </c>
      <c r="CP95">
        <f t="shared" si="183"/>
        <v>20.815760999135584</v>
      </c>
      <c r="CQ95">
        <f t="shared" si="184"/>
        <v>32.39697788446643</v>
      </c>
      <c r="CR95">
        <f t="shared" si="185"/>
        <v>8.6859126639981312</v>
      </c>
      <c r="CS95">
        <f t="shared" si="186"/>
        <v>17.920456777802876</v>
      </c>
      <c r="CT95">
        <f t="shared" si="187"/>
        <v>35.292282105799138</v>
      </c>
    </row>
    <row r="96" spans="1:98" x14ac:dyDescent="0.25">
      <c r="A96" s="7">
        <v>85</v>
      </c>
      <c r="B96" s="9">
        <f t="shared" si="146"/>
        <v>27.547615119707189</v>
      </c>
      <c r="C96">
        <v>0.96624652851954718</v>
      </c>
      <c r="D96">
        <v>-0.76915799432355725</v>
      </c>
      <c r="E96">
        <v>0.49101229895931886</v>
      </c>
      <c r="F96">
        <v>0.86022522659993284</v>
      </c>
      <c r="G96">
        <v>-0.630970183416242</v>
      </c>
      <c r="H96">
        <v>-0.20346690267647327</v>
      </c>
      <c r="I96">
        <v>-0.75890377513962215</v>
      </c>
      <c r="J96">
        <v>-4.019287697988827E-2</v>
      </c>
      <c r="K96">
        <v>-5.3743095187231082E-2</v>
      </c>
      <c r="L96">
        <v>0.65984069338053519</v>
      </c>
      <c r="M96">
        <v>0.19827875606555367</v>
      </c>
      <c r="N96">
        <v>0.45103305154576256</v>
      </c>
      <c r="O96">
        <v>0.37278359324930577</v>
      </c>
      <c r="P96">
        <v>-0.28482924893948181</v>
      </c>
      <c r="Q96">
        <v>-7.773064363536486E-2</v>
      </c>
      <c r="R96">
        <v>0.92492446668904682</v>
      </c>
      <c r="S96">
        <v>-0.9362163151951659</v>
      </c>
      <c r="T96">
        <v>0.15121921445356601</v>
      </c>
      <c r="U96">
        <v>0.54368724631489007</v>
      </c>
      <c r="V96">
        <v>0.90118106631672101</v>
      </c>
      <c r="W96">
        <v>0.72728659932248907</v>
      </c>
      <c r="X96">
        <v>-0.95538193914609215</v>
      </c>
      <c r="Y96">
        <v>0.23166600543229476</v>
      </c>
      <c r="Z96">
        <v>0.67381817072054195</v>
      </c>
      <c r="AA96">
        <v>-0.92449720755638298</v>
      </c>
      <c r="AC96" s="7">
        <v>85</v>
      </c>
      <c r="AD96">
        <f t="shared" si="121"/>
        <v>40.899942444322811</v>
      </c>
      <c r="AE96">
        <f t="shared" si="122"/>
        <v>16.918806630958017</v>
      </c>
      <c r="AF96">
        <f t="shared" si="123"/>
        <v>34.33279544647327</v>
      </c>
      <c r="AG96">
        <f t="shared" si="124"/>
        <v>39.43485968870187</v>
      </c>
      <c r="AH96">
        <f t="shared" si="125"/>
        <v>18.828390602590609</v>
      </c>
      <c r="AI96">
        <f t="shared" si="126"/>
        <v>24.735955150874481</v>
      </c>
      <c r="AJ96">
        <f t="shared" si="127"/>
        <v>17.060507208358317</v>
      </c>
      <c r="AK96">
        <f t="shared" si="128"/>
        <v>26.99219946364709</v>
      </c>
      <c r="AL96">
        <f t="shared" si="129"/>
        <v>26.80495227208241</v>
      </c>
      <c r="AM96">
        <f t="shared" si="130"/>
        <v>36.665794238671033</v>
      </c>
      <c r="AN96">
        <f t="shared" si="131"/>
        <v>30.287581344021888</v>
      </c>
      <c r="AO96">
        <f t="shared" si="132"/>
        <v>33.780331885775674</v>
      </c>
      <c r="AP96">
        <f t="shared" si="133"/>
        <v>32.699021527280536</v>
      </c>
      <c r="AQ96">
        <f t="shared" si="134"/>
        <v>23.611628545668541</v>
      </c>
      <c r="AR96">
        <f t="shared" si="135"/>
        <v>26.473474135663853</v>
      </c>
      <c r="AS96">
        <f t="shared" si="136"/>
        <v>40.328922855632321</v>
      </c>
      <c r="AT96">
        <f t="shared" si="137"/>
        <v>14.610268057478153</v>
      </c>
      <c r="AU96">
        <f t="shared" si="138"/>
        <v>29.637276908452659</v>
      </c>
      <c r="AV96">
        <f t="shared" si="139"/>
        <v>35.060697817285515</v>
      </c>
      <c r="AW96">
        <f t="shared" si="140"/>
        <v>40.000818542485206</v>
      </c>
      <c r="AX96">
        <f t="shared" si="141"/>
        <v>37.597812917405143</v>
      </c>
      <c r="AY96">
        <f t="shared" si="142"/>
        <v>14.345422930670452</v>
      </c>
      <c r="AZ96">
        <f t="shared" si="143"/>
        <v>30.748951676390718</v>
      </c>
      <c r="BA96">
        <f t="shared" si="144"/>
        <v>36.858945620960725</v>
      </c>
      <c r="BB96">
        <f t="shared" si="145"/>
        <v>14.772211574507065</v>
      </c>
      <c r="BC96" s="2">
        <f t="shared" si="147"/>
        <v>28.939502779454333</v>
      </c>
      <c r="BD96">
        <f t="shared" si="148"/>
        <v>78.321352341999656</v>
      </c>
      <c r="BE96">
        <f t="shared" si="149"/>
        <v>8.8499351603274281</v>
      </c>
      <c r="BF96" s="12">
        <f t="shared" si="150"/>
        <v>27.350685320530634</v>
      </c>
      <c r="BG96">
        <f t="shared" si="151"/>
        <v>1.5888174589236996</v>
      </c>
      <c r="BH96">
        <f t="shared" si="152"/>
        <v>2.5243409177807621</v>
      </c>
      <c r="BJ96" s="7">
        <v>84</v>
      </c>
      <c r="BK96">
        <f t="shared" si="153"/>
        <v>97.748668890269272</v>
      </c>
      <c r="BL96">
        <f t="shared" si="154"/>
        <v>1.1458679502342762E-2</v>
      </c>
      <c r="BM96">
        <f t="shared" si="155"/>
        <v>194.33385049252902</v>
      </c>
      <c r="BN96">
        <f t="shared" si="156"/>
        <v>202.51175597894309</v>
      </c>
      <c r="BO96">
        <f t="shared" si="157"/>
        <v>2.1629885270519416</v>
      </c>
      <c r="BP96">
        <f t="shared" si="158"/>
        <v>2.9411120473932342</v>
      </c>
      <c r="BQ96">
        <f t="shared" si="159"/>
        <v>180.65139883068176</v>
      </c>
      <c r="BR96">
        <f t="shared" si="160"/>
        <v>0.78958122366103611</v>
      </c>
      <c r="BS96">
        <f t="shared" si="161"/>
        <v>0.60028004275929392</v>
      </c>
      <c r="BT96">
        <f t="shared" si="162"/>
        <v>7.6739941095451307</v>
      </c>
      <c r="BU96">
        <f t="shared" si="163"/>
        <v>164.64059825849714</v>
      </c>
      <c r="BV96">
        <f t="shared" si="164"/>
        <v>19.175484531330966</v>
      </c>
      <c r="BW96">
        <f t="shared" si="165"/>
        <v>3.0167888476405205</v>
      </c>
      <c r="BX96">
        <f t="shared" si="166"/>
        <v>78.446866931704676</v>
      </c>
      <c r="BY96">
        <f t="shared" si="167"/>
        <v>80.075122090101758</v>
      </c>
      <c r="BZ96">
        <f t="shared" si="168"/>
        <v>2.3400385110287196</v>
      </c>
      <c r="CA96">
        <f t="shared" si="169"/>
        <v>237.50016209533155</v>
      </c>
      <c r="CB96">
        <f t="shared" si="170"/>
        <v>111.90145894551171</v>
      </c>
      <c r="CC96">
        <f t="shared" si="171"/>
        <v>21.511282210618955</v>
      </c>
      <c r="CD96">
        <f t="shared" si="172"/>
        <v>4.5860537830688747E-2</v>
      </c>
      <c r="CE96">
        <f t="shared" si="173"/>
        <v>172.03601303466235</v>
      </c>
      <c r="CF96">
        <f t="shared" si="174"/>
        <v>54.593078534709875</v>
      </c>
      <c r="CG96">
        <f t="shared" si="175"/>
        <v>20.999671324932191</v>
      </c>
      <c r="CH96">
        <f t="shared" si="176"/>
        <v>41.14354740647719</v>
      </c>
      <c r="CI96">
        <f t="shared" si="177"/>
        <v>88.604032722359946</v>
      </c>
      <c r="CJ96" s="7">
        <v>84</v>
      </c>
      <c r="CK96" s="13">
        <f t="shared" si="178"/>
        <v>26.890976055422868</v>
      </c>
      <c r="CL96">
        <f t="shared" si="179"/>
        <v>2.9428006543367484</v>
      </c>
      <c r="CM96">
        <f t="shared" si="180"/>
        <v>23.948175401086118</v>
      </c>
      <c r="CN96">
        <f t="shared" si="181"/>
        <v>29.833776709759618</v>
      </c>
      <c r="CO96">
        <f t="shared" si="182"/>
        <v>5.8856013086734968</v>
      </c>
      <c r="CP96">
        <f t="shared" si="183"/>
        <v>21.005374746749371</v>
      </c>
      <c r="CQ96">
        <f t="shared" si="184"/>
        <v>32.776577364096369</v>
      </c>
      <c r="CR96">
        <f t="shared" si="185"/>
        <v>8.8284019630102453</v>
      </c>
      <c r="CS96">
        <f t="shared" si="186"/>
        <v>18.062574092412625</v>
      </c>
      <c r="CT96">
        <f t="shared" si="187"/>
        <v>35.719378018433112</v>
      </c>
    </row>
    <row r="97" spans="1:98" x14ac:dyDescent="0.25">
      <c r="A97" s="7">
        <v>86</v>
      </c>
      <c r="B97" s="9">
        <f t="shared" si="146"/>
        <v>27.839199519756949</v>
      </c>
      <c r="C97">
        <v>0.47392193365276047</v>
      </c>
      <c r="D97">
        <v>0.10354930265205842</v>
      </c>
      <c r="E97">
        <v>-0.16690572832422867</v>
      </c>
      <c r="F97">
        <v>-0.48936429944761495</v>
      </c>
      <c r="G97">
        <v>0.71459089938047415</v>
      </c>
      <c r="H97">
        <v>0.88830225531785034</v>
      </c>
      <c r="I97">
        <v>0.52562028870509958</v>
      </c>
      <c r="J97">
        <v>-0.40604876857814265</v>
      </c>
      <c r="K97">
        <v>7.9500717184972647E-2</v>
      </c>
      <c r="L97">
        <v>-0.34427930539872431</v>
      </c>
      <c r="M97">
        <v>0.51493881038850065</v>
      </c>
      <c r="N97">
        <v>0.11392559587389761</v>
      </c>
      <c r="O97">
        <v>0.96618549150059518</v>
      </c>
      <c r="P97">
        <v>-7.406842249824519E-2</v>
      </c>
      <c r="Q97">
        <v>0.10568559831537838</v>
      </c>
      <c r="R97">
        <v>0.56382946256904809</v>
      </c>
      <c r="S97">
        <v>0.67290261543626206</v>
      </c>
      <c r="T97">
        <v>-0.5314798425244911</v>
      </c>
      <c r="U97">
        <v>-6.6225165562914245E-3</v>
      </c>
      <c r="V97">
        <v>-0.15775017548142944</v>
      </c>
      <c r="W97">
        <v>0.54789880062257756</v>
      </c>
      <c r="X97">
        <v>-0.8928189947202978</v>
      </c>
      <c r="Y97">
        <v>0.10281685842463451</v>
      </c>
      <c r="Z97">
        <v>-1.132236701559497E-2</v>
      </c>
      <c r="AA97">
        <v>3.2319101535080996E-2</v>
      </c>
      <c r="AC97" s="7">
        <v>86</v>
      </c>
      <c r="AD97">
        <f t="shared" si="121"/>
        <v>34.388212217522529</v>
      </c>
      <c r="AE97">
        <f t="shared" si="122"/>
        <v>29.270122314754605</v>
      </c>
      <c r="AF97">
        <f t="shared" si="123"/>
        <v>25.532769585821733</v>
      </c>
      <c r="AG97">
        <f t="shared" si="124"/>
        <v>21.076792500073061</v>
      </c>
      <c r="AH97">
        <f t="shared" si="125"/>
        <v>37.713958507340244</v>
      </c>
      <c r="AI97">
        <f t="shared" si="126"/>
        <v>40.114433764966734</v>
      </c>
      <c r="AJ97">
        <f t="shared" si="127"/>
        <v>35.102619295249035</v>
      </c>
      <c r="AK97">
        <f t="shared" si="128"/>
        <v>22.228109691450488</v>
      </c>
      <c r="AL97">
        <f t="shared" si="129"/>
        <v>28.93780072251819</v>
      </c>
      <c r="AM97">
        <f t="shared" si="130"/>
        <v>23.081686979123717</v>
      </c>
      <c r="AN97">
        <f t="shared" si="131"/>
        <v>34.955014527123723</v>
      </c>
      <c r="AO97">
        <f t="shared" si="132"/>
        <v>29.413509803790625</v>
      </c>
      <c r="AP97">
        <f t="shared" si="133"/>
        <v>41.190683388554717</v>
      </c>
      <c r="AQ97">
        <f t="shared" si="134"/>
        <v>26.815665884785151</v>
      </c>
      <c r="AR97">
        <f t="shared" si="135"/>
        <v>29.299643268379668</v>
      </c>
      <c r="AS97">
        <f t="shared" si="136"/>
        <v>35.630622637228718</v>
      </c>
      <c r="AT97">
        <f t="shared" si="137"/>
        <v>37.137878183742608</v>
      </c>
      <c r="AU97">
        <f t="shared" si="138"/>
        <v>20.494807985750409</v>
      </c>
      <c r="AV97">
        <f t="shared" si="139"/>
        <v>27.747684563519257</v>
      </c>
      <c r="AW97">
        <f t="shared" si="140"/>
        <v>25.659287958500574</v>
      </c>
      <c r="AX97">
        <f t="shared" si="141"/>
        <v>35.410480668767541</v>
      </c>
      <c r="AY97">
        <f t="shared" si="142"/>
        <v>15.501549544025606</v>
      </c>
      <c r="AZ97">
        <f t="shared" si="143"/>
        <v>29.260000844940297</v>
      </c>
      <c r="BA97">
        <f t="shared" si="144"/>
        <v>27.682738465544119</v>
      </c>
      <c r="BB97">
        <f t="shared" si="145"/>
        <v>28.285809375313246</v>
      </c>
      <c r="BC97" s="2">
        <f t="shared" si="147"/>
        <v>29.677275307151469</v>
      </c>
      <c r="BD97">
        <f t="shared" si="148"/>
        <v>42.500462880386749</v>
      </c>
      <c r="BE97">
        <f t="shared" si="149"/>
        <v>6.5192379064110515</v>
      </c>
      <c r="BF97" s="12">
        <f t="shared" si="150"/>
        <v>27.638787538828044</v>
      </c>
      <c r="BG97">
        <f t="shared" si="151"/>
        <v>2.0384877683234244</v>
      </c>
      <c r="BH97">
        <f t="shared" si="152"/>
        <v>4.1554323816042151</v>
      </c>
      <c r="BJ97" s="7">
        <v>85</v>
      </c>
      <c r="BK97">
        <f t="shared" si="153"/>
        <v>140.92347995084987</v>
      </c>
      <c r="BL97">
        <f t="shared" si="154"/>
        <v>151.01945518659863</v>
      </c>
      <c r="BM97">
        <f t="shared" si="155"/>
        <v>69.361563458773034</v>
      </c>
      <c r="BN97">
        <f t="shared" si="156"/>
        <v>439.71286818932492</v>
      </c>
      <c r="BO97">
        <f t="shared" si="157"/>
        <v>36.706937325126603</v>
      </c>
      <c r="BP97">
        <f t="shared" si="158"/>
        <v>0.79793327043376705</v>
      </c>
      <c r="BQ97">
        <f t="shared" si="159"/>
        <v>61.904326325809066</v>
      </c>
      <c r="BR97">
        <f t="shared" si="160"/>
        <v>1.7845386117978366</v>
      </c>
      <c r="BS97">
        <f t="shared" si="161"/>
        <v>12.00525427173152</v>
      </c>
      <c r="BT97">
        <f t="shared" si="162"/>
        <v>155.54316721474086</v>
      </c>
      <c r="BU97">
        <f t="shared" si="163"/>
        <v>0.33662902956670709</v>
      </c>
      <c r="BV97">
        <f t="shared" si="164"/>
        <v>34.605499078911507</v>
      </c>
      <c r="BW97">
        <f t="shared" si="165"/>
        <v>16.570021555473655</v>
      </c>
      <c r="BX97">
        <f t="shared" si="166"/>
        <v>38.608724548365963</v>
      </c>
      <c r="BY97">
        <f t="shared" si="167"/>
        <v>0.32336970892940681</v>
      </c>
      <c r="BZ97">
        <f t="shared" si="168"/>
        <v>331.60139190536535</v>
      </c>
      <c r="CA97">
        <f t="shared" si="169"/>
        <v>81.82867508510067</v>
      </c>
      <c r="CB97">
        <f t="shared" si="170"/>
        <v>1.3244730692768629</v>
      </c>
      <c r="CC97">
        <f t="shared" si="171"/>
        <v>33.761432238138894</v>
      </c>
      <c r="CD97">
        <f t="shared" si="172"/>
        <v>157.59213669339505</v>
      </c>
      <c r="CE97">
        <f t="shared" si="173"/>
        <v>48.785992316349557</v>
      </c>
      <c r="CF97">
        <f t="shared" si="174"/>
        <v>227.51873684272019</v>
      </c>
      <c r="CG97">
        <f t="shared" si="175"/>
        <v>5.9407515107902231</v>
      </c>
      <c r="CH97">
        <f t="shared" si="176"/>
        <v>50.950686605905624</v>
      </c>
      <c r="CI97">
        <f t="shared" si="177"/>
        <v>141.8337568390867</v>
      </c>
      <c r="CJ97" s="7">
        <v>85</v>
      </c>
      <c r="CK97" s="13">
        <f t="shared" si="178"/>
        <v>27.175582669044729</v>
      </c>
      <c r="CL97">
        <f t="shared" si="179"/>
        <v>2.9904292925573301</v>
      </c>
      <c r="CM97">
        <f t="shared" si="180"/>
        <v>24.185153376487399</v>
      </c>
      <c r="CN97">
        <f t="shared" si="181"/>
        <v>30.166011961602059</v>
      </c>
      <c r="CO97">
        <f t="shared" si="182"/>
        <v>5.9808585851146603</v>
      </c>
      <c r="CP97">
        <f t="shared" si="183"/>
        <v>21.194724083930069</v>
      </c>
      <c r="CQ97">
        <f t="shared" si="184"/>
        <v>33.15644125415939</v>
      </c>
      <c r="CR97">
        <f t="shared" si="185"/>
        <v>8.9712878776719904</v>
      </c>
      <c r="CS97">
        <f t="shared" si="186"/>
        <v>18.204294791372739</v>
      </c>
      <c r="CT97">
        <f t="shared" si="187"/>
        <v>36.14687054671672</v>
      </c>
    </row>
    <row r="98" spans="1:98" x14ac:dyDescent="0.25">
      <c r="A98" s="7">
        <v>87</v>
      </c>
      <c r="B98" s="9">
        <f t="shared" si="146"/>
        <v>28.130783919806706</v>
      </c>
      <c r="C98">
        <v>0.83977782525101463</v>
      </c>
      <c r="D98">
        <v>0.47654652546769616</v>
      </c>
      <c r="E98">
        <v>-0.23331400494399857</v>
      </c>
      <c r="F98">
        <v>-0.83947264015625478</v>
      </c>
      <c r="G98">
        <v>0.58745078890346991</v>
      </c>
      <c r="H98">
        <v>0.27750480666524258</v>
      </c>
      <c r="I98">
        <v>-9.2501602221747525E-2</v>
      </c>
      <c r="J98">
        <v>7.9989013336588588E-2</v>
      </c>
      <c r="K98">
        <v>-0.11423078096865746</v>
      </c>
      <c r="L98">
        <v>-3.3356730857264982E-2</v>
      </c>
      <c r="M98">
        <v>0.82586138492996009</v>
      </c>
      <c r="N98">
        <v>-0.84728537858211006</v>
      </c>
      <c r="O98">
        <v>-0.17111728263191628</v>
      </c>
      <c r="P98">
        <v>0.71953489791558578</v>
      </c>
      <c r="Q98">
        <v>0.62126529740287495</v>
      </c>
      <c r="R98">
        <v>0.20212408825952943</v>
      </c>
      <c r="S98">
        <v>-0.41929380169072539</v>
      </c>
      <c r="T98">
        <v>0.14297921689504678</v>
      </c>
      <c r="U98">
        <v>0.17709891048921178</v>
      </c>
      <c r="V98">
        <v>0.46592608417004922</v>
      </c>
      <c r="W98">
        <v>0.76482436597796566</v>
      </c>
      <c r="X98">
        <v>0.35581530198065137</v>
      </c>
      <c r="Y98">
        <v>-0.83062227240821562</v>
      </c>
      <c r="Z98">
        <v>-0.18070009460737935</v>
      </c>
      <c r="AA98">
        <v>4.5503097628711853E-2</v>
      </c>
      <c r="AC98" s="7">
        <v>87</v>
      </c>
      <c r="AD98">
        <f t="shared" si="121"/>
        <v>39.735470789818649</v>
      </c>
      <c r="AE98">
        <f t="shared" si="122"/>
        <v>34.716065217740223</v>
      </c>
      <c r="AF98">
        <f t="shared" si="123"/>
        <v>24.906674056040988</v>
      </c>
      <c r="AG98">
        <f t="shared" si="124"/>
        <v>16.53031432888406</v>
      </c>
      <c r="AH98">
        <f t="shared" si="125"/>
        <v>36.248624438789875</v>
      </c>
      <c r="AI98">
        <f t="shared" si="126"/>
        <v>31.965555795702286</v>
      </c>
      <c r="AJ98">
        <f t="shared" si="127"/>
        <v>26.852526627841513</v>
      </c>
      <c r="AK98">
        <f t="shared" si="128"/>
        <v>29.236132769110821</v>
      </c>
      <c r="AL98">
        <f t="shared" si="129"/>
        <v>26.552256356683738</v>
      </c>
      <c r="AM98">
        <f t="shared" si="130"/>
        <v>27.669835315346806</v>
      </c>
      <c r="AN98">
        <f t="shared" si="131"/>
        <v>39.543162863346815</v>
      </c>
      <c r="AO98">
        <f t="shared" si="132"/>
        <v>16.422351984198116</v>
      </c>
      <c r="AP98">
        <f t="shared" si="133"/>
        <v>25.766155534439225</v>
      </c>
      <c r="AQ98">
        <f t="shared" si="134"/>
        <v>38.073862828636578</v>
      </c>
      <c r="AR98">
        <f t="shared" si="135"/>
        <v>36.715898961883717</v>
      </c>
      <c r="AS98">
        <f t="shared" si="136"/>
        <v>30.92388786064652</v>
      </c>
      <c r="AT98">
        <f t="shared" si="137"/>
        <v>22.336664179024858</v>
      </c>
      <c r="AU98">
        <f t="shared" si="138"/>
        <v>30.106579173141224</v>
      </c>
      <c r="AV98">
        <f t="shared" si="139"/>
        <v>30.578070975324362</v>
      </c>
      <c r="AW98">
        <f t="shared" si="140"/>
        <v>34.569303905432768</v>
      </c>
      <c r="AX98">
        <f t="shared" si="141"/>
        <v>38.699707045487898</v>
      </c>
      <c r="AY98">
        <f t="shared" si="142"/>
        <v>33.047709610015275</v>
      </c>
      <c r="AZ98">
        <f t="shared" si="143"/>
        <v>16.652615422473602</v>
      </c>
      <c r="BA98">
        <f t="shared" si="144"/>
        <v>25.633732971035375</v>
      </c>
      <c r="BB98">
        <f t="shared" si="145"/>
        <v>28.759580232020532</v>
      </c>
      <c r="BC98" s="2">
        <f t="shared" si="147"/>
        <v>29.689709569722638</v>
      </c>
      <c r="BD98">
        <f t="shared" si="148"/>
        <v>48.369888875976663</v>
      </c>
      <c r="BE98">
        <f t="shared" si="149"/>
        <v>6.9548464307974953</v>
      </c>
      <c r="BF98" s="12">
        <f t="shared" si="150"/>
        <v>27.926889757125455</v>
      </c>
      <c r="BG98">
        <f t="shared" si="151"/>
        <v>1.7628198125971828</v>
      </c>
      <c r="BH98">
        <f t="shared" si="152"/>
        <v>3.1075336916851666</v>
      </c>
      <c r="BJ98" s="7">
        <v>86</v>
      </c>
      <c r="BK98">
        <f t="shared" si="153"/>
        <v>25.313091503844195</v>
      </c>
      <c r="BL98">
        <f t="shared" si="154"/>
        <v>6.0128641587058697E-2</v>
      </c>
      <c r="BM98">
        <f t="shared" si="155"/>
        <v>0.5858911937457616</v>
      </c>
      <c r="BN98">
        <f t="shared" si="156"/>
        <v>6.1808989201834317</v>
      </c>
      <c r="BO98">
        <f t="shared" si="157"/>
        <v>158.45390639347622</v>
      </c>
      <c r="BP98">
        <f t="shared" si="158"/>
        <v>202.32665692541016</v>
      </c>
      <c r="BQ98">
        <f t="shared" si="159"/>
        <v>98.075663401076724</v>
      </c>
      <c r="BR98">
        <f t="shared" si="160"/>
        <v>13.641231058934558</v>
      </c>
      <c r="BS98">
        <f t="shared" si="161"/>
        <v>2.8497724577448569</v>
      </c>
      <c r="BT98">
        <f t="shared" si="162"/>
        <v>1.8253557204252535</v>
      </c>
      <c r="BU98">
        <f t="shared" si="163"/>
        <v>24.51706124175001</v>
      </c>
      <c r="BV98">
        <f t="shared" si="164"/>
        <v>1.476472696067795</v>
      </c>
      <c r="BW98">
        <f t="shared" si="165"/>
        <v>149.46251722730167</v>
      </c>
      <c r="BX98">
        <f t="shared" si="166"/>
        <v>10.901417007897805</v>
      </c>
      <c r="BY98">
        <f t="shared" si="167"/>
        <v>3.8268601655938492</v>
      </c>
      <c r="BZ98">
        <f t="shared" si="168"/>
        <v>177.74877259455954</v>
      </c>
      <c r="CA98">
        <f t="shared" si="169"/>
        <v>174.9115962864507</v>
      </c>
      <c r="CB98">
        <f t="shared" si="170"/>
        <v>113.1883541396938</v>
      </c>
      <c r="CC98">
        <f t="shared" si="171"/>
        <v>3.2552482668983691</v>
      </c>
      <c r="CD98">
        <f t="shared" si="172"/>
        <v>4.3540273943851755</v>
      </c>
      <c r="CE98">
        <f t="shared" si="173"/>
        <v>19.891079664255212</v>
      </c>
      <c r="CF98">
        <f t="shared" si="174"/>
        <v>203.10232328714878</v>
      </c>
      <c r="CG98">
        <f t="shared" si="175"/>
        <v>0.46621630687252213</v>
      </c>
      <c r="CH98">
        <f t="shared" si="176"/>
        <v>5.5427781553045676</v>
      </c>
      <c r="CI98">
        <f t="shared" si="177"/>
        <v>1.7591081759655738</v>
      </c>
      <c r="CJ98" s="7">
        <v>86</v>
      </c>
      <c r="CK98" s="13">
        <f t="shared" si="178"/>
        <v>27.46018928266659</v>
      </c>
      <c r="CL98">
        <f t="shared" si="179"/>
        <v>3.0381839183840444</v>
      </c>
      <c r="CM98">
        <f t="shared" si="180"/>
        <v>24.422005364282548</v>
      </c>
      <c r="CN98">
        <f t="shared" si="181"/>
        <v>30.498373201050633</v>
      </c>
      <c r="CO98">
        <f t="shared" si="182"/>
        <v>6.0763678367680889</v>
      </c>
      <c r="CP98">
        <f t="shared" si="183"/>
        <v>21.383821445898501</v>
      </c>
      <c r="CQ98">
        <f t="shared" si="184"/>
        <v>33.536557119434676</v>
      </c>
      <c r="CR98">
        <f t="shared" si="185"/>
        <v>9.1145517551521333</v>
      </c>
      <c r="CS98">
        <f t="shared" si="186"/>
        <v>18.345637527514455</v>
      </c>
      <c r="CT98">
        <f t="shared" si="187"/>
        <v>36.574741037818725</v>
      </c>
    </row>
    <row r="99" spans="1:98" x14ac:dyDescent="0.25">
      <c r="A99" s="7">
        <v>88</v>
      </c>
      <c r="B99" s="9">
        <f t="shared" si="146"/>
        <v>28.422368319856467</v>
      </c>
      <c r="C99">
        <v>-0.50541703543198957</v>
      </c>
      <c r="D99">
        <v>-0.20139164403210552</v>
      </c>
      <c r="E99">
        <v>0.82995086519974359</v>
      </c>
      <c r="F99">
        <v>-0.78667561876277969</v>
      </c>
      <c r="G99">
        <v>0.70830408642841891</v>
      </c>
      <c r="H99">
        <v>5.6550798059022744E-2</v>
      </c>
      <c r="I99">
        <v>0.20706808679464106</v>
      </c>
      <c r="J99">
        <v>-0.91338847010711999</v>
      </c>
      <c r="K99">
        <v>-0.2967925046540727</v>
      </c>
      <c r="L99">
        <v>-0.65941343424787136</v>
      </c>
      <c r="M99">
        <v>-0.79161961729789121</v>
      </c>
      <c r="N99">
        <v>0.54185613574633007</v>
      </c>
      <c r="O99">
        <v>0.90173039948728895</v>
      </c>
      <c r="P99">
        <v>0.22879726554155089</v>
      </c>
      <c r="Q99">
        <v>-0.43418683431501204</v>
      </c>
      <c r="R99">
        <v>0.98565630054628128</v>
      </c>
      <c r="S99">
        <v>-0.72399060029908147</v>
      </c>
      <c r="T99">
        <v>-0.77324747459334087</v>
      </c>
      <c r="U99">
        <v>0.49369792779320654</v>
      </c>
      <c r="V99">
        <v>-0.41929380169072539</v>
      </c>
      <c r="W99">
        <v>-7.8707235938596742E-2</v>
      </c>
      <c r="X99">
        <v>0.30057679982909624</v>
      </c>
      <c r="Y99">
        <v>-0.65874202703939932</v>
      </c>
      <c r="Z99">
        <v>-0.46214178899502545</v>
      </c>
      <c r="AA99">
        <v>0.42838831751457263</v>
      </c>
      <c r="AC99" s="7">
        <v>88</v>
      </c>
      <c r="AD99">
        <f t="shared" si="121"/>
        <v>21.438132420075682</v>
      </c>
      <c r="AE99">
        <f t="shared" si="122"/>
        <v>25.639385848830962</v>
      </c>
      <c r="AF99">
        <f t="shared" si="123"/>
        <v>39.891258803193125</v>
      </c>
      <c r="AG99">
        <f t="shared" si="124"/>
        <v>17.551488011381785</v>
      </c>
      <c r="AH99">
        <f t="shared" si="125"/>
        <v>38.210251358200296</v>
      </c>
      <c r="AI99">
        <f t="shared" si="126"/>
        <v>29.203830135102756</v>
      </c>
      <c r="AJ99">
        <f t="shared" si="127"/>
        <v>31.283792181942854</v>
      </c>
      <c r="AK99">
        <f t="shared" si="128"/>
        <v>15.800473733506667</v>
      </c>
      <c r="AL99">
        <f t="shared" si="129"/>
        <v>24.321064405517472</v>
      </c>
      <c r="AM99">
        <f t="shared" si="130"/>
        <v>19.310093391617631</v>
      </c>
      <c r="AN99">
        <f t="shared" si="131"/>
        <v>17.483168090135212</v>
      </c>
      <c r="AO99">
        <f t="shared" si="132"/>
        <v>35.910147342899023</v>
      </c>
      <c r="AP99">
        <f t="shared" si="133"/>
        <v>40.883162844995212</v>
      </c>
      <c r="AQ99">
        <f t="shared" si="134"/>
        <v>31.584062453100625</v>
      </c>
      <c r="AR99">
        <f t="shared" si="135"/>
        <v>22.422445359517045</v>
      </c>
      <c r="AS99">
        <f t="shared" si="136"/>
        <v>42.042914594551227</v>
      </c>
      <c r="AT99">
        <f t="shared" si="137"/>
        <v>18.417717136322892</v>
      </c>
      <c r="AU99">
        <f t="shared" si="138"/>
        <v>17.737048291310746</v>
      </c>
      <c r="AV99">
        <f t="shared" si="139"/>
        <v>35.244660702608336</v>
      </c>
      <c r="AW99">
        <f t="shared" si="140"/>
        <v>22.628248579074622</v>
      </c>
      <c r="AX99">
        <f t="shared" si="141"/>
        <v>27.334732042727392</v>
      </c>
      <c r="AY99">
        <f t="shared" si="142"/>
        <v>32.575966494902715</v>
      </c>
      <c r="AZ99">
        <f t="shared" si="143"/>
        <v>19.319371405614081</v>
      </c>
      <c r="BA99">
        <f t="shared" si="144"/>
        <v>22.036142594937658</v>
      </c>
      <c r="BB99">
        <f t="shared" si="145"/>
        <v>34.342162977499292</v>
      </c>
      <c r="BC99" s="2">
        <f t="shared" si="147"/>
        <v>27.304468847982612</v>
      </c>
      <c r="BD99">
        <f t="shared" si="148"/>
        <v>69.699685171633817</v>
      </c>
      <c r="BE99">
        <f t="shared" si="149"/>
        <v>8.348633730834873</v>
      </c>
      <c r="BF99" s="12">
        <f t="shared" si="150"/>
        <v>28.214991975422862</v>
      </c>
      <c r="BG99">
        <f t="shared" si="151"/>
        <v>-0.91052312744024988</v>
      </c>
      <c r="BH99">
        <f t="shared" si="152"/>
        <v>0.82905236560357354</v>
      </c>
      <c r="BJ99" s="7">
        <v>87</v>
      </c>
      <c r="BK99">
        <f t="shared" si="153"/>
        <v>101.00838317395628</v>
      </c>
      <c r="BL99">
        <f t="shared" si="154"/>
        <v>23.943422847649806</v>
      </c>
      <c r="BM99">
        <f t="shared" si="155"/>
        <v>2.8402335704214665</v>
      </c>
      <c r="BN99">
        <f t="shared" si="156"/>
        <v>4.7762347541055012</v>
      </c>
      <c r="BO99">
        <f t="shared" si="157"/>
        <v>118.4487916817188</v>
      </c>
      <c r="BP99">
        <f t="shared" si="158"/>
        <v>33.805265230965645</v>
      </c>
      <c r="BQ99">
        <f t="shared" si="159"/>
        <v>1.9109110026802296</v>
      </c>
      <c r="BR99">
        <f t="shared" si="160"/>
        <v>9.2990792161619229</v>
      </c>
      <c r="BS99">
        <f t="shared" si="161"/>
        <v>19.623010309097573</v>
      </c>
      <c r="BT99">
        <f t="shared" si="162"/>
        <v>8.9906810202735823</v>
      </c>
      <c r="BU99">
        <f t="shared" si="163"/>
        <v>85.441533832183239</v>
      </c>
      <c r="BV99">
        <f t="shared" si="164"/>
        <v>145.84851290665557</v>
      </c>
      <c r="BW99">
        <f t="shared" si="165"/>
        <v>12.502207575739167</v>
      </c>
      <c r="BX99">
        <f t="shared" si="166"/>
        <v>58.741383076956282</v>
      </c>
      <c r="BY99">
        <f t="shared" si="167"/>
        <v>82.28694274810546</v>
      </c>
      <c r="BZ99">
        <f t="shared" si="168"/>
        <v>71.337128675050479</v>
      </c>
      <c r="CA99">
        <f t="shared" si="169"/>
        <v>3.3564958787926913</v>
      </c>
      <c r="CB99">
        <f t="shared" si="170"/>
        <v>1.8848694250269276</v>
      </c>
      <c r="CC99">
        <f t="shared" si="171"/>
        <v>0.52487052183081673</v>
      </c>
      <c r="CD99">
        <f t="shared" si="172"/>
        <v>42.571900505458814</v>
      </c>
      <c r="CE99">
        <f t="shared" si="173"/>
        <v>54.93396317059463</v>
      </c>
      <c r="CF99">
        <f t="shared" si="174"/>
        <v>8.8266223921587947</v>
      </c>
      <c r="CG99">
        <f t="shared" si="175"/>
        <v>148.60096624091935</v>
      </c>
      <c r="CH99">
        <f t="shared" si="176"/>
        <v>22.272683502398241</v>
      </c>
      <c r="CI99">
        <f t="shared" si="177"/>
        <v>2.3170879759947378</v>
      </c>
      <c r="CJ99" s="7">
        <v>87</v>
      </c>
      <c r="CK99" s="13">
        <f t="shared" si="178"/>
        <v>27.744795896288451</v>
      </c>
      <c r="CL99">
        <f t="shared" si="179"/>
        <v>3.0860586831089702</v>
      </c>
      <c r="CM99">
        <f t="shared" si="180"/>
        <v>24.658737213179482</v>
      </c>
      <c r="CN99">
        <f t="shared" si="181"/>
        <v>30.830854579397421</v>
      </c>
      <c r="CO99">
        <f t="shared" si="182"/>
        <v>6.1721173662179405</v>
      </c>
      <c r="CP99">
        <f t="shared" si="183"/>
        <v>21.572678530070512</v>
      </c>
      <c r="CQ99">
        <f t="shared" si="184"/>
        <v>33.916913262506391</v>
      </c>
      <c r="CR99">
        <f t="shared" si="185"/>
        <v>9.2581760493269112</v>
      </c>
      <c r="CS99">
        <f t="shared" si="186"/>
        <v>18.486619846961538</v>
      </c>
      <c r="CT99">
        <f t="shared" si="187"/>
        <v>37.002971945615364</v>
      </c>
    </row>
    <row r="100" spans="1:98" x14ac:dyDescent="0.25">
      <c r="A100" s="7">
        <v>89</v>
      </c>
      <c r="B100" s="9">
        <f t="shared" si="146"/>
        <v>28.713952719906228</v>
      </c>
      <c r="C100">
        <v>6.378368480483454E-3</v>
      </c>
      <c r="D100">
        <v>-0.54747154148991362</v>
      </c>
      <c r="E100">
        <v>0.78753013702810759</v>
      </c>
      <c r="F100">
        <v>0.12082277901547278</v>
      </c>
      <c r="G100">
        <v>3.1159398174993136E-2</v>
      </c>
      <c r="H100">
        <v>-0.20493179113132109</v>
      </c>
      <c r="I100">
        <v>-0.65825373088778338</v>
      </c>
      <c r="J100">
        <v>-0.78325754570146788</v>
      </c>
      <c r="K100">
        <v>-4.4648579363383845E-2</v>
      </c>
      <c r="L100">
        <v>-7.8707235938596742E-2</v>
      </c>
      <c r="M100">
        <v>0.66124454481643125</v>
      </c>
      <c r="N100">
        <v>-1.9867549668874163E-2</v>
      </c>
      <c r="O100">
        <v>5.1057466353343406E-2</v>
      </c>
      <c r="P100">
        <v>0.82451857051301625</v>
      </c>
      <c r="Q100">
        <v>-0.66234321115756711</v>
      </c>
      <c r="R100">
        <v>0.92156743064668722</v>
      </c>
      <c r="S100">
        <v>0.92785424359874269</v>
      </c>
      <c r="T100">
        <v>-0.74883266701254314</v>
      </c>
      <c r="U100">
        <v>0.40592669454023866</v>
      </c>
      <c r="V100">
        <v>0.11331522568437769</v>
      </c>
      <c r="W100">
        <v>-0.16135135959959712</v>
      </c>
      <c r="X100">
        <v>3.3478804895168857E-2</v>
      </c>
      <c r="Y100">
        <v>0.59709463789788497</v>
      </c>
      <c r="Z100">
        <v>0.67973876155888546</v>
      </c>
      <c r="AA100">
        <v>0.45817438276314593</v>
      </c>
      <c r="AC100" s="7">
        <v>89</v>
      </c>
      <c r="AD100">
        <f t="shared" si="121"/>
        <v>28.802093852872485</v>
      </c>
      <c r="AE100">
        <f t="shared" si="122"/>
        <v>21.148575761620648</v>
      </c>
      <c r="AF100">
        <f t="shared" si="123"/>
        <v>39.596641409830937</v>
      </c>
      <c r="AG100">
        <f t="shared" si="124"/>
        <v>30.383573511357959</v>
      </c>
      <c r="AH100">
        <f t="shared" si="125"/>
        <v>29.144536914923208</v>
      </c>
      <c r="AI100">
        <f t="shared" si="126"/>
        <v>25.882049811444908</v>
      </c>
      <c r="AJ100">
        <f t="shared" si="127"/>
        <v>19.617703452206712</v>
      </c>
      <c r="AK100">
        <f t="shared" si="128"/>
        <v>17.890305937231645</v>
      </c>
      <c r="AL100">
        <f t="shared" si="129"/>
        <v>28.096964789142429</v>
      </c>
      <c r="AM100">
        <f t="shared" si="130"/>
        <v>27.626316442777153</v>
      </c>
      <c r="AN100">
        <f t="shared" si="131"/>
        <v>37.851531322680835</v>
      </c>
      <c r="AO100">
        <f t="shared" si="132"/>
        <v>28.439407851193149</v>
      </c>
      <c r="AP100">
        <f t="shared" si="133"/>
        <v>29.419503511545216</v>
      </c>
      <c r="AQ100">
        <f t="shared" si="134"/>
        <v>40.107775635453443</v>
      </c>
      <c r="AR100">
        <f t="shared" si="135"/>
        <v>19.561191912410163</v>
      </c>
      <c r="AS100">
        <f t="shared" si="136"/>
        <v>41.448870385849119</v>
      </c>
      <c r="AT100">
        <f t="shared" si="137"/>
        <v>41.535746335088589</v>
      </c>
      <c r="AU100">
        <f t="shared" si="138"/>
        <v>18.366015018504072</v>
      </c>
      <c r="AV100">
        <f t="shared" si="139"/>
        <v>34.32335563657697</v>
      </c>
      <c r="AW100">
        <f t="shared" si="140"/>
        <v>30.279828445761314</v>
      </c>
      <c r="AX100">
        <f t="shared" si="141"/>
        <v>26.484277265396173</v>
      </c>
      <c r="AY100">
        <f t="shared" si="142"/>
        <v>29.176588236001844</v>
      </c>
      <c r="AZ100">
        <f t="shared" si="143"/>
        <v>36.965059258111104</v>
      </c>
      <c r="BA100">
        <f t="shared" si="144"/>
        <v>38.107098435492084</v>
      </c>
      <c r="BB100">
        <f t="shared" si="145"/>
        <v>35.04535381666421</v>
      </c>
      <c r="BC100" s="2">
        <f t="shared" si="147"/>
        <v>30.21201459800545</v>
      </c>
      <c r="BD100">
        <f t="shared" si="148"/>
        <v>54.118283981588171</v>
      </c>
      <c r="BE100">
        <f t="shared" si="149"/>
        <v>7.3565130314292366</v>
      </c>
      <c r="BF100" s="12">
        <f t="shared" si="150"/>
        <v>28.503094193720273</v>
      </c>
      <c r="BG100">
        <f t="shared" si="151"/>
        <v>1.7089204042851769</v>
      </c>
      <c r="BH100">
        <f t="shared" si="152"/>
        <v>2.9204089481822124</v>
      </c>
      <c r="BJ100" s="7">
        <v>88</v>
      </c>
      <c r="BK100">
        <f t="shared" si="153"/>
        <v>73.534454529536774</v>
      </c>
      <c r="BL100">
        <f t="shared" si="154"/>
        <v>20.169147966697594</v>
      </c>
      <c r="BM100">
        <f t="shared" si="155"/>
        <v>169.14347422865279</v>
      </c>
      <c r="BN100">
        <f t="shared" si="156"/>
        <v>1.6625761293614323</v>
      </c>
      <c r="BO100">
        <f t="shared" si="157"/>
        <v>158.90997078547403</v>
      </c>
      <c r="BP100">
        <f t="shared" si="158"/>
        <v>7.7922148293892999</v>
      </c>
      <c r="BQ100">
        <f t="shared" si="159"/>
        <v>30.72215001107897</v>
      </c>
      <c r="BR100">
        <f t="shared" si="160"/>
        <v>113.45232328401011</v>
      </c>
      <c r="BS100">
        <f t="shared" si="161"/>
        <v>49.239609611049403</v>
      </c>
      <c r="BT100">
        <f t="shared" si="162"/>
        <v>31.359329468744029</v>
      </c>
      <c r="BU100">
        <f t="shared" si="163"/>
        <v>171.942790420379</v>
      </c>
      <c r="BV100">
        <f t="shared" si="164"/>
        <v>50.556362075033711</v>
      </c>
      <c r="BW100">
        <f t="shared" si="165"/>
        <v>126.43555543055032</v>
      </c>
      <c r="BX100">
        <f t="shared" si="166"/>
        <v>0.7784842422921513</v>
      </c>
      <c r="BY100">
        <f t="shared" si="167"/>
        <v>30.509222275369936</v>
      </c>
      <c r="BZ100">
        <f t="shared" si="168"/>
        <v>375.8083845132831</v>
      </c>
      <c r="CA100">
        <f t="shared" si="169"/>
        <v>36.08760796334159</v>
      </c>
      <c r="CB100">
        <f t="shared" si="170"/>
        <v>198.47488418422276</v>
      </c>
      <c r="CC100">
        <f t="shared" si="171"/>
        <v>25.901920499004447</v>
      </c>
      <c r="CD100">
        <f t="shared" si="172"/>
        <v>32.661355959803416</v>
      </c>
      <c r="CE100">
        <f t="shared" si="173"/>
        <v>18.409704453455756</v>
      </c>
      <c r="CF100">
        <f t="shared" si="174"/>
        <v>4.7324542548097019</v>
      </c>
      <c r="CG100">
        <f t="shared" si="175"/>
        <v>95.825659119987222</v>
      </c>
      <c r="CH100">
        <f t="shared" si="176"/>
        <v>74.529779071346297</v>
      </c>
      <c r="CI100">
        <f t="shared" si="177"/>
        <v>46.606494503623239</v>
      </c>
      <c r="CJ100" s="7">
        <v>88</v>
      </c>
      <c r="CK100" s="13">
        <f t="shared" si="178"/>
        <v>28.029402509910312</v>
      </c>
      <c r="CL100">
        <f t="shared" si="179"/>
        <v>3.1340480811211995</v>
      </c>
      <c r="CM100">
        <f t="shared" si="180"/>
        <v>24.895354428789112</v>
      </c>
      <c r="CN100">
        <f t="shared" si="181"/>
        <v>31.163450591031513</v>
      </c>
      <c r="CO100">
        <f t="shared" si="182"/>
        <v>6.268096162242399</v>
      </c>
      <c r="CP100">
        <f t="shared" si="183"/>
        <v>21.761306347667912</v>
      </c>
      <c r="CQ100">
        <f t="shared" si="184"/>
        <v>34.297498672152713</v>
      </c>
      <c r="CR100">
        <f t="shared" si="185"/>
        <v>9.4021442433635976</v>
      </c>
      <c r="CS100">
        <f t="shared" si="186"/>
        <v>18.627258266546715</v>
      </c>
      <c r="CT100">
        <f t="shared" si="187"/>
        <v>37.431546753273906</v>
      </c>
    </row>
    <row r="101" spans="1:98" x14ac:dyDescent="0.25">
      <c r="A101" s="7">
        <v>90</v>
      </c>
      <c r="B101" s="9">
        <f t="shared" si="146"/>
        <v>29.005537119955989</v>
      </c>
      <c r="C101">
        <v>3.57066560869157E-3</v>
      </c>
      <c r="D101">
        <v>0.84533219397564618</v>
      </c>
      <c r="E101">
        <v>0.52604754783776353</v>
      </c>
      <c r="F101">
        <v>-5.3132724997711156E-2</v>
      </c>
      <c r="G101">
        <v>5.2278206732383259E-2</v>
      </c>
      <c r="H101">
        <v>0.36173589281899465</v>
      </c>
      <c r="I101">
        <v>-0.63219092379528186</v>
      </c>
      <c r="J101">
        <v>0.11203344828638562</v>
      </c>
      <c r="K101">
        <v>0.89538254951628171</v>
      </c>
      <c r="L101">
        <v>-0.41361735892818996</v>
      </c>
      <c r="M101">
        <v>-0.87615588854640336</v>
      </c>
      <c r="N101">
        <v>0.47959837641529579</v>
      </c>
      <c r="O101">
        <v>-0.89172032837916193</v>
      </c>
      <c r="P101">
        <v>0.33243812372203752</v>
      </c>
      <c r="Q101">
        <v>0.73473311563463239</v>
      </c>
      <c r="R101">
        <v>8.8167973876155825E-2</v>
      </c>
      <c r="S101">
        <v>0.99438459425641645</v>
      </c>
      <c r="T101">
        <v>0.43363750114444422</v>
      </c>
      <c r="U101">
        <v>-0.53038117618335523</v>
      </c>
      <c r="V101">
        <v>-0.18161564989165924</v>
      </c>
      <c r="W101">
        <v>0.8460646382030701</v>
      </c>
      <c r="X101">
        <v>-0.79155858027893922</v>
      </c>
      <c r="Y101">
        <v>-0.21567430646687213</v>
      </c>
      <c r="Z101">
        <v>7.0039979247413564E-2</v>
      </c>
      <c r="AA101">
        <v>-0.83562730796227913</v>
      </c>
      <c r="AC101" s="7">
        <v>90</v>
      </c>
      <c r="AD101">
        <f t="shared" si="121"/>
        <v>29.054879285300736</v>
      </c>
      <c r="AE101">
        <f t="shared" si="122"/>
        <v>40.686978469393097</v>
      </c>
      <c r="AF101">
        <f t="shared" si="123"/>
        <v>36.274861086173082</v>
      </c>
      <c r="AG101">
        <f t="shared" si="124"/>
        <v>28.271308830509799</v>
      </c>
      <c r="AH101">
        <f t="shared" si="125"/>
        <v>29.727957027952154</v>
      </c>
      <c r="AI101">
        <f t="shared" si="126"/>
        <v>34.00427802449687</v>
      </c>
      <c r="AJ101">
        <f t="shared" si="127"/>
        <v>20.269443486482231</v>
      </c>
      <c r="AK101">
        <f t="shared" si="128"/>
        <v>30.553700273636036</v>
      </c>
      <c r="AL101">
        <f t="shared" si="129"/>
        <v>41.378612240037405</v>
      </c>
      <c r="AM101">
        <f t="shared" si="130"/>
        <v>23.289858770235021</v>
      </c>
      <c r="AN101">
        <f t="shared" si="131"/>
        <v>16.898150582500129</v>
      </c>
      <c r="AO101">
        <f t="shared" si="132"/>
        <v>35.63299120878245</v>
      </c>
      <c r="AP101">
        <f t="shared" si="133"/>
        <v>16.683069348946105</v>
      </c>
      <c r="AQ101">
        <f t="shared" si="134"/>
        <v>33.599419231924593</v>
      </c>
      <c r="AR101">
        <f t="shared" si="135"/>
        <v>39.158636527432733</v>
      </c>
      <c r="AS101">
        <f t="shared" si="136"/>
        <v>30.223909048853198</v>
      </c>
      <c r="AT101">
        <f t="shared" si="137"/>
        <v>42.746697576604575</v>
      </c>
      <c r="AU101">
        <f t="shared" si="138"/>
        <v>34.997868977934687</v>
      </c>
      <c r="AV101">
        <f t="shared" si="139"/>
        <v>21.676327790670907</v>
      </c>
      <c r="AW101">
        <f t="shared" si="140"/>
        <v>26.495834333916775</v>
      </c>
      <c r="AX101">
        <f t="shared" si="141"/>
        <v>40.697099939207398</v>
      </c>
      <c r="AY101">
        <f t="shared" si="142"/>
        <v>18.067180346052591</v>
      </c>
      <c r="AZ101">
        <f t="shared" si="143"/>
        <v>26.025185987551495</v>
      </c>
      <c r="BA101">
        <f t="shared" si="144"/>
        <v>29.973402670949099</v>
      </c>
      <c r="BB101">
        <f t="shared" si="145"/>
        <v>17.458205245558453</v>
      </c>
      <c r="BC101" s="2">
        <f t="shared" si="147"/>
        <v>29.753834252444065</v>
      </c>
      <c r="BD101">
        <f t="shared" si="148"/>
        <v>67.420917140303118</v>
      </c>
      <c r="BE101">
        <f t="shared" si="149"/>
        <v>8.2110241225015965</v>
      </c>
      <c r="BF101" s="12">
        <f t="shared" si="150"/>
        <v>28.791196412017683</v>
      </c>
      <c r="BG101">
        <f t="shared" si="151"/>
        <v>0.96263784042638179</v>
      </c>
      <c r="BH101">
        <f t="shared" si="152"/>
        <v>0.92667161182076807</v>
      </c>
      <c r="BJ101" s="7">
        <v>89</v>
      </c>
      <c r="BK101">
        <f t="shared" si="153"/>
        <v>2.3698738970992537</v>
      </c>
      <c r="BL101">
        <f t="shared" si="154"/>
        <v>86.291973754443461</v>
      </c>
      <c r="BM101">
        <f t="shared" si="155"/>
        <v>154.18514847247346</v>
      </c>
      <c r="BN101">
        <f t="shared" si="156"/>
        <v>130.36052182116978</v>
      </c>
      <c r="BO101">
        <f t="shared" si="157"/>
        <v>10.897525779149555</v>
      </c>
      <c r="BP101">
        <f t="shared" si="158"/>
        <v>0.62627664950962292</v>
      </c>
      <c r="BQ101">
        <f t="shared" si="159"/>
        <v>40.885771375299946</v>
      </c>
      <c r="BR101">
        <f t="shared" si="160"/>
        <v>77.911481123624611</v>
      </c>
      <c r="BS101">
        <f t="shared" si="161"/>
        <v>12.940633150453177</v>
      </c>
      <c r="BT101">
        <f t="shared" si="162"/>
        <v>6.1386914405837087</v>
      </c>
      <c r="BU101">
        <f t="shared" si="163"/>
        <v>48.43474443889496</v>
      </c>
      <c r="BV101">
        <f t="shared" si="164"/>
        <v>0.43713208132461251</v>
      </c>
      <c r="BW101">
        <f t="shared" si="165"/>
        <v>0.30925538044900186</v>
      </c>
      <c r="BX101">
        <f t="shared" si="166"/>
        <v>83.062369497652426</v>
      </c>
      <c r="BY101">
        <f t="shared" si="167"/>
        <v>75.447389754312255</v>
      </c>
      <c r="BZ101">
        <f t="shared" si="168"/>
        <v>346.41971601281153</v>
      </c>
      <c r="CA101">
        <f t="shared" si="169"/>
        <v>284.07275406782827</v>
      </c>
      <c r="CB101">
        <f t="shared" si="170"/>
        <v>190.57305025010567</v>
      </c>
      <c r="CC101">
        <f t="shared" si="171"/>
        <v>14.949138688158957</v>
      </c>
      <c r="CD101">
        <f t="shared" si="172"/>
        <v>2.6827088300961122</v>
      </c>
      <c r="CE101">
        <f t="shared" si="173"/>
        <v>30.014302162221195</v>
      </c>
      <c r="CF101">
        <f t="shared" si="174"/>
        <v>2.3955529626764154</v>
      </c>
      <c r="CG101">
        <f t="shared" si="175"/>
        <v>57.623511805844849</v>
      </c>
      <c r="CH101">
        <f t="shared" si="176"/>
        <v>50.720239623202204</v>
      </c>
      <c r="CI101">
        <f t="shared" si="177"/>
        <v>52.594398584457245</v>
      </c>
      <c r="CJ101" s="7">
        <v>89</v>
      </c>
      <c r="CK101" s="13">
        <f t="shared" si="178"/>
        <v>28.314009123532173</v>
      </c>
      <c r="CL101">
        <f t="shared" si="179"/>
        <v>3.1821469261316375</v>
      </c>
      <c r="CM101">
        <f t="shared" si="180"/>
        <v>25.131862197400537</v>
      </c>
      <c r="CN101">
        <f t="shared" si="181"/>
        <v>31.49615604966381</v>
      </c>
      <c r="CO101">
        <f t="shared" si="182"/>
        <v>6.364293852263275</v>
      </c>
      <c r="CP101">
        <f t="shared" si="183"/>
        <v>21.9497152712689</v>
      </c>
      <c r="CQ101">
        <f t="shared" si="184"/>
        <v>34.678302975795447</v>
      </c>
      <c r="CR101">
        <f t="shared" si="185"/>
        <v>9.5464407783949135</v>
      </c>
      <c r="CS101">
        <f t="shared" si="186"/>
        <v>18.76756834513726</v>
      </c>
      <c r="CT101">
        <f t="shared" si="187"/>
        <v>37.860449901927083</v>
      </c>
    </row>
    <row r="102" spans="1:98" x14ac:dyDescent="0.25">
      <c r="A102" s="7">
        <v>91</v>
      </c>
      <c r="B102" s="9">
        <f t="shared" si="146"/>
        <v>29.297121520005749</v>
      </c>
      <c r="C102">
        <v>-0.94677571947386086</v>
      </c>
      <c r="D102">
        <v>-0.20834986419263279</v>
      </c>
      <c r="E102">
        <v>-0.40110477004303113</v>
      </c>
      <c r="F102">
        <v>-0.60246589556566055</v>
      </c>
      <c r="G102">
        <v>-0.52360606707968382</v>
      </c>
      <c r="H102">
        <v>0.40867336039307833</v>
      </c>
      <c r="I102">
        <v>0.32712790307321393</v>
      </c>
      <c r="J102">
        <v>0.7609790337839899</v>
      </c>
      <c r="K102">
        <v>0.8869594409009065</v>
      </c>
      <c r="L102">
        <v>-0.75878170110171816</v>
      </c>
      <c r="M102">
        <v>-6.2471388897366253E-2</v>
      </c>
      <c r="N102">
        <v>-0.29721976378673665</v>
      </c>
      <c r="O102">
        <v>0.44914090395825057</v>
      </c>
      <c r="P102">
        <v>0.27030243842890722</v>
      </c>
      <c r="Q102">
        <v>-0.93328653828547015</v>
      </c>
      <c r="R102">
        <v>-0.42399365215002904</v>
      </c>
      <c r="S102">
        <v>-0.68388927884762107</v>
      </c>
      <c r="T102">
        <v>-0.59947508163701291</v>
      </c>
      <c r="U102">
        <v>0.90783410138248843</v>
      </c>
      <c r="V102">
        <v>-0.9201025421918394</v>
      </c>
      <c r="W102">
        <v>-0.44492934965056308</v>
      </c>
      <c r="X102">
        <v>0.93554490798669399</v>
      </c>
      <c r="Y102">
        <v>3.5615100558488821E-2</v>
      </c>
      <c r="Z102">
        <v>-0.96618549150059507</v>
      </c>
      <c r="AA102">
        <v>7.6082644123661058E-2</v>
      </c>
      <c r="AC102" s="7">
        <v>91</v>
      </c>
      <c r="AD102">
        <f t="shared" si="121"/>
        <v>16.213856601287119</v>
      </c>
      <c r="AE102">
        <f t="shared" si="122"/>
        <v>26.417985085744327</v>
      </c>
      <c r="AF102">
        <f t="shared" si="123"/>
        <v>23.754351612945861</v>
      </c>
      <c r="AG102">
        <f t="shared" si="124"/>
        <v>20.971790869829285</v>
      </c>
      <c r="AH102">
        <f t="shared" si="125"/>
        <v>22.061535786503008</v>
      </c>
      <c r="AI102">
        <f t="shared" si="126"/>
        <v>34.944479948480144</v>
      </c>
      <c r="AJ102">
        <f t="shared" si="127"/>
        <v>33.817622975820626</v>
      </c>
      <c r="AK102">
        <f t="shared" si="128"/>
        <v>39.812906929161826</v>
      </c>
      <c r="AL102">
        <f t="shared" si="129"/>
        <v>41.55379973722264</v>
      </c>
      <c r="AM102">
        <f t="shared" si="130"/>
        <v>18.811700520292593</v>
      </c>
      <c r="AN102">
        <f t="shared" si="131"/>
        <v>28.433844490427145</v>
      </c>
      <c r="AO102">
        <f t="shared" si="132"/>
        <v>25.189913414941742</v>
      </c>
      <c r="AP102">
        <f t="shared" si="133"/>
        <v>35.503691155720603</v>
      </c>
      <c r="AQ102">
        <f t="shared" si="134"/>
        <v>33.032365609393977</v>
      </c>
      <c r="AR102">
        <f t="shared" si="135"/>
        <v>16.400260337033941</v>
      </c>
      <c r="AS102">
        <f t="shared" si="136"/>
        <v>23.438055681248766</v>
      </c>
      <c r="AT102">
        <f t="shared" si="137"/>
        <v>19.846620808805486</v>
      </c>
      <c r="AU102">
        <f t="shared" si="138"/>
        <v>21.013120204904371</v>
      </c>
      <c r="AV102">
        <f t="shared" si="139"/>
        <v>41.842261626930387</v>
      </c>
      <c r="AW102">
        <f t="shared" si="140"/>
        <v>16.582446793691467</v>
      </c>
      <c r="AX102">
        <f t="shared" si="141"/>
        <v>23.148750335723157</v>
      </c>
      <c r="AY102">
        <f t="shared" si="142"/>
        <v>42.225190568238339</v>
      </c>
      <c r="AZ102">
        <f t="shared" si="143"/>
        <v>29.789277989726429</v>
      </c>
      <c r="BA102">
        <f t="shared" si="144"/>
        <v>15.945637651207985</v>
      </c>
      <c r="BB102">
        <f t="shared" si="145"/>
        <v>30.348489196966892</v>
      </c>
      <c r="BC102" s="2">
        <f t="shared" si="147"/>
        <v>27.243998237289926</v>
      </c>
      <c r="BD102">
        <f t="shared" si="148"/>
        <v>74.242415517056543</v>
      </c>
      <c r="BE102">
        <f t="shared" si="149"/>
        <v>8.6164038622302606</v>
      </c>
      <c r="BF102" s="12">
        <f t="shared" si="150"/>
        <v>29.07929863031509</v>
      </c>
      <c r="BG102">
        <f t="shared" si="151"/>
        <v>-1.8353003930251646</v>
      </c>
      <c r="BH102">
        <f t="shared" si="152"/>
        <v>3.3683275326383235</v>
      </c>
      <c r="BJ102" s="7">
        <v>90</v>
      </c>
      <c r="BK102">
        <f t="shared" si="153"/>
        <v>2.607681280562729</v>
      </c>
      <c r="BL102">
        <f t="shared" si="154"/>
        <v>98.833931203898345</v>
      </c>
      <c r="BM102">
        <f t="shared" si="155"/>
        <v>77.467854508721672</v>
      </c>
      <c r="BN102">
        <f t="shared" si="156"/>
        <v>84.27543863912274</v>
      </c>
      <c r="BO102">
        <f t="shared" si="157"/>
        <v>13.289414225600735</v>
      </c>
      <c r="BP102">
        <f t="shared" si="158"/>
        <v>49.98209735908268</v>
      </c>
      <c r="BQ102">
        <f t="shared" si="159"/>
        <v>36.160069009552188</v>
      </c>
      <c r="BR102">
        <f t="shared" si="160"/>
        <v>12.755370078307598</v>
      </c>
      <c r="BS102">
        <f t="shared" si="161"/>
        <v>87.015741710731419</v>
      </c>
      <c r="BT102">
        <f t="shared" si="162"/>
        <v>4.399355379294394</v>
      </c>
      <c r="BU102">
        <f t="shared" si="163"/>
        <v>204.20504970184916</v>
      </c>
      <c r="BV102">
        <f t="shared" si="164"/>
        <v>38.834132672736636</v>
      </c>
      <c r="BW102">
        <f t="shared" si="165"/>
        <v>185.7590757987073</v>
      </c>
      <c r="BX102">
        <f t="shared" si="166"/>
        <v>5.3514711123749104</v>
      </c>
      <c r="BY102">
        <f t="shared" si="167"/>
        <v>112.57469034575475</v>
      </c>
      <c r="BZ102">
        <f t="shared" si="168"/>
        <v>51.955446913370658</v>
      </c>
      <c r="CA102">
        <f t="shared" si="169"/>
        <v>317.16526259321961</v>
      </c>
      <c r="CB102">
        <f t="shared" si="170"/>
        <v>6.1571426933638573</v>
      </c>
      <c r="CC102">
        <f t="shared" si="171"/>
        <v>82.488037289455875</v>
      </c>
      <c r="CD102">
        <f t="shared" si="172"/>
        <v>5.9768864119194482</v>
      </c>
      <c r="CE102">
        <f t="shared" si="173"/>
        <v>70.507401555811441</v>
      </c>
      <c r="CF102">
        <f t="shared" si="174"/>
        <v>168.5054498518912</v>
      </c>
      <c r="CG102">
        <f t="shared" si="175"/>
        <v>13.064412071087173</v>
      </c>
      <c r="CH102">
        <f t="shared" si="176"/>
        <v>1.7634771590346499</v>
      </c>
      <c r="CI102">
        <f t="shared" si="177"/>
        <v>112.63227122669522</v>
      </c>
      <c r="CJ102" s="7">
        <v>90</v>
      </c>
      <c r="CK102" s="13">
        <f t="shared" si="178"/>
        <v>28.598615737154034</v>
      </c>
      <c r="CL102">
        <f t="shared" si="179"/>
        <v>3.2303503292554723</v>
      </c>
      <c r="CM102">
        <f t="shared" si="180"/>
        <v>25.368265407898562</v>
      </c>
      <c r="CN102">
        <f t="shared" si="181"/>
        <v>31.828966066409507</v>
      </c>
      <c r="CO102">
        <f t="shared" si="182"/>
        <v>6.4607006585109445</v>
      </c>
      <c r="CP102">
        <f t="shared" si="183"/>
        <v>22.13791507864309</v>
      </c>
      <c r="CQ102">
        <f t="shared" si="184"/>
        <v>35.059316395664979</v>
      </c>
      <c r="CR102">
        <f t="shared" si="185"/>
        <v>9.6910509877664168</v>
      </c>
      <c r="CS102">
        <f t="shared" si="186"/>
        <v>18.907564749387618</v>
      </c>
      <c r="CT102">
        <f t="shared" si="187"/>
        <v>38.289666724920451</v>
      </c>
    </row>
    <row r="103" spans="1:98" x14ac:dyDescent="0.25">
      <c r="A103" s="7">
        <v>92</v>
      </c>
      <c r="B103" s="9">
        <f t="shared" si="146"/>
        <v>29.588705920055506</v>
      </c>
      <c r="C103">
        <v>-0.95947141941587577</v>
      </c>
      <c r="D103">
        <v>0.26737266151921135</v>
      </c>
      <c r="E103">
        <v>4.5503097628711853E-2</v>
      </c>
      <c r="F103">
        <v>-0.12265388958403267</v>
      </c>
      <c r="G103">
        <v>-0.74309518723105561</v>
      </c>
      <c r="H103">
        <v>0.37113559373760197</v>
      </c>
      <c r="I103">
        <v>0.63609729300820939</v>
      </c>
      <c r="J103">
        <v>-8.023316141239667E-2</v>
      </c>
      <c r="K103">
        <v>0.12875759147923205</v>
      </c>
      <c r="L103">
        <v>-0.56602679525131994</v>
      </c>
      <c r="M103">
        <v>0.38505203405865651</v>
      </c>
      <c r="N103">
        <v>-5.758842738120673E-2</v>
      </c>
      <c r="O103">
        <v>6.2562944425794687E-3</v>
      </c>
      <c r="P103">
        <v>0.7032380138554033</v>
      </c>
      <c r="Q103">
        <v>-0.34305856501968446</v>
      </c>
      <c r="R103">
        <v>-0.46787926877651298</v>
      </c>
      <c r="S103">
        <v>-0.91314432203131202</v>
      </c>
      <c r="T103">
        <v>-0.28751487777336959</v>
      </c>
      <c r="U103">
        <v>0.47294534134952859</v>
      </c>
      <c r="V103">
        <v>-0.24039429914242993</v>
      </c>
      <c r="W103">
        <v>-0.24259163182470167</v>
      </c>
      <c r="X103">
        <v>-0.49418622394482259</v>
      </c>
      <c r="Y103">
        <v>8.8778344065675752E-2</v>
      </c>
      <c r="Z103">
        <v>0.69408246101260418</v>
      </c>
      <c r="AA103">
        <v>-0.70097964415417957</v>
      </c>
      <c r="AC103" s="7">
        <v>92</v>
      </c>
      <c r="AD103">
        <f t="shared" si="121"/>
        <v>16.330002191222221</v>
      </c>
      <c r="AE103">
        <f t="shared" si="122"/>
        <v>33.283464130186502</v>
      </c>
      <c r="AF103">
        <f t="shared" si="123"/>
        <v>30.217502232269332</v>
      </c>
      <c r="AG103">
        <f t="shared" si="124"/>
        <v>27.893781454068009</v>
      </c>
      <c r="AH103">
        <f t="shared" si="125"/>
        <v>19.320053065532093</v>
      </c>
      <c r="AI103">
        <f t="shared" si="126"/>
        <v>34.717339020546667</v>
      </c>
      <c r="AJ103">
        <f t="shared" si="127"/>
        <v>38.378780725872232</v>
      </c>
      <c r="AK103">
        <f t="shared" si="128"/>
        <v>28.479983247479957</v>
      </c>
      <c r="AL103">
        <f t="shared" si="129"/>
        <v>31.367975967828894</v>
      </c>
      <c r="AM103">
        <f t="shared" si="130"/>
        <v>21.766918393140816</v>
      </c>
      <c r="AN103">
        <f t="shared" si="131"/>
        <v>34.909646947018501</v>
      </c>
      <c r="AO103">
        <f t="shared" si="132"/>
        <v>28.792905355905617</v>
      </c>
      <c r="AP103">
        <f t="shared" si="133"/>
        <v>29.675160141386048</v>
      </c>
      <c r="AQ103">
        <f t="shared" si="134"/>
        <v>39.306582125517046</v>
      </c>
      <c r="AR103">
        <f t="shared" si="135"/>
        <v>24.848062495779452</v>
      </c>
      <c r="AS103">
        <f t="shared" si="136"/>
        <v>23.123195348257958</v>
      </c>
      <c r="AT103">
        <f t="shared" si="137"/>
        <v>16.970185156977145</v>
      </c>
      <c r="AU103">
        <f t="shared" si="138"/>
        <v>25.615607290031065</v>
      </c>
      <c r="AV103">
        <f t="shared" si="139"/>
        <v>36.124223324735347</v>
      </c>
      <c r="AW103">
        <f t="shared" si="140"/>
        <v>26.266755181418151</v>
      </c>
      <c r="AX103">
        <f t="shared" si="141"/>
        <v>26.236390771975231</v>
      </c>
      <c r="AY103">
        <f t="shared" si="142"/>
        <v>22.759665890760765</v>
      </c>
      <c r="AZ103">
        <f t="shared" si="143"/>
        <v>30.815512407131305</v>
      </c>
      <c r="BA103">
        <f t="shared" si="144"/>
        <v>39.180063752838208</v>
      </c>
      <c r="BB103">
        <f t="shared" si="145"/>
        <v>19.902037579854746</v>
      </c>
      <c r="BC103" s="2">
        <f t="shared" si="147"/>
        <v>28.251271767909337</v>
      </c>
      <c r="BD103">
        <f t="shared" si="148"/>
        <v>45.175650741378981</v>
      </c>
      <c r="BE103">
        <f t="shared" si="149"/>
        <v>6.7212834147489255</v>
      </c>
      <c r="BF103" s="12">
        <f t="shared" si="150"/>
        <v>29.367400848612501</v>
      </c>
      <c r="BG103">
        <f t="shared" si="151"/>
        <v>-1.1161290807031641</v>
      </c>
      <c r="BH103">
        <f t="shared" si="152"/>
        <v>1.2457441247912902</v>
      </c>
      <c r="BJ103" s="7">
        <v>91</v>
      </c>
      <c r="BK103">
        <f t="shared" si="153"/>
        <v>218.56760086245703</v>
      </c>
      <c r="BL103">
        <f t="shared" si="154"/>
        <v>21.483202473856863</v>
      </c>
      <c r="BM103">
        <f t="shared" si="155"/>
        <v>16.101724363355228</v>
      </c>
      <c r="BN103">
        <f t="shared" si="156"/>
        <v>3.0818662382915964</v>
      </c>
      <c r="BO103">
        <f t="shared" si="157"/>
        <v>18.148040126328365</v>
      </c>
      <c r="BP103">
        <f t="shared" si="158"/>
        <v>60.046283745720444</v>
      </c>
      <c r="BQ103">
        <f t="shared" si="159"/>
        <v>52.765538156949887</v>
      </c>
      <c r="BR103">
        <f t="shared" si="160"/>
        <v>157.89160330701472</v>
      </c>
      <c r="BS103">
        <f t="shared" si="161"/>
        <v>83.673004331708384</v>
      </c>
      <c r="BT103">
        <f t="shared" si="162"/>
        <v>46.43423374917171</v>
      </c>
      <c r="BU103">
        <f t="shared" si="163"/>
        <v>9.3055459571832504</v>
      </c>
      <c r="BV103">
        <f t="shared" si="164"/>
        <v>20.358990774493968</v>
      </c>
      <c r="BW103">
        <f t="shared" si="165"/>
        <v>23.565889323463566</v>
      </c>
      <c r="BX103">
        <f t="shared" si="166"/>
        <v>2.1143959039384583</v>
      </c>
      <c r="BY103">
        <f t="shared" si="167"/>
        <v>154.99082145856499</v>
      </c>
      <c r="BZ103">
        <f t="shared" si="168"/>
        <v>5.8941881299421156E-2</v>
      </c>
      <c r="CA103">
        <f t="shared" si="169"/>
        <v>28.592735047992349</v>
      </c>
      <c r="CB103">
        <f t="shared" si="170"/>
        <v>140.40033733848571</v>
      </c>
      <c r="CC103">
        <f t="shared" si="171"/>
        <v>116.25077040088226</v>
      </c>
      <c r="CD103">
        <f t="shared" si="172"/>
        <v>160.19522951231994</v>
      </c>
      <c r="CE103">
        <f t="shared" si="173"/>
        <v>90.03930181459998</v>
      </c>
      <c r="CF103">
        <f t="shared" si="174"/>
        <v>117.79294224643844</v>
      </c>
      <c r="CG103">
        <f t="shared" si="175"/>
        <v>1.345486340516948E-2</v>
      </c>
      <c r="CH103">
        <f t="shared" si="176"/>
        <v>245.60541398978873</v>
      </c>
      <c r="CI103">
        <f t="shared" si="177"/>
        <v>3.9982503144888066</v>
      </c>
      <c r="CJ103" s="7">
        <v>91</v>
      </c>
      <c r="CK103" s="13">
        <f t="shared" si="178"/>
        <v>28.883222350775895</v>
      </c>
      <c r="CL103">
        <f t="shared" si="179"/>
        <v>3.2786536787948797</v>
      </c>
      <c r="CM103">
        <f t="shared" si="180"/>
        <v>25.604568671981017</v>
      </c>
      <c r="CN103">
        <f t="shared" si="181"/>
        <v>32.161876029570777</v>
      </c>
      <c r="CO103">
        <f t="shared" si="182"/>
        <v>6.5573073575897594</v>
      </c>
      <c r="CP103">
        <f t="shared" si="183"/>
        <v>22.325914993186135</v>
      </c>
      <c r="CQ103">
        <f t="shared" si="184"/>
        <v>35.440529708365652</v>
      </c>
      <c r="CR103">
        <f t="shared" si="185"/>
        <v>9.8359610363846386</v>
      </c>
      <c r="CS103">
        <f t="shared" si="186"/>
        <v>19.047261314391257</v>
      </c>
      <c r="CT103">
        <f t="shared" si="187"/>
        <v>38.719183387160534</v>
      </c>
    </row>
    <row r="104" spans="1:98" x14ac:dyDescent="0.25">
      <c r="A104" s="7">
        <v>93</v>
      </c>
      <c r="B104" s="9">
        <f t="shared" si="146"/>
        <v>29.880290320105267</v>
      </c>
      <c r="C104">
        <v>0.77141636402478109</v>
      </c>
      <c r="D104">
        <v>-0.15683462019714955</v>
      </c>
      <c r="E104">
        <v>-0.89019440290536211</v>
      </c>
      <c r="F104">
        <v>1.8951994384594162E-2</v>
      </c>
      <c r="G104">
        <v>-0.30161442915128023</v>
      </c>
      <c r="H104">
        <v>0.83727530747398293</v>
      </c>
      <c r="I104">
        <v>-0.3036286507766961</v>
      </c>
      <c r="J104">
        <v>0.86913663136692398</v>
      </c>
      <c r="K104">
        <v>-0.630970183416242</v>
      </c>
      <c r="L104">
        <v>-0.99060029908139291</v>
      </c>
      <c r="M104">
        <v>8.4994048890652207E-2</v>
      </c>
      <c r="N104">
        <v>-0.38291573839533677</v>
      </c>
      <c r="O104">
        <v>-0.50242622150334171</v>
      </c>
      <c r="P104">
        <v>-0.83336893826105529</v>
      </c>
      <c r="Q104">
        <v>-0.99597155674916837</v>
      </c>
      <c r="R104">
        <v>-0.37113559373760185</v>
      </c>
      <c r="S104">
        <v>0.33054597613452552</v>
      </c>
      <c r="T104">
        <v>0.53550828577532283</v>
      </c>
      <c r="U104">
        <v>-0.12344737083040869</v>
      </c>
      <c r="V104">
        <v>0.32853175450910976</v>
      </c>
      <c r="W104">
        <v>-0.48142948698385568</v>
      </c>
      <c r="X104">
        <v>-0.60484633930478837</v>
      </c>
      <c r="Y104">
        <v>-0.82982879116183961</v>
      </c>
      <c r="Z104">
        <v>-0.60441908017212431</v>
      </c>
      <c r="AA104">
        <v>-0.22574541459395125</v>
      </c>
      <c r="AC104" s="7">
        <v>93</v>
      </c>
      <c r="AD104">
        <f t="shared" si="121"/>
        <v>40.540306674115222</v>
      </c>
      <c r="AE104">
        <f t="shared" si="122"/>
        <v>27.713030596116774</v>
      </c>
      <c r="AF104">
        <f t="shared" si="123"/>
        <v>17.578908944541858</v>
      </c>
      <c r="AG104">
        <f t="shared" si="124"/>
        <v>30.142183351550461</v>
      </c>
      <c r="AH104">
        <f t="shared" si="125"/>
        <v>25.712353396155418</v>
      </c>
      <c r="AI104">
        <f t="shared" si="126"/>
        <v>41.450395501584993</v>
      </c>
      <c r="AJ104">
        <f t="shared" si="127"/>
        <v>25.684519354166071</v>
      </c>
      <c r="AK104">
        <f t="shared" si="128"/>
        <v>41.890679438507348</v>
      </c>
      <c r="AL104">
        <f t="shared" si="129"/>
        <v>21.161065802988688</v>
      </c>
      <c r="AM104">
        <f t="shared" si="130"/>
        <v>16.191424124163934</v>
      </c>
      <c r="AN104">
        <f t="shared" si="131"/>
        <v>31.054802546473812</v>
      </c>
      <c r="AO104">
        <f t="shared" si="132"/>
        <v>24.588870246767335</v>
      </c>
      <c r="AP104">
        <f t="shared" si="133"/>
        <v>22.937383755399573</v>
      </c>
      <c r="AQ104">
        <f t="shared" si="134"/>
        <v>18.364166310968514</v>
      </c>
      <c r="AR104">
        <f t="shared" si="135"/>
        <v>16.117200012192349</v>
      </c>
      <c r="AS104">
        <f t="shared" si="136"/>
        <v>24.75165721961411</v>
      </c>
      <c r="AT104">
        <f t="shared" si="137"/>
        <v>34.448025301720243</v>
      </c>
      <c r="AU104">
        <f t="shared" si="138"/>
        <v>37.280349938090495</v>
      </c>
      <c r="AV104">
        <f t="shared" si="139"/>
        <v>28.174400928485603</v>
      </c>
      <c r="AW104">
        <f t="shared" si="140"/>
        <v>34.420191259730899</v>
      </c>
      <c r="AX104">
        <f t="shared" si="141"/>
        <v>23.227532556743043</v>
      </c>
      <c r="AY104">
        <f t="shared" si="142"/>
        <v>21.522064893032304</v>
      </c>
      <c r="AZ104">
        <f t="shared" si="143"/>
        <v>18.413086748404329</v>
      </c>
      <c r="BA104">
        <f t="shared" si="144"/>
        <v>21.52796908375732</v>
      </c>
      <c r="BB104">
        <f t="shared" si="145"/>
        <v>26.760768977754054</v>
      </c>
      <c r="BC104" s="2">
        <f t="shared" si="147"/>
        <v>26.866133478520993</v>
      </c>
      <c r="BD104">
        <f t="shared" si="148"/>
        <v>61.220146265830259</v>
      </c>
      <c r="BE104">
        <f t="shared" si="149"/>
        <v>7.8243304036722696</v>
      </c>
      <c r="BF104" s="12">
        <f t="shared" si="150"/>
        <v>29.655503066909912</v>
      </c>
      <c r="BG104">
        <f t="shared" si="151"/>
        <v>-2.7893695883889187</v>
      </c>
      <c r="BH104">
        <f t="shared" si="152"/>
        <v>7.7805827006289654</v>
      </c>
      <c r="BJ104" s="7">
        <v>92</v>
      </c>
      <c r="BK104">
        <f t="shared" si="153"/>
        <v>224.88193489519728</v>
      </c>
      <c r="BL104">
        <f t="shared" si="154"/>
        <v>3.6977432047449867</v>
      </c>
      <c r="BM104">
        <f t="shared" si="155"/>
        <v>4.6512979306428903</v>
      </c>
      <c r="BN104">
        <f t="shared" si="156"/>
        <v>73.143409350510879</v>
      </c>
      <c r="BO104">
        <f t="shared" si="157"/>
        <v>52.426718157649042</v>
      </c>
      <c r="BP104">
        <f t="shared" si="158"/>
        <v>52.71867638375474</v>
      </c>
      <c r="BQ104">
        <f t="shared" si="159"/>
        <v>133.50140528145863</v>
      </c>
      <c r="BR104">
        <f t="shared" si="160"/>
        <v>0.93584087527023063</v>
      </c>
      <c r="BS104">
        <f t="shared" si="161"/>
        <v>1.9450326904625859</v>
      </c>
      <c r="BT104">
        <f t="shared" si="162"/>
        <v>16.791093621766702</v>
      </c>
      <c r="BU104">
        <f t="shared" si="163"/>
        <v>9.7915370751853406</v>
      </c>
      <c r="BV104">
        <f t="shared" si="164"/>
        <v>1.4636687121153324</v>
      </c>
      <c r="BW104">
        <f t="shared" si="165"/>
        <v>1.7183659089562833</v>
      </c>
      <c r="BX104">
        <f t="shared" si="166"/>
        <v>55.296147616971147</v>
      </c>
      <c r="BY104">
        <f t="shared" si="167"/>
        <v>18.515857778724165</v>
      </c>
      <c r="BZ104">
        <f t="shared" si="168"/>
        <v>6.3232469256881238E-2</v>
      </c>
      <c r="CA104">
        <f t="shared" si="169"/>
        <v>71.909181267638886</v>
      </c>
      <c r="CB104">
        <f t="shared" si="170"/>
        <v>57.642303229827696</v>
      </c>
      <c r="CC104">
        <f t="shared" si="171"/>
        <v>22.679029635426946</v>
      </c>
      <c r="CD104">
        <f t="shared" si="172"/>
        <v>10.700669278932079</v>
      </c>
      <c r="CE104">
        <f t="shared" si="173"/>
        <v>45.409899797246403</v>
      </c>
      <c r="CF104">
        <f t="shared" si="174"/>
        <v>79.853500622901564</v>
      </c>
      <c r="CG104">
        <f t="shared" si="175"/>
        <v>0.41554113165909512</v>
      </c>
      <c r="CH104">
        <f t="shared" si="176"/>
        <v>52.51240854387752</v>
      </c>
      <c r="CI104">
        <f t="shared" si="177"/>
        <v>76.121703956173079</v>
      </c>
      <c r="CJ104" s="7">
        <v>92</v>
      </c>
      <c r="CK104" s="13">
        <f t="shared" si="178"/>
        <v>29.167828964397756</v>
      </c>
      <c r="CL104">
        <f t="shared" si="179"/>
        <v>3.3270526215784169</v>
      </c>
      <c r="CM104">
        <f t="shared" si="180"/>
        <v>25.840776342819339</v>
      </c>
      <c r="CN104">
        <f t="shared" si="181"/>
        <v>32.494881585976174</v>
      </c>
      <c r="CO104">
        <f t="shared" si="182"/>
        <v>6.6541052431568337</v>
      </c>
      <c r="CP104">
        <f t="shared" si="183"/>
        <v>22.513723721240922</v>
      </c>
      <c r="CQ104">
        <f t="shared" si="184"/>
        <v>35.821934207554591</v>
      </c>
      <c r="CR104">
        <f t="shared" si="185"/>
        <v>9.9811578647352501</v>
      </c>
      <c r="CS104">
        <f t="shared" si="186"/>
        <v>19.186671099662505</v>
      </c>
      <c r="CT104">
        <f t="shared" si="187"/>
        <v>39.148986829133008</v>
      </c>
    </row>
    <row r="105" spans="1:98" x14ac:dyDescent="0.25">
      <c r="A105" s="7">
        <v>94</v>
      </c>
      <c r="B105" s="9">
        <f t="shared" si="146"/>
        <v>30.171874720155028</v>
      </c>
      <c r="C105">
        <v>-0.64464247566148869</v>
      </c>
      <c r="D105">
        <v>-0.18485061189611496</v>
      </c>
      <c r="E105">
        <v>-0.23673207800531026</v>
      </c>
      <c r="F105">
        <v>0.12698751792962426</v>
      </c>
      <c r="G105">
        <v>0.84044923245948677</v>
      </c>
      <c r="H105">
        <v>-1</v>
      </c>
      <c r="I105">
        <v>-0.51994384594256415</v>
      </c>
      <c r="J105">
        <v>0.5883663441877498</v>
      </c>
      <c r="K105">
        <v>0.34385204626606036</v>
      </c>
      <c r="L105">
        <v>0.65935239722891925</v>
      </c>
      <c r="M105">
        <v>-0.50285348063600566</v>
      </c>
      <c r="N105">
        <v>-0.95995971556749171</v>
      </c>
      <c r="O105">
        <v>-0.98559526352732929</v>
      </c>
      <c r="P105">
        <v>-3.4943693350016791E-2</v>
      </c>
      <c r="Q105">
        <v>-0.55583361308633683</v>
      </c>
      <c r="R105">
        <v>0.15713980529190952</v>
      </c>
      <c r="S105">
        <v>-0.86333811456648457</v>
      </c>
      <c r="T105">
        <v>0.13455610827967157</v>
      </c>
      <c r="U105">
        <v>0.45524460585345006</v>
      </c>
      <c r="V105">
        <v>-0.82152775658436838</v>
      </c>
      <c r="W105">
        <v>6.9124423963133674E-2</v>
      </c>
      <c r="X105">
        <v>0.86724448377941221</v>
      </c>
      <c r="Y105">
        <v>-0.89104892117069001</v>
      </c>
      <c r="Z105">
        <v>0.33805352946562084</v>
      </c>
      <c r="AA105">
        <v>0.20096438489944157</v>
      </c>
      <c r="AC105" s="7">
        <v>94</v>
      </c>
      <c r="AD105">
        <f t="shared" si="121"/>
        <v>21.263716099838049</v>
      </c>
      <c r="AE105">
        <f t="shared" si="122"/>
        <v>27.617468775769289</v>
      </c>
      <c r="AF105">
        <f t="shared" si="123"/>
        <v>26.90053133058921</v>
      </c>
      <c r="AG105">
        <f t="shared" si="124"/>
        <v>31.92668454921051</v>
      </c>
      <c r="AH105">
        <f t="shared" si="125"/>
        <v>41.785839604163421</v>
      </c>
      <c r="AI105">
        <f t="shared" si="126"/>
        <v>16.353116328263422</v>
      </c>
      <c r="AJ105">
        <f t="shared" si="127"/>
        <v>22.986896335723824</v>
      </c>
      <c r="AK105">
        <f t="shared" si="128"/>
        <v>38.302367076406078</v>
      </c>
      <c r="AL105">
        <f t="shared" si="129"/>
        <v>34.923483070063249</v>
      </c>
      <c r="AM105">
        <f t="shared" si="130"/>
        <v>39.283306192576006</v>
      </c>
      <c r="AN105">
        <f t="shared" si="131"/>
        <v>23.223063964724322</v>
      </c>
      <c r="AO105">
        <f t="shared" si="132"/>
        <v>16.906423344778872</v>
      </c>
      <c r="AP105">
        <f t="shared" si="133"/>
        <v>16.552171901278129</v>
      </c>
      <c r="AQ105">
        <f t="shared" si="134"/>
        <v>29.688996264430795</v>
      </c>
      <c r="AR105">
        <f t="shared" si="135"/>
        <v>22.490944314822777</v>
      </c>
      <c r="AS105">
        <f t="shared" si="136"/>
        <v>32.343351723232814</v>
      </c>
      <c r="AT105">
        <f t="shared" si="137"/>
        <v>18.241613904449544</v>
      </c>
      <c r="AU105">
        <f t="shared" si="138"/>
        <v>32.031273070625012</v>
      </c>
      <c r="AV105">
        <f t="shared" si="139"/>
        <v>36.462789937655778</v>
      </c>
      <c r="AW105">
        <f t="shared" si="140"/>
        <v>18.819381139682903</v>
      </c>
      <c r="AX105">
        <f t="shared" si="141"/>
        <v>31.127088433880253</v>
      </c>
      <c r="AY105">
        <f t="shared" si="142"/>
        <v>42.156116708203484</v>
      </c>
      <c r="AZ105">
        <f t="shared" si="143"/>
        <v>17.858684963141592</v>
      </c>
      <c r="BA105">
        <f t="shared" si="144"/>
        <v>34.843354767366655</v>
      </c>
      <c r="BB105">
        <f t="shared" si="145"/>
        <v>32.948953000455518</v>
      </c>
      <c r="BC105" s="2">
        <f t="shared" si="147"/>
        <v>28.281504672053266</v>
      </c>
      <c r="BD105">
        <f t="shared" si="148"/>
        <v>69.713241010942667</v>
      </c>
      <c r="BE105">
        <f t="shared" si="149"/>
        <v>8.3494455511095271</v>
      </c>
      <c r="BF105" s="12">
        <f t="shared" si="150"/>
        <v>29.943605285207319</v>
      </c>
      <c r="BG105">
        <f t="shared" si="151"/>
        <v>-1.6621006131540526</v>
      </c>
      <c r="BH105">
        <f t="shared" si="152"/>
        <v>2.7625784482470777</v>
      </c>
      <c r="BJ105" s="7">
        <v>93</v>
      </c>
      <c r="BK105">
        <f t="shared" si="153"/>
        <v>78.962113654868432</v>
      </c>
      <c r="BL105">
        <f t="shared" si="154"/>
        <v>15.642116970718584</v>
      </c>
      <c r="BM105">
        <f t="shared" si="155"/>
        <v>116.11516995518451</v>
      </c>
      <c r="BN105">
        <f t="shared" si="156"/>
        <v>113.96994857680934</v>
      </c>
      <c r="BO105">
        <f t="shared" si="157"/>
        <v>1.1824923693720044</v>
      </c>
      <c r="BP105">
        <f t="shared" si="158"/>
        <v>188.58895215536353</v>
      </c>
      <c r="BQ105">
        <f t="shared" si="159"/>
        <v>1.9904881732782658</v>
      </c>
      <c r="BR105">
        <f t="shared" si="160"/>
        <v>199.17407876378098</v>
      </c>
      <c r="BS105">
        <f t="shared" si="161"/>
        <v>142.98586921143098</v>
      </c>
      <c r="BT105">
        <f t="shared" si="162"/>
        <v>98.24442560879416</v>
      </c>
      <c r="BU105">
        <f t="shared" si="163"/>
        <v>1.0442002912550259</v>
      </c>
      <c r="BV105">
        <f t="shared" si="164"/>
        <v>32.656387462846055</v>
      </c>
      <c r="BW105">
        <f t="shared" si="165"/>
        <v>70.315697370815357</v>
      </c>
      <c r="BX105">
        <f t="shared" si="166"/>
        <v>190.39729635708002</v>
      </c>
      <c r="BY105">
        <f t="shared" si="167"/>
        <v>177.82609230087596</v>
      </c>
      <c r="BZ105">
        <f t="shared" si="168"/>
        <v>1.4342969469867057</v>
      </c>
      <c r="CA105">
        <f t="shared" si="169"/>
        <v>76.416217803879292</v>
      </c>
      <c r="CB105">
        <f t="shared" si="170"/>
        <v>13.889147859763948</v>
      </c>
      <c r="CC105">
        <f t="shared" si="171"/>
        <v>12.174852908109251</v>
      </c>
      <c r="CD105">
        <f t="shared" si="172"/>
        <v>21.00918368695406</v>
      </c>
      <c r="CE105">
        <f t="shared" si="173"/>
        <v>101.70658179706793</v>
      </c>
      <c r="CF105">
        <f t="shared" si="174"/>
        <v>110.19706971299897</v>
      </c>
      <c r="CG105">
        <f t="shared" si="175"/>
        <v>144.5625173298547</v>
      </c>
      <c r="CH105">
        <f t="shared" si="176"/>
        <v>114.95331626368198</v>
      </c>
      <c r="CI105">
        <f t="shared" si="177"/>
        <v>4.5964363023070529</v>
      </c>
      <c r="CJ105" s="7">
        <v>93</v>
      </c>
      <c r="CK105" s="13">
        <f t="shared" si="178"/>
        <v>29.452435578019617</v>
      </c>
      <c r="CL105">
        <f t="shared" si="179"/>
        <v>3.375543045726241</v>
      </c>
      <c r="CM105">
        <f t="shared" si="180"/>
        <v>26.076892532293378</v>
      </c>
      <c r="CN105">
        <f t="shared" si="181"/>
        <v>32.827978623745857</v>
      </c>
      <c r="CO105">
        <f t="shared" si="182"/>
        <v>6.751086091452482</v>
      </c>
      <c r="CP105">
        <f t="shared" si="183"/>
        <v>22.701349486567135</v>
      </c>
      <c r="CQ105">
        <f t="shared" si="184"/>
        <v>36.203521669472096</v>
      </c>
      <c r="CR105">
        <f t="shared" si="185"/>
        <v>10.126629137178723</v>
      </c>
      <c r="CS105">
        <f t="shared" si="186"/>
        <v>19.325806440840893</v>
      </c>
      <c r="CT105">
        <f t="shared" si="187"/>
        <v>39.579064715198342</v>
      </c>
    </row>
    <row r="106" spans="1:98" x14ac:dyDescent="0.25">
      <c r="A106" s="7">
        <v>95</v>
      </c>
      <c r="B106" s="9">
        <f t="shared" si="146"/>
        <v>30.463459120204789</v>
      </c>
      <c r="C106">
        <v>0.72264778588213741</v>
      </c>
      <c r="D106">
        <v>-0.45603808709982607</v>
      </c>
      <c r="E106">
        <v>0.76799829096346928</v>
      </c>
      <c r="F106">
        <v>0.49180578020569476</v>
      </c>
      <c r="G106">
        <v>0.75273903622547067</v>
      </c>
      <c r="H106">
        <v>-0.18771935178685872</v>
      </c>
      <c r="I106">
        <v>-0.31223487044892728</v>
      </c>
      <c r="J106">
        <v>0.15530869472334974</v>
      </c>
      <c r="K106">
        <v>-0.29978331858272045</v>
      </c>
      <c r="L106">
        <v>-0.46562089907528914</v>
      </c>
      <c r="M106">
        <v>-0.3094882045960875</v>
      </c>
      <c r="N106">
        <v>5.0141911069063294E-2</v>
      </c>
      <c r="O106">
        <v>7.6204718161565044E-2</v>
      </c>
      <c r="P106">
        <v>0.91668446913052759</v>
      </c>
      <c r="Q106">
        <v>-6.0762352366710459E-2</v>
      </c>
      <c r="R106">
        <v>0.34031189916684479</v>
      </c>
      <c r="S106">
        <v>-0.57145908993804739</v>
      </c>
      <c r="T106">
        <v>0.19498275704214607</v>
      </c>
      <c r="U106">
        <v>8.6397900326548038E-2</v>
      </c>
      <c r="V106">
        <v>-1.2359996337778845E-2</v>
      </c>
      <c r="W106">
        <v>0.11496322519608149</v>
      </c>
      <c r="X106">
        <v>-0.43308816797387617</v>
      </c>
      <c r="Y106">
        <v>0.727896969512009</v>
      </c>
      <c r="Z106">
        <v>0.63878292184209728</v>
      </c>
      <c r="AA106">
        <v>-0.10812707907345809</v>
      </c>
      <c r="AC106" s="7">
        <v>95</v>
      </c>
      <c r="AD106">
        <f t="shared" si="121"/>
        <v>40.449554275745463</v>
      </c>
      <c r="AE106">
        <f t="shared" si="122"/>
        <v>24.161578977071873</v>
      </c>
      <c r="AF106">
        <f t="shared" si="123"/>
        <v>41.076241948414641</v>
      </c>
      <c r="AG106">
        <f t="shared" si="124"/>
        <v>37.259604372603029</v>
      </c>
      <c r="AH106">
        <f t="shared" si="125"/>
        <v>40.865377993949913</v>
      </c>
      <c r="AI106">
        <f t="shared" si="126"/>
        <v>27.869410752379682</v>
      </c>
      <c r="AJ106">
        <f t="shared" si="127"/>
        <v>26.148760883947485</v>
      </c>
      <c r="AK106">
        <f t="shared" si="128"/>
        <v>32.609632448746808</v>
      </c>
      <c r="AL106">
        <f t="shared" si="129"/>
        <v>26.320825870790706</v>
      </c>
      <c r="AM106">
        <f t="shared" si="130"/>
        <v>24.029156413668023</v>
      </c>
      <c r="AN106">
        <f t="shared" si="131"/>
        <v>26.186716395751137</v>
      </c>
      <c r="AO106">
        <f t="shared" si="132"/>
        <v>31.156358074575891</v>
      </c>
      <c r="AP106">
        <f t="shared" si="133"/>
        <v>31.51651370880165</v>
      </c>
      <c r="AQ106">
        <f t="shared" si="134"/>
        <v>43.130900320718965</v>
      </c>
      <c r="AR106">
        <f t="shared" si="135"/>
        <v>29.623798853526235</v>
      </c>
      <c r="AS106">
        <f t="shared" si="136"/>
        <v>35.166147032677195</v>
      </c>
      <c r="AT106">
        <f t="shared" si="137"/>
        <v>22.566604025500656</v>
      </c>
      <c r="AU106">
        <f t="shared" si="138"/>
        <v>33.157878730355108</v>
      </c>
      <c r="AV106">
        <f t="shared" si="139"/>
        <v>31.657370830384089</v>
      </c>
      <c r="AW106">
        <f t="shared" si="140"/>
        <v>30.292659317088358</v>
      </c>
      <c r="AX106">
        <f t="shared" si="141"/>
        <v>32.052108153142065</v>
      </c>
      <c r="AY106">
        <f t="shared" si="142"/>
        <v>24.478718364586825</v>
      </c>
      <c r="AZ106">
        <f t="shared" si="143"/>
        <v>40.522091476081329</v>
      </c>
      <c r="BA106">
        <f t="shared" si="144"/>
        <v>39.290645982007312</v>
      </c>
      <c r="BB106">
        <f t="shared" si="145"/>
        <v>28.969277138867714</v>
      </c>
      <c r="BC106" s="2">
        <f t="shared" si="147"/>
        <v>32.022317293655284</v>
      </c>
      <c r="BD106">
        <f t="shared" si="148"/>
        <v>38.671853378114669</v>
      </c>
      <c r="BE106">
        <f t="shared" si="149"/>
        <v>6.21866974345114</v>
      </c>
      <c r="BF106" s="12">
        <f t="shared" si="150"/>
        <v>30.23170750350473</v>
      </c>
      <c r="BG106">
        <f t="shared" si="151"/>
        <v>1.7906097901505547</v>
      </c>
      <c r="BH106">
        <f t="shared" si="152"/>
        <v>3.2062834205830133</v>
      </c>
      <c r="BJ106" s="7">
        <v>94</v>
      </c>
      <c r="BK106">
        <f t="shared" si="153"/>
        <v>114.89064331825632</v>
      </c>
      <c r="BL106">
        <f t="shared" si="154"/>
        <v>18.993063774044487</v>
      </c>
      <c r="BM106">
        <f t="shared" si="155"/>
        <v>3.0548781030769119</v>
      </c>
      <c r="BN106">
        <f t="shared" si="156"/>
        <v>152.15343432578999</v>
      </c>
      <c r="BO106">
        <f t="shared" si="157"/>
        <v>217.47301378726249</v>
      </c>
      <c r="BP106">
        <f t="shared" si="158"/>
        <v>135.1536426731015</v>
      </c>
      <c r="BQ106">
        <f t="shared" si="159"/>
        <v>19.178581163817999</v>
      </c>
      <c r="BR106">
        <f t="shared" si="160"/>
        <v>105.25553738155267</v>
      </c>
      <c r="BS106">
        <f t="shared" si="161"/>
        <v>2.0985344945659876</v>
      </c>
      <c r="BT106">
        <f t="shared" si="162"/>
        <v>167.4799587384376</v>
      </c>
      <c r="BU106">
        <f t="shared" si="163"/>
        <v>83.718103415222402</v>
      </c>
      <c r="BV106">
        <f t="shared" si="164"/>
        <v>187.62817780192151</v>
      </c>
      <c r="BW106">
        <f t="shared" si="165"/>
        <v>228.23540923918105</v>
      </c>
      <c r="BX106">
        <f t="shared" si="166"/>
        <v>7.6496360432820945</v>
      </c>
      <c r="BY106">
        <f t="shared" si="167"/>
        <v>52.746485275649285</v>
      </c>
      <c r="BZ106">
        <f t="shared" si="168"/>
        <v>74.130998691723633</v>
      </c>
      <c r="CA106">
        <f t="shared" si="169"/>
        <v>59.614603217784527</v>
      </c>
      <c r="CB106">
        <f t="shared" si="170"/>
        <v>3.4891896028791614</v>
      </c>
      <c r="CC106">
        <f t="shared" si="171"/>
        <v>20.227187396295655</v>
      </c>
      <c r="CD106">
        <f t="shared" si="172"/>
        <v>128.04966603025471</v>
      </c>
      <c r="CE106">
        <f t="shared" si="173"/>
        <v>6.3646980957453216</v>
      </c>
      <c r="CF106">
        <f t="shared" si="174"/>
        <v>96.290513771751904</v>
      </c>
      <c r="CG106">
        <f t="shared" si="175"/>
        <v>164.95373731457431</v>
      </c>
      <c r="CH106">
        <f t="shared" si="176"/>
        <v>5.1878211374653178</v>
      </c>
      <c r="CI106">
        <f t="shared" si="177"/>
        <v>14.185525703630752</v>
      </c>
      <c r="CJ106" s="7">
        <v>94</v>
      </c>
      <c r="CK106" s="13">
        <f t="shared" si="178"/>
        <v>29.737042191641486</v>
      </c>
      <c r="CL106">
        <f t="shared" si="179"/>
        <v>3.4241210647218816</v>
      </c>
      <c r="CM106">
        <f t="shared" si="180"/>
        <v>26.312921126919605</v>
      </c>
      <c r="CN106">
        <f t="shared" si="181"/>
        <v>33.161163256363366</v>
      </c>
      <c r="CO106">
        <f t="shared" si="182"/>
        <v>6.8482421294437632</v>
      </c>
      <c r="CP106">
        <f t="shared" si="183"/>
        <v>22.888800062197724</v>
      </c>
      <c r="CQ106">
        <f t="shared" si="184"/>
        <v>36.585284321085247</v>
      </c>
      <c r="CR106">
        <f t="shared" si="185"/>
        <v>10.272363194165646</v>
      </c>
      <c r="CS106">
        <f t="shared" si="186"/>
        <v>19.46467899747584</v>
      </c>
      <c r="CT106">
        <f t="shared" si="187"/>
        <v>40.009405385807128</v>
      </c>
    </row>
    <row r="107" spans="1:98" x14ac:dyDescent="0.25">
      <c r="A107" s="7">
        <v>96</v>
      </c>
      <c r="B107" s="9">
        <f t="shared" si="146"/>
        <v>30.755043520254546</v>
      </c>
      <c r="C107">
        <v>0.67418439283425391</v>
      </c>
      <c r="D107">
        <v>-0.79467146824549095</v>
      </c>
      <c r="E107">
        <v>0.46903897213660084</v>
      </c>
      <c r="F107">
        <v>0.6326792199468978</v>
      </c>
      <c r="G107">
        <v>-0.30155339213232824</v>
      </c>
      <c r="H107">
        <v>0.56816309091463979</v>
      </c>
      <c r="I107">
        <v>0.54606769005401778</v>
      </c>
      <c r="J107">
        <v>-0.51304666280098887</v>
      </c>
      <c r="K107">
        <v>-0.86663411358989229</v>
      </c>
      <c r="L107">
        <v>0.50834681234168522</v>
      </c>
      <c r="M107">
        <v>-0.72460097048860139</v>
      </c>
      <c r="N107">
        <v>-0.20615253151036106</v>
      </c>
      <c r="O107">
        <v>0.29453413495284897</v>
      </c>
      <c r="P107">
        <v>8.0416272469252537E-2</v>
      </c>
      <c r="Q107">
        <v>-0.50956755272072507</v>
      </c>
      <c r="R107">
        <v>6.1861018707846327E-2</v>
      </c>
      <c r="S107">
        <v>-0.37009796441541798</v>
      </c>
      <c r="T107">
        <v>-0.98089541306802575</v>
      </c>
      <c r="U107">
        <v>-0.25034333323160496</v>
      </c>
      <c r="V107">
        <v>0.32749412518692589</v>
      </c>
      <c r="W107">
        <v>0.8944669942320016</v>
      </c>
      <c r="X107">
        <v>-0.53276161992248294</v>
      </c>
      <c r="Y107">
        <v>0.40330210272530298</v>
      </c>
      <c r="Z107">
        <v>0.20517593920712907</v>
      </c>
      <c r="AA107">
        <v>0.24948881496627706</v>
      </c>
      <c r="AC107" s="7">
        <v>96</v>
      </c>
      <c r="AD107">
        <f t="shared" si="121"/>
        <v>40.071434756415243</v>
      </c>
      <c r="AE107">
        <f t="shared" si="122"/>
        <v>19.773670499640346</v>
      </c>
      <c r="AF107">
        <f t="shared" si="123"/>
        <v>37.23657975259141</v>
      </c>
      <c r="AG107">
        <f t="shared" si="124"/>
        <v>39.497884800271173</v>
      </c>
      <c r="AH107">
        <f t="shared" si="125"/>
        <v>26.587950052122554</v>
      </c>
      <c r="AI107">
        <f t="shared" si="126"/>
        <v>38.606352000794296</v>
      </c>
      <c r="AJ107">
        <f t="shared" si="127"/>
        <v>38.30102099472937</v>
      </c>
      <c r="AK107">
        <f t="shared" si="128"/>
        <v>23.665375643241397</v>
      </c>
      <c r="AL107">
        <f t="shared" si="129"/>
        <v>18.779236090384678</v>
      </c>
      <c r="AM107">
        <f t="shared" si="130"/>
        <v>37.779765299292556</v>
      </c>
      <c r="AN107">
        <f t="shared" si="131"/>
        <v>20.741957778542385</v>
      </c>
      <c r="AO107">
        <f t="shared" si="132"/>
        <v>27.906271495436044</v>
      </c>
      <c r="AP107">
        <f t="shared" si="133"/>
        <v>34.825139569332762</v>
      </c>
      <c r="AQ107">
        <f t="shared" si="134"/>
        <v>31.866296560283672</v>
      </c>
      <c r="AR107">
        <f t="shared" si="135"/>
        <v>23.713452624859357</v>
      </c>
      <c r="AS107">
        <f t="shared" si="136"/>
        <v>31.609885991654561</v>
      </c>
      <c r="AT107">
        <f t="shared" si="137"/>
        <v>25.640749168666986</v>
      </c>
      <c r="AU107">
        <f t="shared" si="138"/>
        <v>17.200286799352781</v>
      </c>
      <c r="AV107">
        <f t="shared" si="139"/>
        <v>27.295609483306187</v>
      </c>
      <c r="AW107">
        <f t="shared" si="140"/>
        <v>35.28060571097658</v>
      </c>
      <c r="AX107">
        <f t="shared" si="141"/>
        <v>43.115466803068081</v>
      </c>
      <c r="AY107">
        <f t="shared" si="142"/>
        <v>23.39293941407297</v>
      </c>
      <c r="AZ107">
        <f t="shared" si="143"/>
        <v>36.328177836757355</v>
      </c>
      <c r="BA107">
        <f t="shared" si="144"/>
        <v>33.590320251987301</v>
      </c>
      <c r="BB107">
        <f t="shared" si="145"/>
        <v>34.202669175752881</v>
      </c>
      <c r="BC107" s="2">
        <f t="shared" si="147"/>
        <v>30.680363942141319</v>
      </c>
      <c r="BD107">
        <f t="shared" si="148"/>
        <v>57.561139420689564</v>
      </c>
      <c r="BE107">
        <f t="shared" si="149"/>
        <v>7.5869057869917933</v>
      </c>
      <c r="BF107" s="12">
        <f t="shared" si="150"/>
        <v>30.51980972180214</v>
      </c>
      <c r="BG107">
        <f t="shared" si="151"/>
        <v>0.16055422033917921</v>
      </c>
      <c r="BH107">
        <f t="shared" si="152"/>
        <v>2.5777657668721705E-2</v>
      </c>
      <c r="BJ107" s="7">
        <v>95</v>
      </c>
      <c r="BK107">
        <f t="shared" si="153"/>
        <v>66.242592739717793</v>
      </c>
      <c r="BL107">
        <f t="shared" si="154"/>
        <v>65.959132813106336</v>
      </c>
      <c r="BM107">
        <f t="shared" si="155"/>
        <v>147.2368981091816</v>
      </c>
      <c r="BN107">
        <f t="shared" si="156"/>
        <v>307.7514385269634</v>
      </c>
      <c r="BO107">
        <f t="shared" si="157"/>
        <v>184.61769273304486</v>
      </c>
      <c r="BP107">
        <f t="shared" si="158"/>
        <v>0.13713353808751438</v>
      </c>
      <c r="BQ107">
        <f t="shared" si="159"/>
        <v>2.2151476666939005</v>
      </c>
      <c r="BR107">
        <f t="shared" si="160"/>
        <v>18.50287917545274</v>
      </c>
      <c r="BS107">
        <f t="shared" si="161"/>
        <v>56.402213301962846</v>
      </c>
      <c r="BT107">
        <f t="shared" si="162"/>
        <v>6.5095888886766051</v>
      </c>
      <c r="BU107">
        <f t="shared" si="163"/>
        <v>42.019789219384016</v>
      </c>
      <c r="BV107">
        <f t="shared" si="164"/>
        <v>6.323782748463172E-2</v>
      </c>
      <c r="BW107">
        <f t="shared" si="165"/>
        <v>0.23032785893294874</v>
      </c>
      <c r="BX107">
        <f t="shared" si="166"/>
        <v>107.82603752241263</v>
      </c>
      <c r="BY107">
        <f t="shared" si="167"/>
        <v>0.1858470980218862</v>
      </c>
      <c r="BZ107">
        <f t="shared" si="168"/>
        <v>126.63792053441507</v>
      </c>
      <c r="CA107">
        <f t="shared" si="169"/>
        <v>13.339545271200492</v>
      </c>
      <c r="CB107">
        <f t="shared" si="170"/>
        <v>1.181583560119049</v>
      </c>
      <c r="CC107">
        <f t="shared" si="171"/>
        <v>0.37164974379809068</v>
      </c>
      <c r="CD107">
        <f t="shared" si="172"/>
        <v>1.9964497709892885E-2</v>
      </c>
      <c r="CE107">
        <f t="shared" si="173"/>
        <v>3.7451488430794853</v>
      </c>
      <c r="CF107">
        <f t="shared" si="174"/>
        <v>67.05030347870985</v>
      </c>
      <c r="CG107">
        <f t="shared" si="175"/>
        <v>91.285801040613222</v>
      </c>
      <c r="CH107">
        <f t="shared" si="176"/>
        <v>41.073893456508713</v>
      </c>
      <c r="CI107">
        <f t="shared" si="177"/>
        <v>0.24127190302954468</v>
      </c>
      <c r="CJ107" s="7">
        <v>95</v>
      </c>
      <c r="CK107" s="13">
        <f t="shared" si="178"/>
        <v>30.021648805263347</v>
      </c>
      <c r="CL107">
        <f t="shared" si="179"/>
        <v>3.4727830026818252</v>
      </c>
      <c r="CM107">
        <f t="shared" si="180"/>
        <v>26.548865802581521</v>
      </c>
      <c r="CN107">
        <f t="shared" si="181"/>
        <v>33.494431807945169</v>
      </c>
      <c r="CO107">
        <f t="shared" si="182"/>
        <v>6.9455660053636503</v>
      </c>
      <c r="CP107">
        <f t="shared" si="183"/>
        <v>23.076082799899694</v>
      </c>
      <c r="CQ107">
        <f t="shared" si="184"/>
        <v>36.967214810626999</v>
      </c>
      <c r="CR107">
        <f t="shared" si="185"/>
        <v>10.418349008045475</v>
      </c>
      <c r="CS107">
        <f t="shared" si="186"/>
        <v>19.603299797217872</v>
      </c>
      <c r="CT107">
        <f t="shared" si="187"/>
        <v>40.439997813308821</v>
      </c>
    </row>
    <row r="108" spans="1:98" x14ac:dyDescent="0.25">
      <c r="A108" s="7">
        <v>97</v>
      </c>
      <c r="B108" s="9">
        <f t="shared" si="146"/>
        <v>31.046627920304307</v>
      </c>
      <c r="C108">
        <v>0.92577898495437472</v>
      </c>
      <c r="D108">
        <v>-8.1484420300912408E-3</v>
      </c>
      <c r="E108">
        <v>-5.850398266548662E-2</v>
      </c>
      <c r="F108">
        <v>0.3511764885402997</v>
      </c>
      <c r="G108">
        <v>0.23996704000976599</v>
      </c>
      <c r="H108">
        <v>0.53953672902615435</v>
      </c>
      <c r="I108">
        <v>0.78514969328897966</v>
      </c>
      <c r="J108">
        <v>0.48924222540971107</v>
      </c>
      <c r="K108">
        <v>-0.56791894283883182</v>
      </c>
      <c r="L108">
        <v>-0.69573046052430798</v>
      </c>
      <c r="M108">
        <v>-1.3458662678914712E-2</v>
      </c>
      <c r="N108">
        <v>0.8392284920804467</v>
      </c>
      <c r="O108">
        <v>-0.80468153935361797</v>
      </c>
      <c r="P108">
        <v>-0.45225379192480242</v>
      </c>
      <c r="Q108">
        <v>0.73839533677175218</v>
      </c>
      <c r="R108">
        <v>-0.10959196752830591</v>
      </c>
      <c r="S108">
        <v>0.85949278237250892</v>
      </c>
      <c r="T108">
        <v>-0.11294900357066562</v>
      </c>
      <c r="U108">
        <v>0.37022003845332185</v>
      </c>
      <c r="V108">
        <v>-0.8876918851283303</v>
      </c>
      <c r="W108">
        <v>0.64220099490340887</v>
      </c>
      <c r="X108">
        <v>0.79094821008941918</v>
      </c>
      <c r="Y108">
        <v>-0.89062166203802606</v>
      </c>
      <c r="Z108">
        <v>-7.8524124881740764E-2</v>
      </c>
      <c r="AA108">
        <v>0.99816888943144022</v>
      </c>
      <c r="AC108" s="7">
        <v>97</v>
      </c>
      <c r="AD108">
        <f t="shared" ref="AD108:AD137" si="188">$B108+$G$7*C108</f>
        <v>43.839744037679466</v>
      </c>
      <c r="AE108">
        <f t="shared" ref="AE108:AE137" si="189">$B108+$G$7*D108</f>
        <v>30.934026568620141</v>
      </c>
      <c r="AF108">
        <f t="shared" ref="AF108:AF137" si="190">$B108+$G$7*E108</f>
        <v>30.238175518886532</v>
      </c>
      <c r="AG108">
        <f t="shared" ref="AG108:AG137" si="191">$B108+$G$7*F108</f>
        <v>35.899450968355602</v>
      </c>
      <c r="AH108">
        <f t="shared" ref="AH108:AH137" si="192">$B108+$G$7*G108</f>
        <v>34.362674468216646</v>
      </c>
      <c r="AI108">
        <f t="shared" ref="AI108:AI137" si="193">$B108+$G$7*H108</f>
        <v>38.502355622268226</v>
      </c>
      <c r="AJ108">
        <f t="shared" ref="AJ108:AJ137" si="194">$B108+$G$7*I108</f>
        <v>41.896421833332511</v>
      </c>
      <c r="AK108">
        <f t="shared" ref="AK108:AK137" si="195">$B108+$G$7*J108</f>
        <v>37.807348028352479</v>
      </c>
      <c r="AL108">
        <f t="shared" ref="AL108:AL137" si="196">$B108+$G$7*K108</f>
        <v>23.198693263035992</v>
      </c>
      <c r="AM108">
        <f t="shared" ref="AM108:AM137" si="197">$B108+$G$7*L108</f>
        <v>21.432496780439415</v>
      </c>
      <c r="AN108">
        <f t="shared" ref="AN108:AN137" si="198">$B108+$G$7*M108</f>
        <v>30.860645912466417</v>
      </c>
      <c r="AO108">
        <f t="shared" ref="AO108:AO137" si="199">$B108+$G$7*N108</f>
        <v>42.643723687955514</v>
      </c>
      <c r="AP108">
        <f t="shared" ref="AP108:AP137" si="200">$B108+$G$7*O108</f>
        <v>19.926928145561241</v>
      </c>
      <c r="AQ108">
        <f t="shared" ref="AQ108:AQ137" si="201">$B108+$G$7*P108</f>
        <v>24.797042037878644</v>
      </c>
      <c r="AR108">
        <f t="shared" ref="AR108:AR137" si="202">$B108+$G$7*Q108</f>
        <v>41.250334676852589</v>
      </c>
      <c r="AS108">
        <f t="shared" ref="AS108:AS137" si="203">$B108+$G$7*R108</f>
        <v>29.532202999338615</v>
      </c>
      <c r="AT108">
        <f t="shared" ref="AT108:AT137" si="204">$B108+$G$7*S108</f>
        <v>42.923751019484683</v>
      </c>
      <c r="AU108">
        <f t="shared" ref="AU108:AU137" si="205">$B108+$G$7*T108</f>
        <v>29.485812929356378</v>
      </c>
      <c r="AV108">
        <f t="shared" ref="AV108:AV137" si="206">$B108+$G$7*U108</f>
        <v>36.162609183527579</v>
      </c>
      <c r="AW108">
        <f t="shared" ref="AW108:AW137" si="207">$B108+$G$7*V108</f>
        <v>18.779828233273115</v>
      </c>
      <c r="AX108">
        <f t="shared" ref="AX108:AX137" si="208">$B108+$G$7*W108</f>
        <v>39.921048307906929</v>
      </c>
      <c r="AY108">
        <f t="shared" ref="AY108:AY137" si="209">$B108+$G$7*X108</f>
        <v>41.976550136029111</v>
      </c>
      <c r="AZ108">
        <f t="shared" ref="AZ108:AZ137" si="210">$B108+$G$7*Y108</f>
        <v>18.739342354015882</v>
      </c>
      <c r="BA108">
        <f t="shared" ref="BA108:BA137" si="211">$B108+$G$7*Z108</f>
        <v>29.961522010628808</v>
      </c>
      <c r="BB108">
        <f t="shared" ref="BB108:BB137" si="212">$B108+$G$7*AA108</f>
        <v>44.840082637660146</v>
      </c>
      <c r="BC108" s="2">
        <f t="shared" si="147"/>
        <v>33.196512454444907</v>
      </c>
      <c r="BD108">
        <f t="shared" si="148"/>
        <v>71.719865732497965</v>
      </c>
      <c r="BE108">
        <f t="shared" si="149"/>
        <v>8.4687582166748605</v>
      </c>
      <c r="BF108" s="12">
        <f t="shared" si="150"/>
        <v>30.807911940099547</v>
      </c>
      <c r="BG108">
        <f t="shared" si="151"/>
        <v>2.3886005143453595</v>
      </c>
      <c r="BH108">
        <f t="shared" si="152"/>
        <v>5.7054124171309155</v>
      </c>
      <c r="BJ108" s="7">
        <v>96</v>
      </c>
      <c r="BK108">
        <f t="shared" si="153"/>
        <v>55.244406834729176</v>
      </c>
      <c r="BL108">
        <f t="shared" si="154"/>
        <v>164.27449119456156</v>
      </c>
      <c r="BM108">
        <f t="shared" si="155"/>
        <v>64.011050266923064</v>
      </c>
      <c r="BN108">
        <f t="shared" si="156"/>
        <v>386.35846065228299</v>
      </c>
      <c r="BO108">
        <f t="shared" si="157"/>
        <v>0.86325263338987268</v>
      </c>
      <c r="BP108">
        <f t="shared" si="158"/>
        <v>102.12266216201051</v>
      </c>
      <c r="BQ108">
        <f t="shared" si="159"/>
        <v>108.01563028637506</v>
      </c>
      <c r="BR108">
        <f t="shared" si="160"/>
        <v>24.087871886873163</v>
      </c>
      <c r="BS108">
        <f t="shared" si="161"/>
        <v>237.40171576662513</v>
      </c>
      <c r="BT108">
        <f t="shared" si="162"/>
        <v>120.13419653848041</v>
      </c>
      <c r="BU108">
        <f t="shared" si="163"/>
        <v>149.40627310550104</v>
      </c>
      <c r="BV108">
        <f t="shared" si="164"/>
        <v>10.885612290946685</v>
      </c>
      <c r="BW108">
        <f t="shared" si="165"/>
        <v>6.2095476532847194</v>
      </c>
      <c r="BX108">
        <f t="shared" si="166"/>
        <v>1.3755697978620098</v>
      </c>
      <c r="BY108">
        <f t="shared" si="167"/>
        <v>44.125768218184916</v>
      </c>
      <c r="BZ108">
        <f t="shared" si="168"/>
        <v>56.515973477187572</v>
      </c>
      <c r="CA108">
        <f t="shared" si="169"/>
        <v>0.69633027168636141</v>
      </c>
      <c r="CB108">
        <f t="shared" si="170"/>
        <v>302.42162028771793</v>
      </c>
      <c r="CC108">
        <f t="shared" si="171"/>
        <v>27.805250809173106</v>
      </c>
      <c r="CD108">
        <f t="shared" si="172"/>
        <v>20.684121078891728</v>
      </c>
      <c r="CE108">
        <f t="shared" si="173"/>
        <v>77.276351117897647</v>
      </c>
      <c r="CF108">
        <f t="shared" si="174"/>
        <v>92.121671887492965</v>
      </c>
      <c r="CG108">
        <f t="shared" si="175"/>
        <v>25.957314726365286</v>
      </c>
      <c r="CH108">
        <f t="shared" si="176"/>
        <v>0.15404656463772021</v>
      </c>
      <c r="CI108">
        <f t="shared" si="177"/>
        <v>19.930076847287324</v>
      </c>
      <c r="CJ108" s="7">
        <v>96</v>
      </c>
      <c r="CK108" s="13">
        <f t="shared" si="178"/>
        <v>30.306255418885208</v>
      </c>
      <c r="CL108">
        <f t="shared" si="179"/>
        <v>3.5215253807237894</v>
      </c>
      <c r="CM108">
        <f t="shared" si="180"/>
        <v>26.784730038161417</v>
      </c>
      <c r="CN108">
        <f t="shared" si="181"/>
        <v>33.827780799608995</v>
      </c>
      <c r="CO108">
        <f t="shared" si="182"/>
        <v>7.0430507614475788</v>
      </c>
      <c r="CP108">
        <f t="shared" si="183"/>
        <v>23.26320465743763</v>
      </c>
      <c r="CQ108">
        <f t="shared" si="184"/>
        <v>37.349306180332789</v>
      </c>
      <c r="CR108">
        <f t="shared" si="185"/>
        <v>10.564576142171369</v>
      </c>
      <c r="CS108">
        <f t="shared" si="186"/>
        <v>19.741679276713839</v>
      </c>
      <c r="CT108">
        <f t="shared" si="187"/>
        <v>40.870831561056576</v>
      </c>
    </row>
    <row r="109" spans="1:98" x14ac:dyDescent="0.25">
      <c r="A109" s="7">
        <v>98</v>
      </c>
      <c r="B109" s="9">
        <f t="shared" si="146"/>
        <v>31.338212320354067</v>
      </c>
      <c r="C109">
        <v>-0.21671193578905601</v>
      </c>
      <c r="D109">
        <v>0.7210608233893856</v>
      </c>
      <c r="E109">
        <v>-0.98834192938016907</v>
      </c>
      <c r="F109">
        <v>0.87780388805810716</v>
      </c>
      <c r="G109">
        <v>-8.3895382549516229E-2</v>
      </c>
      <c r="H109">
        <v>-0.6606952116458632</v>
      </c>
      <c r="I109">
        <v>-0.88958403271584219</v>
      </c>
      <c r="J109">
        <v>-0.29087191381572919</v>
      </c>
      <c r="K109">
        <v>-0.92565691091647084</v>
      </c>
      <c r="L109">
        <v>-0.19742423780022589</v>
      </c>
      <c r="M109">
        <v>-0.77684865871150854</v>
      </c>
      <c r="N109">
        <v>0.91454817346720785</v>
      </c>
      <c r="O109">
        <v>0.67540513321329376</v>
      </c>
      <c r="P109">
        <v>-0.19498275704214607</v>
      </c>
      <c r="Q109">
        <v>-0.57182531205175935</v>
      </c>
      <c r="R109">
        <v>-0.22470778527176738</v>
      </c>
      <c r="S109">
        <v>-0.67461165196691786</v>
      </c>
      <c r="T109">
        <v>-0.82268745994445625</v>
      </c>
      <c r="U109">
        <v>0.28556169316690583</v>
      </c>
      <c r="V109">
        <v>-0.54368724631488996</v>
      </c>
      <c r="W109">
        <v>-4.3031098361155928E-3</v>
      </c>
      <c r="X109">
        <v>0.60832544938505206</v>
      </c>
      <c r="Y109">
        <v>-7.9073458052308698E-2</v>
      </c>
      <c r="Z109">
        <v>3.3875545518355921E-3</v>
      </c>
      <c r="AA109">
        <v>0.28043458357493822</v>
      </c>
      <c r="AC109" s="7">
        <v>98</v>
      </c>
      <c r="AD109">
        <f t="shared" si="188"/>
        <v>28.343522439045977</v>
      </c>
      <c r="AE109">
        <f t="shared" si="189"/>
        <v>41.30237762463041</v>
      </c>
      <c r="AF109">
        <f t="shared" si="190"/>
        <v>17.680553989673513</v>
      </c>
      <c r="AG109">
        <f t="shared" si="191"/>
        <v>43.468372164892116</v>
      </c>
      <c r="AH109">
        <f t="shared" si="192"/>
        <v>30.178882298706984</v>
      </c>
      <c r="AI109">
        <f t="shared" si="193"/>
        <v>22.208224819940192</v>
      </c>
      <c r="AJ109">
        <f t="shared" si="194"/>
        <v>19.045265502969244</v>
      </c>
      <c r="AK109">
        <f t="shared" si="195"/>
        <v>27.318723620347388</v>
      </c>
      <c r="AL109">
        <f t="shared" si="196"/>
        <v>18.546783114614627</v>
      </c>
      <c r="AM109">
        <f t="shared" si="197"/>
        <v>28.610054477489392</v>
      </c>
      <c r="AN109">
        <f t="shared" si="198"/>
        <v>20.60312839855467</v>
      </c>
      <c r="AO109">
        <f t="shared" si="199"/>
        <v>43.976132567243184</v>
      </c>
      <c r="AP109">
        <f t="shared" si="200"/>
        <v>40.671472672871943</v>
      </c>
      <c r="AQ109">
        <f t="shared" si="201"/>
        <v>28.643792710203748</v>
      </c>
      <c r="AR109">
        <f t="shared" si="202"/>
        <v>23.43629649074278</v>
      </c>
      <c r="AS109">
        <f t="shared" si="203"/>
        <v>28.233029726906455</v>
      </c>
      <c r="AT109">
        <f t="shared" si="204"/>
        <v>22.015916893468361</v>
      </c>
      <c r="AU109">
        <f t="shared" si="205"/>
        <v>19.969693079342623</v>
      </c>
      <c r="AV109">
        <f t="shared" si="206"/>
        <v>35.284320364207019</v>
      </c>
      <c r="AW109">
        <f t="shared" si="207"/>
        <v>23.825129622775741</v>
      </c>
      <c r="AX109">
        <f t="shared" si="208"/>
        <v>31.278748685195012</v>
      </c>
      <c r="AY109">
        <f t="shared" si="209"/>
        <v>39.744514729044987</v>
      </c>
      <c r="AZ109">
        <f t="shared" si="210"/>
        <v>30.245515308317838</v>
      </c>
      <c r="BA109">
        <f t="shared" si="211"/>
        <v>31.385024118245237</v>
      </c>
      <c r="BB109">
        <f t="shared" si="212"/>
        <v>35.213470075506876</v>
      </c>
      <c r="BC109" s="2">
        <f t="shared" si="147"/>
        <v>29.24915781979745</v>
      </c>
      <c r="BD109">
        <f t="shared" si="148"/>
        <v>65.51331235522548</v>
      </c>
      <c r="BE109">
        <f t="shared" si="149"/>
        <v>8.0940294263874204</v>
      </c>
      <c r="BF109" s="12">
        <f t="shared" si="150"/>
        <v>31.096014158396958</v>
      </c>
      <c r="BG109">
        <f t="shared" si="151"/>
        <v>-1.8468563385995083</v>
      </c>
      <c r="BH109">
        <f t="shared" si="152"/>
        <v>3.4108783354251817</v>
      </c>
      <c r="BJ109" s="7">
        <v>97</v>
      </c>
      <c r="BK109">
        <f t="shared" ref="BK109:BK138" si="213">(AD108-(O$5+O$6*$BJ109))^2</f>
        <v>118.21755790228713</v>
      </c>
      <c r="BL109">
        <f t="shared" ref="BL109:BL138" si="214">(AE108-(P$5+P$6*$BJ109))^2</f>
        <v>3.8578254718602358</v>
      </c>
      <c r="BM109">
        <f t="shared" ref="BM109:BM138" si="215">(AF108-(Q$5+Q$6*$BJ109))^2</f>
        <v>0.50199768882988571</v>
      </c>
      <c r="BN109">
        <f t="shared" ref="BN109:BN138" si="216">(AG108-(R$5+R$6*$BJ109))^2</f>
        <v>253.84284474621072</v>
      </c>
      <c r="BO109">
        <f t="shared" ref="BO109:BO138" si="217">(AH108-(S$5+S$6*$BJ109))^2</f>
        <v>43.646043328919127</v>
      </c>
      <c r="BP109">
        <f t="shared" ref="BP109:BP138" si="218">(AI108-(T$5+T$6*$BJ109))^2</f>
        <v>94.877913419479398</v>
      </c>
      <c r="BQ109">
        <f t="shared" ref="BQ109:BQ138" si="219">(AJ108-(U$5+U$6*$BJ109))^2</f>
        <v>188.17231943127592</v>
      </c>
      <c r="BR109">
        <f t="shared" ref="BR109:BR138" si="220">(AK108-(V$5+V$6*$BJ109))^2</f>
        <v>80.440315452976478</v>
      </c>
      <c r="BS109">
        <f t="shared" ref="BS109:BS138" si="221">(AL108-(W$5+W$6*$BJ109))^2</f>
        <v>128.69777510740036</v>
      </c>
      <c r="BT109">
        <f t="shared" ref="BT109:BT138" si="222">(AM108-(X$5+X$6*$BJ109))^2</f>
        <v>31.644433417967157</v>
      </c>
      <c r="BU109">
        <f t="shared" ref="BU109:BU138" si="223">(AN108-(Y$5+Y$6*$BJ109))^2</f>
        <v>5.7631575020550692</v>
      </c>
      <c r="BV109">
        <f t="shared" ref="BV109:BV138" si="224">(AO108-(Z$5+Z$6*$BJ109))^2</f>
        <v>124.04161614658166</v>
      </c>
      <c r="BW109">
        <f t="shared" ref="BW109:BW138" si="225">(AP108-(AA$5+AA$6*$BJ109))^2</f>
        <v>162.38709824013543</v>
      </c>
      <c r="BX109">
        <f t="shared" ref="BX109:BX138" si="226">(AQ108-(AB$5+AB$6*$BJ109))^2</f>
        <v>72.833870521741034</v>
      </c>
      <c r="BY109">
        <f t="shared" ref="BY109:BY138" si="227">(AR108-(AC$5+AC$6*$BJ109))^2</f>
        <v>112.20915429056646</v>
      </c>
      <c r="BZ109">
        <f t="shared" ref="BZ109:BZ138" si="228">(AS108-(AD$5+AD$6*$BJ109))^2</f>
        <v>27.674415614182699</v>
      </c>
      <c r="CA109">
        <f t="shared" ref="CA109:CA138" si="229">(AT108-(AE$5+AE$6*$BJ109))^2</f>
        <v>262.18937474060289</v>
      </c>
      <c r="CB109">
        <f t="shared" ref="CB109:CB138" si="230">(AU108-(AF$5+AF$6*$BJ109))^2</f>
        <v>29.707107553324636</v>
      </c>
      <c r="CC109">
        <f t="shared" ref="CC109:CC138" si="231">(AV108-(AG$5+AG$6*$BJ109))^2</f>
        <v>10.838942894498331</v>
      </c>
      <c r="CD109">
        <f t="shared" ref="CD109:CD138" si="232">(AW108-(AH$5+AH$6*$BJ109))^2</f>
        <v>150.09847577216971</v>
      </c>
      <c r="CE109">
        <f t="shared" ref="CE109:CE138" si="233">(AX108-(AI$5+AI$6*$BJ109))^2</f>
        <v>27.655558649721335</v>
      </c>
      <c r="CF109">
        <f t="shared" ref="CF109:CF138" si="234">(AY108-(AJ$5+AJ$6*$BJ109))^2</f>
        <v>75.026910357813023</v>
      </c>
      <c r="CG109">
        <f t="shared" ref="CG109:CG138" si="235">(AZ108-(AK$5+AK$6*$BJ109))^2</f>
        <v>162.80784745930848</v>
      </c>
      <c r="CH109">
        <f t="shared" ref="CH109:CH138" si="236">(BA108-(AL$5+AL$6*$BJ109))^2</f>
        <v>12.619467161745851</v>
      </c>
      <c r="CI109">
        <f t="shared" ref="CI109:CI138" si="237">(BB108-(AM$5+AM$6*$BJ109))^2</f>
        <v>219.74619430028528</v>
      </c>
      <c r="CJ109" s="7">
        <v>97</v>
      </c>
      <c r="CK109" s="13">
        <f t="shared" si="178"/>
        <v>30.590862032507069</v>
      </c>
      <c r="CL109">
        <f t="shared" si="179"/>
        <v>3.5703449043433064</v>
      </c>
      <c r="CM109">
        <f t="shared" si="180"/>
        <v>27.02051712816376</v>
      </c>
      <c r="CN109">
        <f t="shared" si="181"/>
        <v>34.161206936850377</v>
      </c>
      <c r="CO109">
        <f t="shared" si="182"/>
        <v>7.1406898086866128</v>
      </c>
      <c r="CP109">
        <f t="shared" si="183"/>
        <v>23.450172223820456</v>
      </c>
      <c r="CQ109">
        <f t="shared" si="184"/>
        <v>37.731551841193678</v>
      </c>
      <c r="CR109">
        <f t="shared" si="185"/>
        <v>10.711034713029919</v>
      </c>
      <c r="CS109">
        <f t="shared" si="186"/>
        <v>19.879827319477151</v>
      </c>
      <c r="CT109">
        <f t="shared" si="187"/>
        <v>41.301896745536986</v>
      </c>
    </row>
    <row r="110" spans="1:98" x14ac:dyDescent="0.25">
      <c r="A110" s="7">
        <v>99</v>
      </c>
      <c r="B110" s="9">
        <f t="shared" si="146"/>
        <v>31.629796720403828</v>
      </c>
      <c r="C110">
        <v>-0.87896359141819513</v>
      </c>
      <c r="D110">
        <v>0.84826197088534205</v>
      </c>
      <c r="E110">
        <v>0.12552262947477644</v>
      </c>
      <c r="F110">
        <v>0.29941709646900838</v>
      </c>
      <c r="G110">
        <v>0.61497848445081948</v>
      </c>
      <c r="H110">
        <v>-0.40696432386242254</v>
      </c>
      <c r="I110">
        <v>0.57530442213202315</v>
      </c>
      <c r="J110">
        <v>-0.19229712820825828</v>
      </c>
      <c r="K110">
        <v>0.78679769280068368</v>
      </c>
      <c r="L110">
        <v>-0.82110049745170444</v>
      </c>
      <c r="M110">
        <v>0.93908505508590956</v>
      </c>
      <c r="N110">
        <v>-0.92541276284066287</v>
      </c>
      <c r="O110">
        <v>0.74352244636371956</v>
      </c>
      <c r="P110">
        <v>-0.45994445631275371</v>
      </c>
      <c r="Q110">
        <v>0.64976958525345618</v>
      </c>
      <c r="R110">
        <v>-0.90490432447279279</v>
      </c>
      <c r="S110">
        <v>0.61864070558793904</v>
      </c>
      <c r="T110">
        <v>-7.8341013824884786E-2</v>
      </c>
      <c r="U110">
        <v>3.5248878444776865E-2</v>
      </c>
      <c r="V110">
        <v>-0.30466628009887997</v>
      </c>
      <c r="W110">
        <v>-0.49522385326700646</v>
      </c>
      <c r="X110">
        <v>0.3315225684377574</v>
      </c>
      <c r="Y110">
        <v>0.21390423291726424</v>
      </c>
      <c r="Z110">
        <v>-0.90459913937803282</v>
      </c>
      <c r="AA110">
        <v>-0.98400830103457748</v>
      </c>
      <c r="AC110" s="7">
        <v>99</v>
      </c>
      <c r="AD110">
        <f t="shared" si="188"/>
        <v>19.483611215326459</v>
      </c>
      <c r="AE110">
        <f t="shared" si="189"/>
        <v>43.351723949098158</v>
      </c>
      <c r="AF110">
        <f t="shared" si="190"/>
        <v>33.364363609830697</v>
      </c>
      <c r="AG110">
        <f t="shared" si="191"/>
        <v>35.76736923491076</v>
      </c>
      <c r="AH110">
        <f t="shared" si="192"/>
        <v>40.128035813241368</v>
      </c>
      <c r="AI110">
        <f t="shared" si="193"/>
        <v>26.006055054829481</v>
      </c>
      <c r="AJ110">
        <f t="shared" si="194"/>
        <v>39.579789531633075</v>
      </c>
      <c r="AK110">
        <f t="shared" si="195"/>
        <v>28.972489166239303</v>
      </c>
      <c r="AL110">
        <f t="shared" si="196"/>
        <v>42.502363940514229</v>
      </c>
      <c r="AM110">
        <f t="shared" si="197"/>
        <v>20.283207330656715</v>
      </c>
      <c r="AN110">
        <f t="shared" si="198"/>
        <v>44.606786206072229</v>
      </c>
      <c r="AO110">
        <f t="shared" si="199"/>
        <v>18.841741337935822</v>
      </c>
      <c r="AP110">
        <f t="shared" si="200"/>
        <v>41.904353765652253</v>
      </c>
      <c r="AQ110">
        <f t="shared" si="201"/>
        <v>25.27393540492794</v>
      </c>
      <c r="AR110">
        <f t="shared" si="202"/>
        <v>40.608805629420957</v>
      </c>
      <c r="AS110">
        <f t="shared" si="203"/>
        <v>19.125142492736416</v>
      </c>
      <c r="AT110">
        <f t="shared" si="204"/>
        <v>40.178643162312909</v>
      </c>
      <c r="AU110">
        <f t="shared" si="205"/>
        <v>30.547221178181903</v>
      </c>
      <c r="AV110">
        <f t="shared" si="206"/>
        <v>32.116892455217354</v>
      </c>
      <c r="AW110">
        <f t="shared" si="207"/>
        <v>27.41968700556103</v>
      </c>
      <c r="AX110">
        <f t="shared" si="208"/>
        <v>24.786417942205485</v>
      </c>
      <c r="AY110">
        <f t="shared" si="209"/>
        <v>36.211026995104547</v>
      </c>
      <c r="AZ110">
        <f t="shared" si="210"/>
        <v>34.585687634090412</v>
      </c>
      <c r="BA110">
        <f t="shared" si="211"/>
        <v>19.129359771825712</v>
      </c>
      <c r="BB110">
        <f t="shared" si="212"/>
        <v>18.032023752791261</v>
      </c>
      <c r="BC110" s="2">
        <f t="shared" si="147"/>
        <v>31.312269343212666</v>
      </c>
      <c r="BD110">
        <f t="shared" si="148"/>
        <v>81.184680179082534</v>
      </c>
      <c r="BE110">
        <f t="shared" si="149"/>
        <v>9.0102541683951696</v>
      </c>
      <c r="BF110" s="12">
        <f t="shared" si="150"/>
        <v>31.384116376694365</v>
      </c>
      <c r="BG110">
        <f t="shared" si="151"/>
        <v>-7.1847033481699185E-2</v>
      </c>
      <c r="BH110">
        <f t="shared" si="152"/>
        <v>5.161996220120404E-3</v>
      </c>
      <c r="BJ110" s="7">
        <v>98</v>
      </c>
      <c r="BK110">
        <f t="shared" si="213"/>
        <v>24.518435840587514</v>
      </c>
      <c r="BL110">
        <f t="shared" si="214"/>
        <v>65.556331997855821</v>
      </c>
      <c r="BM110">
        <f t="shared" si="215"/>
        <v>147.44934047256532</v>
      </c>
      <c r="BN110">
        <f t="shared" si="216"/>
        <v>546.44880389662808</v>
      </c>
      <c r="BO110">
        <f t="shared" si="217"/>
        <v>4.768230140859167</v>
      </c>
      <c r="BP110">
        <f t="shared" si="218"/>
        <v>46.439473371122361</v>
      </c>
      <c r="BQ110">
        <f t="shared" si="219"/>
        <v>88.443318491930071</v>
      </c>
      <c r="BR110">
        <f t="shared" si="220"/>
        <v>3.1860539378826358</v>
      </c>
      <c r="BS110">
        <f t="shared" si="221"/>
        <v>267.40522977249674</v>
      </c>
      <c r="BT110">
        <f t="shared" si="222"/>
        <v>1.7254780712286804</v>
      </c>
      <c r="BU110">
        <f t="shared" si="223"/>
        <v>167.81480077086363</v>
      </c>
      <c r="BV110">
        <f t="shared" si="224"/>
        <v>148.08665878437907</v>
      </c>
      <c r="BW110">
        <f t="shared" si="225"/>
        <v>58.746403848994298</v>
      </c>
      <c r="BX110">
        <f t="shared" si="226"/>
        <v>24.797415663153561</v>
      </c>
      <c r="BY110">
        <f t="shared" si="227"/>
        <v>56.58699512210152</v>
      </c>
      <c r="BZ110">
        <f t="shared" si="228"/>
        <v>14.304240548522969</v>
      </c>
      <c r="CA110">
        <f t="shared" si="229"/>
        <v>24.719255676858065</v>
      </c>
      <c r="CB110">
        <f t="shared" si="230"/>
        <v>234.46400915317852</v>
      </c>
      <c r="CC110">
        <f t="shared" si="231"/>
        <v>4.4617686064266788</v>
      </c>
      <c r="CD110">
        <f t="shared" si="232"/>
        <v>56.3225880691406</v>
      </c>
      <c r="CE110">
        <f t="shared" si="233"/>
        <v>13.84485463480566</v>
      </c>
      <c r="CF110">
        <f t="shared" si="234"/>
        <v>37.282900721208172</v>
      </c>
      <c r="CG110">
        <f t="shared" si="235"/>
        <v>2.3075414747535947</v>
      </c>
      <c r="CH110">
        <f t="shared" si="236"/>
        <v>5.9778547674038194</v>
      </c>
      <c r="CI110">
        <f t="shared" si="237"/>
        <v>24.199905499188713</v>
      </c>
      <c r="CJ110" s="7">
        <v>98</v>
      </c>
      <c r="CK110" s="13">
        <f t="shared" si="178"/>
        <v>30.87546864612893</v>
      </c>
      <c r="CL110">
        <f t="shared" si="179"/>
        <v>3.6192384517161833</v>
      </c>
      <c r="CM110">
        <f t="shared" si="180"/>
        <v>27.256230194412748</v>
      </c>
      <c r="CN110">
        <f t="shared" si="181"/>
        <v>34.494707097845115</v>
      </c>
      <c r="CO110">
        <f t="shared" si="182"/>
        <v>7.2384769034323666</v>
      </c>
      <c r="CP110">
        <f t="shared" si="183"/>
        <v>23.636991742696562</v>
      </c>
      <c r="CQ110">
        <f t="shared" si="184"/>
        <v>38.113945549561294</v>
      </c>
      <c r="CR110">
        <f t="shared" si="185"/>
        <v>10.857715355148549</v>
      </c>
      <c r="CS110">
        <f t="shared" si="186"/>
        <v>20.01775329098038</v>
      </c>
      <c r="CT110">
        <f t="shared" si="187"/>
        <v>41.733184001277479</v>
      </c>
    </row>
    <row r="111" spans="1:98" x14ac:dyDescent="0.25">
      <c r="A111" s="7">
        <v>100</v>
      </c>
      <c r="B111" s="9">
        <f t="shared" si="146"/>
        <v>31.921381120453589</v>
      </c>
      <c r="C111">
        <v>0.10446485793633831</v>
      </c>
      <c r="D111">
        <v>-0.34958952604754778</v>
      </c>
      <c r="E111">
        <v>-0.50816370128482924</v>
      </c>
      <c r="F111">
        <v>0.79064302499465922</v>
      </c>
      <c r="G111">
        <v>0.64336069826349673</v>
      </c>
      <c r="H111">
        <v>0.18472853785821108</v>
      </c>
      <c r="I111">
        <v>0.22159489730521553</v>
      </c>
      <c r="J111">
        <v>-0.75200659199804676</v>
      </c>
      <c r="K111">
        <v>0.39719840083010349</v>
      </c>
      <c r="L111">
        <v>0.34531693472090819</v>
      </c>
      <c r="M111">
        <v>-0.92889187292092656</v>
      </c>
      <c r="N111">
        <v>-8.713034455397195E-2</v>
      </c>
      <c r="O111">
        <v>-0.858821375164037</v>
      </c>
      <c r="P111">
        <v>0.76079592272713392</v>
      </c>
      <c r="Q111">
        <v>-0.70787682729575485</v>
      </c>
      <c r="R111">
        <v>0.61693166905728325</v>
      </c>
      <c r="S111">
        <v>-0.38059633167516094</v>
      </c>
      <c r="T111">
        <v>-0.51853999450666821</v>
      </c>
      <c r="U111">
        <v>0.88708151493881049</v>
      </c>
      <c r="V111">
        <v>-0.1070894497512741</v>
      </c>
      <c r="W111">
        <v>-0.38694418164616839</v>
      </c>
      <c r="X111">
        <v>2.3590807824945825E-2</v>
      </c>
      <c r="Y111">
        <v>-0.27359843745231482</v>
      </c>
      <c r="Z111">
        <v>-0.12747581408124031</v>
      </c>
      <c r="AA111">
        <v>0.49803155613879824</v>
      </c>
      <c r="AC111" s="7">
        <v>100</v>
      </c>
      <c r="AD111">
        <f t="shared" si="188"/>
        <v>33.364955752719126</v>
      </c>
      <c r="AE111">
        <f t="shared" si="189"/>
        <v>27.090487923666629</v>
      </c>
      <c r="AF111">
        <f t="shared" si="190"/>
        <v>24.899189708869155</v>
      </c>
      <c r="AG111">
        <f t="shared" si="191"/>
        <v>42.847086057089101</v>
      </c>
      <c r="AH111">
        <f t="shared" si="192"/>
        <v>40.811827168595528</v>
      </c>
      <c r="AI111">
        <f t="shared" si="193"/>
        <v>34.474100153203608</v>
      </c>
      <c r="AJ111">
        <f t="shared" si="194"/>
        <v>34.983547467190391</v>
      </c>
      <c r="AK111">
        <f t="shared" si="195"/>
        <v>21.529583716522772</v>
      </c>
      <c r="AL111">
        <f t="shared" si="196"/>
        <v>37.410169855170508</v>
      </c>
      <c r="AM111">
        <f t="shared" si="197"/>
        <v>36.693232409990422</v>
      </c>
      <c r="AN111">
        <f t="shared" si="198"/>
        <v>19.085248756367623</v>
      </c>
      <c r="AO111">
        <f t="shared" si="199"/>
        <v>30.71734794045998</v>
      </c>
      <c r="AP111">
        <f t="shared" si="200"/>
        <v>20.053536035269662</v>
      </c>
      <c r="AQ111">
        <f t="shared" si="201"/>
        <v>42.434636162156089</v>
      </c>
      <c r="AR111">
        <f t="shared" si="202"/>
        <v>22.139402272834772</v>
      </c>
      <c r="AS111">
        <f t="shared" si="203"/>
        <v>40.446610799462619</v>
      </c>
      <c r="AT111">
        <f t="shared" si="204"/>
        <v>26.662012368194297</v>
      </c>
      <c r="AU111">
        <f t="shared" si="205"/>
        <v>24.755802219833139</v>
      </c>
      <c r="AV111">
        <f t="shared" si="206"/>
        <v>44.179746249306191</v>
      </c>
      <c r="AW111">
        <f t="shared" si="207"/>
        <v>30.441537888020115</v>
      </c>
      <c r="AX111">
        <f t="shared" si="208"/>
        <v>26.574292963136969</v>
      </c>
      <c r="AY111">
        <f t="shared" si="209"/>
        <v>32.247376794056059</v>
      </c>
      <c r="AZ111">
        <f t="shared" si="210"/>
        <v>28.140590416900984</v>
      </c>
      <c r="BA111">
        <f t="shared" si="211"/>
        <v>30.159823644855233</v>
      </c>
      <c r="BB111">
        <f t="shared" si="212"/>
        <v>38.803558866273441</v>
      </c>
      <c r="BC111" s="2">
        <f t="shared" si="147"/>
        <v>31.637828143605773</v>
      </c>
      <c r="BD111">
        <f t="shared" si="148"/>
        <v>56.616415775856844</v>
      </c>
      <c r="BE111">
        <f t="shared" si="149"/>
        <v>7.524388066537826</v>
      </c>
      <c r="BF111" s="12">
        <f t="shared" si="150"/>
        <v>31.672218594991776</v>
      </c>
      <c r="BG111">
        <f t="shared" si="151"/>
        <v>-3.4390451386002496E-2</v>
      </c>
      <c r="BH111">
        <f t="shared" si="152"/>
        <v>1.182703146533001E-3</v>
      </c>
      <c r="BJ111" s="7">
        <v>99</v>
      </c>
      <c r="BK111">
        <f t="shared" si="213"/>
        <v>199.93106681144593</v>
      </c>
      <c r="BL111">
        <f t="shared" si="214"/>
        <v>96.796141740186073</v>
      </c>
      <c r="BM111">
        <f t="shared" si="215"/>
        <v>10.54410775962417</v>
      </c>
      <c r="BN111">
        <f t="shared" si="216"/>
        <v>241.80618396959423</v>
      </c>
      <c r="BO111">
        <f t="shared" si="217"/>
        <v>141.45976574723008</v>
      </c>
      <c r="BP111">
        <f t="shared" si="218"/>
        <v>10.744439183797398</v>
      </c>
      <c r="BQ111">
        <f t="shared" si="219"/>
        <v>117.92281480673046</v>
      </c>
      <c r="BR111">
        <f t="shared" si="220"/>
        <v>0.15710658279118644</v>
      </c>
      <c r="BS111">
        <f t="shared" si="221"/>
        <v>52.518075903369393</v>
      </c>
      <c r="BT111">
        <f t="shared" si="222"/>
        <v>52.590303782254495</v>
      </c>
      <c r="BU111">
        <f t="shared" si="223"/>
        <v>115.63050636040909</v>
      </c>
      <c r="BV111">
        <f t="shared" si="224"/>
        <v>175.9874169307507</v>
      </c>
      <c r="BW111">
        <f t="shared" si="225"/>
        <v>73.28552874554093</v>
      </c>
      <c r="BX111">
        <f t="shared" si="226"/>
        <v>74.679540250465081</v>
      </c>
      <c r="BY111">
        <f t="shared" si="227"/>
        <v>87.40005195263457</v>
      </c>
      <c r="BZ111">
        <f t="shared" si="228"/>
        <v>30.306922420770505</v>
      </c>
      <c r="CA111">
        <f t="shared" si="229"/>
        <v>167.30400600867077</v>
      </c>
      <c r="CB111">
        <f t="shared" si="230"/>
        <v>25.810104902331076</v>
      </c>
      <c r="CC111">
        <f t="shared" si="231"/>
        <v>1.8409449988890692</v>
      </c>
      <c r="CD111">
        <f t="shared" si="232"/>
        <v>17.71526839157028</v>
      </c>
      <c r="CE111">
        <f t="shared" si="233"/>
        <v>111.31560971619901</v>
      </c>
      <c r="CF111">
        <f t="shared" si="234"/>
        <v>5.056585103771889</v>
      </c>
      <c r="CG111">
        <f t="shared" si="235"/>
        <v>6.5305720911424894</v>
      </c>
      <c r="CH111">
        <f t="shared" si="236"/>
        <v>225.50151589778042</v>
      </c>
      <c r="CI111">
        <f t="shared" si="237"/>
        <v>157.25141406586326</v>
      </c>
      <c r="CJ111" s="7">
        <v>99</v>
      </c>
      <c r="CK111" s="13">
        <f t="shared" si="178"/>
        <v>31.160075259750791</v>
      </c>
      <c r="CL111">
        <f t="shared" si="179"/>
        <v>3.6682030628516267</v>
      </c>
      <c r="CM111">
        <f t="shared" si="180"/>
        <v>27.491872196899163</v>
      </c>
      <c r="CN111">
        <f t="shared" si="181"/>
        <v>34.828278322602415</v>
      </c>
      <c r="CO111">
        <f t="shared" si="182"/>
        <v>7.3364061257032533</v>
      </c>
      <c r="CP111">
        <f t="shared" si="183"/>
        <v>23.823669134047538</v>
      </c>
      <c r="CQ111">
        <f t="shared" si="184"/>
        <v>38.496481385454047</v>
      </c>
      <c r="CR111">
        <f t="shared" si="185"/>
        <v>11.00460918855488</v>
      </c>
      <c r="CS111">
        <f t="shared" si="186"/>
        <v>20.15546607119591</v>
      </c>
      <c r="CT111">
        <f t="shared" si="187"/>
        <v>42.164684448305671</v>
      </c>
    </row>
    <row r="112" spans="1:98" x14ac:dyDescent="0.25">
      <c r="A112" s="7">
        <v>101</v>
      </c>
      <c r="B112" s="9">
        <f t="shared" si="146"/>
        <v>32.212965520503346</v>
      </c>
      <c r="C112">
        <v>-5.1545762504959236E-2</v>
      </c>
      <c r="D112">
        <v>-0.93932920316171753</v>
      </c>
      <c r="E112">
        <v>1.5259254737998162E-4</v>
      </c>
      <c r="F112">
        <v>-0.64812158574175238</v>
      </c>
      <c r="G112">
        <v>0.78948332163457136</v>
      </c>
      <c r="H112">
        <v>0.98980681783501701</v>
      </c>
      <c r="I112">
        <v>0.87627796258430735</v>
      </c>
      <c r="J112">
        <v>0.67540513321329376</v>
      </c>
      <c r="K112">
        <v>-0.86046937467574081</v>
      </c>
      <c r="L112">
        <v>0.45078890346995459</v>
      </c>
      <c r="M112">
        <v>0.54155095065157011</v>
      </c>
      <c r="N112">
        <v>0.78868984038819545</v>
      </c>
      <c r="O112">
        <v>-0.28934598834192937</v>
      </c>
      <c r="P112">
        <v>-0.71080660420545061</v>
      </c>
      <c r="Q112">
        <v>0.51524399548326061</v>
      </c>
      <c r="R112">
        <v>0.9668568987090671</v>
      </c>
      <c r="S112">
        <v>0.17899105807672355</v>
      </c>
      <c r="T112">
        <v>0.97375408185064249</v>
      </c>
      <c r="U112">
        <v>-9.9765007477034873E-2</v>
      </c>
      <c r="V112">
        <v>0.37516403698843348</v>
      </c>
      <c r="W112">
        <v>0.62743003631702621</v>
      </c>
      <c r="X112">
        <v>-0.48161259804071166</v>
      </c>
      <c r="Y112">
        <v>0.86626789147618033</v>
      </c>
      <c r="Z112">
        <v>0.86870937223426004</v>
      </c>
      <c r="AA112">
        <v>-0.60173345133823664</v>
      </c>
      <c r="AC112" s="7">
        <v>101</v>
      </c>
      <c r="AD112">
        <f t="shared" si="188"/>
        <v>31.500667082321488</v>
      </c>
      <c r="AE112">
        <f t="shared" si="189"/>
        <v>19.232602211563506</v>
      </c>
      <c r="AF112">
        <f t="shared" si="190"/>
        <v>32.21507416004799</v>
      </c>
      <c r="AG112">
        <f t="shared" si="191"/>
        <v>23.256729918568411</v>
      </c>
      <c r="AH112">
        <f t="shared" si="192"/>
        <v>43.122644796599538</v>
      </c>
      <c r="AI112">
        <f t="shared" si="193"/>
        <v>45.89086679081251</v>
      </c>
      <c r="AJ112">
        <f t="shared" si="194"/>
        <v>44.322038969594921</v>
      </c>
      <c r="AK112">
        <f t="shared" si="195"/>
        <v>41.546225873021214</v>
      </c>
      <c r="AL112">
        <f t="shared" si="196"/>
        <v>20.322347128237229</v>
      </c>
      <c r="AM112">
        <f t="shared" si="197"/>
        <v>38.442308463300392</v>
      </c>
      <c r="AN112">
        <f t="shared" si="198"/>
        <v>39.696527264456606</v>
      </c>
      <c r="AO112">
        <f t="shared" si="199"/>
        <v>43.111679870967372</v>
      </c>
      <c r="AP112">
        <f t="shared" si="200"/>
        <v>28.214563215943137</v>
      </c>
      <c r="AQ112">
        <f t="shared" si="201"/>
        <v>22.3905007936273</v>
      </c>
      <c r="AR112">
        <f t="shared" si="202"/>
        <v>39.332997806959412</v>
      </c>
      <c r="AS112">
        <f t="shared" si="203"/>
        <v>45.573727403297561</v>
      </c>
      <c r="AT112">
        <f t="shared" si="204"/>
        <v>34.68639970637463</v>
      </c>
      <c r="AU112">
        <f t="shared" si="205"/>
        <v>45.669037910715616</v>
      </c>
      <c r="AV112">
        <f t="shared" si="206"/>
        <v>30.834336986212943</v>
      </c>
      <c r="AW112">
        <f t="shared" si="207"/>
        <v>37.397266704973191</v>
      </c>
      <c r="AX112">
        <f t="shared" si="208"/>
        <v>40.883269600184107</v>
      </c>
      <c r="AY112">
        <f t="shared" si="209"/>
        <v>25.557677389687541</v>
      </c>
      <c r="AZ112">
        <f t="shared" si="210"/>
        <v>44.183712215466059</v>
      </c>
      <c r="BA112">
        <f t="shared" si="211"/>
        <v>44.217450448180415</v>
      </c>
      <c r="BB112">
        <f t="shared" si="212"/>
        <v>23.897756340141189</v>
      </c>
      <c r="BC112" s="2">
        <f t="shared" si="147"/>
        <v>35.419936362050173</v>
      </c>
      <c r="BD112">
        <f t="shared" si="148"/>
        <v>80.023661478746064</v>
      </c>
      <c r="BE112">
        <f t="shared" si="149"/>
        <v>8.9455945290822374</v>
      </c>
      <c r="BF112" s="12">
        <f t="shared" si="150"/>
        <v>31.960320813289187</v>
      </c>
      <c r="BG112">
        <f t="shared" si="151"/>
        <v>3.4596155487609863</v>
      </c>
      <c r="BH112">
        <f t="shared" si="152"/>
        <v>11.968939745228781</v>
      </c>
      <c r="BJ112" s="7">
        <v>100</v>
      </c>
      <c r="BK112">
        <f t="shared" si="213"/>
        <v>0.34401900639656291</v>
      </c>
      <c r="BL112">
        <f t="shared" si="214"/>
        <v>45.296437166580404</v>
      </c>
      <c r="BM112">
        <f t="shared" si="215"/>
        <v>30.37964309221065</v>
      </c>
      <c r="BN112">
        <f t="shared" si="216"/>
        <v>506.46207243060377</v>
      </c>
      <c r="BO112">
        <f t="shared" si="217"/>
        <v>152.23567076645205</v>
      </c>
      <c r="BP112">
        <f t="shared" si="218"/>
        <v>24.296263084279307</v>
      </c>
      <c r="BQ112">
        <f t="shared" si="219"/>
        <v>35.905490642465736</v>
      </c>
      <c r="BR112">
        <f t="shared" si="220"/>
        <v>65.682148187112986</v>
      </c>
      <c r="BS112">
        <f t="shared" si="221"/>
        <v>3.2350558428326055</v>
      </c>
      <c r="BT112">
        <f t="shared" si="222"/>
        <v>79.556823581276703</v>
      </c>
      <c r="BU112">
        <f t="shared" si="223"/>
        <v>226.94020883489438</v>
      </c>
      <c r="BV112">
        <f t="shared" si="224"/>
        <v>2.8599483540258226</v>
      </c>
      <c r="BW112">
        <f t="shared" si="225"/>
        <v>185.69310137871926</v>
      </c>
      <c r="BX112">
        <f t="shared" si="226"/>
        <v>67.680130664815096</v>
      </c>
      <c r="BY112">
        <f t="shared" si="227"/>
        <v>88.77183625088233</v>
      </c>
      <c r="BZ112">
        <f t="shared" si="228"/>
        <v>244.51314648801642</v>
      </c>
      <c r="CA112">
        <f t="shared" si="229"/>
        <v>0.70274822589053121</v>
      </c>
      <c r="CB112">
        <f t="shared" si="230"/>
        <v>125.83137967008997</v>
      </c>
      <c r="CC112">
        <f t="shared" si="231"/>
        <v>108.25077443885868</v>
      </c>
      <c r="CD112">
        <f t="shared" si="232"/>
        <v>2.2075149452977509</v>
      </c>
      <c r="CE112">
        <f t="shared" si="233"/>
        <v>82.813082550253441</v>
      </c>
      <c r="CF112">
        <f t="shared" si="234"/>
        <v>4.1565611890896657</v>
      </c>
      <c r="CG112">
        <f t="shared" si="235"/>
        <v>17.265797826223146</v>
      </c>
      <c r="CH112">
        <f t="shared" si="236"/>
        <v>18.509977828179064</v>
      </c>
      <c r="CI112">
        <f t="shared" si="237"/>
        <v>63.260648824964285</v>
      </c>
      <c r="CJ112" s="7">
        <v>100</v>
      </c>
      <c r="CK112" s="13">
        <f t="shared" si="178"/>
        <v>31.444681873372652</v>
      </c>
      <c r="CL112">
        <f t="shared" si="179"/>
        <v>3.7172359295274098</v>
      </c>
      <c r="CM112">
        <f t="shared" si="180"/>
        <v>27.727445943845243</v>
      </c>
      <c r="CN112">
        <f t="shared" si="181"/>
        <v>35.161917802900064</v>
      </c>
      <c r="CO112">
        <f t="shared" si="182"/>
        <v>7.4344718590548196</v>
      </c>
      <c r="CP112">
        <f t="shared" si="183"/>
        <v>24.010210014317831</v>
      </c>
      <c r="CQ112">
        <f t="shared" si="184"/>
        <v>38.879153732427469</v>
      </c>
      <c r="CR112">
        <f t="shared" si="185"/>
        <v>11.151707788582229</v>
      </c>
      <c r="CS112">
        <f t="shared" si="186"/>
        <v>20.292974084790423</v>
      </c>
      <c r="CT112">
        <f t="shared" si="187"/>
        <v>42.596389661954881</v>
      </c>
    </row>
    <row r="113" spans="1:98" x14ac:dyDescent="0.25">
      <c r="A113" s="7">
        <v>102</v>
      </c>
      <c r="B113" s="9">
        <f t="shared" si="146"/>
        <v>32.504549920553103</v>
      </c>
      <c r="C113">
        <v>-0.82580034791100809</v>
      </c>
      <c r="D113">
        <v>-0.17490157780693993</v>
      </c>
      <c r="E113">
        <v>0.71666615802484213</v>
      </c>
      <c r="F113">
        <v>0.16904202398754853</v>
      </c>
      <c r="G113">
        <v>0.45310831019013031</v>
      </c>
      <c r="H113">
        <v>-0.3903012176885281</v>
      </c>
      <c r="I113">
        <v>-0.68413342692342904</v>
      </c>
      <c r="J113">
        <v>6.2654499954222231E-2</v>
      </c>
      <c r="K113">
        <v>-0.95452742088076414</v>
      </c>
      <c r="L113">
        <v>0.9693594164860988</v>
      </c>
      <c r="M113">
        <v>-4.5258949552903882E-2</v>
      </c>
      <c r="N113">
        <v>-0.39408551286355176</v>
      </c>
      <c r="O113">
        <v>-0.8035828730124821</v>
      </c>
      <c r="P113">
        <v>0.69402142399365219</v>
      </c>
      <c r="Q113">
        <v>0.69005401776177244</v>
      </c>
      <c r="R113">
        <v>0.3478804895168921</v>
      </c>
      <c r="S113">
        <v>9.9520859401226902E-2</v>
      </c>
      <c r="T113">
        <v>0.67998290963469343</v>
      </c>
      <c r="U113">
        <v>0.40037232581560711</v>
      </c>
      <c r="V113">
        <v>0.95086519974364458</v>
      </c>
      <c r="W113">
        <v>0.87432477797784358</v>
      </c>
      <c r="X113">
        <v>-0.75060274056215093</v>
      </c>
      <c r="Y113">
        <v>7.7059236426892941E-2</v>
      </c>
      <c r="Z113">
        <v>-0.43345439008758813</v>
      </c>
      <c r="AA113">
        <v>0.68736838892788477</v>
      </c>
      <c r="AC113" s="7">
        <v>102</v>
      </c>
      <c r="AD113">
        <f t="shared" si="188"/>
        <v>21.093014432830852</v>
      </c>
      <c r="AE113">
        <f t="shared" si="189"/>
        <v>30.087627274478368</v>
      </c>
      <c r="AF113">
        <f t="shared" si="190"/>
        <v>42.407986405943603</v>
      </c>
      <c r="AG113">
        <f t="shared" si="191"/>
        <v>34.840500808113383</v>
      </c>
      <c r="AH113">
        <f t="shared" si="192"/>
        <v>38.76594418442879</v>
      </c>
      <c r="AI113">
        <f t="shared" si="193"/>
        <v>27.111071693254242</v>
      </c>
      <c r="AJ113">
        <f t="shared" si="194"/>
        <v>23.050675386081405</v>
      </c>
      <c r="AK113">
        <f t="shared" si="195"/>
        <v>33.370357317585281</v>
      </c>
      <c r="AL113">
        <f t="shared" si="196"/>
        <v>19.31416611296639</v>
      </c>
      <c r="AM113">
        <f t="shared" si="197"/>
        <v>45.899893491879531</v>
      </c>
      <c r="AN113">
        <f t="shared" si="198"/>
        <v>31.879127431610712</v>
      </c>
      <c r="AO113">
        <f t="shared" si="199"/>
        <v>27.058777432546989</v>
      </c>
      <c r="AP113">
        <f t="shared" si="200"/>
        <v>21.400032350531497</v>
      </c>
      <c r="AQ113">
        <f t="shared" si="201"/>
        <v>42.095064297517951</v>
      </c>
      <c r="AR113">
        <f t="shared" si="202"/>
        <v>42.040239669357113</v>
      </c>
      <c r="AS113">
        <f t="shared" si="203"/>
        <v>37.311826354440015</v>
      </c>
      <c r="AT113">
        <f t="shared" si="204"/>
        <v>33.879804631572071</v>
      </c>
      <c r="AU113">
        <f t="shared" si="205"/>
        <v>41.901069459410394</v>
      </c>
      <c r="AV113">
        <f t="shared" si="206"/>
        <v>38.037198357798687</v>
      </c>
      <c r="AW113">
        <f t="shared" si="207"/>
        <v>45.644326379068282</v>
      </c>
      <c r="AX113">
        <f t="shared" si="208"/>
        <v>44.586632783473192</v>
      </c>
      <c r="AY113">
        <f t="shared" si="209"/>
        <v>22.132152000433042</v>
      </c>
      <c r="AZ113">
        <f t="shared" si="210"/>
        <v>33.569412890599992</v>
      </c>
      <c r="BA113">
        <f t="shared" si="211"/>
        <v>26.514748430027986</v>
      </c>
      <c r="BB113">
        <f t="shared" si="212"/>
        <v>42.003127613371326</v>
      </c>
      <c r="BC113" s="2">
        <f t="shared" si="147"/>
        <v>33.839791087572841</v>
      </c>
      <c r="BD113">
        <f t="shared" si="148"/>
        <v>72.520505017585791</v>
      </c>
      <c r="BE113">
        <f t="shared" si="149"/>
        <v>8.515897193930055</v>
      </c>
      <c r="BF113" s="12">
        <f t="shared" si="150"/>
        <v>32.24842303158659</v>
      </c>
      <c r="BG113">
        <f t="shared" si="151"/>
        <v>1.5913680559862513</v>
      </c>
      <c r="BH113">
        <f t="shared" si="152"/>
        <v>2.5324522896134605</v>
      </c>
      <c r="BJ113" s="7">
        <v>101</v>
      </c>
      <c r="BK113">
        <f t="shared" si="213"/>
        <v>7.7228277687936835</v>
      </c>
      <c r="BL113">
        <f t="shared" si="214"/>
        <v>221.88123147205164</v>
      </c>
      <c r="BM113">
        <f t="shared" si="215"/>
        <v>2.2811356463823484</v>
      </c>
      <c r="BN113">
        <f t="shared" si="216"/>
        <v>7.7798209436493551</v>
      </c>
      <c r="BO113">
        <f t="shared" si="217"/>
        <v>207.65110717005373</v>
      </c>
      <c r="BP113">
        <f t="shared" si="218"/>
        <v>258.72209743692957</v>
      </c>
      <c r="BQ113">
        <f t="shared" si="219"/>
        <v>226.79590386713605</v>
      </c>
      <c r="BR113">
        <f t="shared" si="220"/>
        <v>135.65283256729981</v>
      </c>
      <c r="BS113">
        <f t="shared" si="221"/>
        <v>244.77578963701373</v>
      </c>
      <c r="BT113">
        <f t="shared" si="222"/>
        <v>108.78270138475123</v>
      </c>
      <c r="BU113">
        <f t="shared" si="223"/>
        <v>27.568629507929206</v>
      </c>
      <c r="BV113">
        <f t="shared" si="224"/>
        <v>108.21146267110541</v>
      </c>
      <c r="BW113">
        <f t="shared" si="225"/>
        <v>33.671362550723948</v>
      </c>
      <c r="BX113">
        <f t="shared" si="226"/>
        <v>146.64039524679183</v>
      </c>
      <c r="BY113">
        <f t="shared" si="227"/>
        <v>55.807443367059747</v>
      </c>
      <c r="BZ113">
        <f t="shared" si="228"/>
        <v>423.72793575969513</v>
      </c>
      <c r="CA113">
        <f t="shared" si="229"/>
        <v>48.022288228759301</v>
      </c>
      <c r="CB113">
        <f t="shared" si="230"/>
        <v>87.424405415505873</v>
      </c>
      <c r="CC113">
        <f t="shared" si="231"/>
        <v>10.515247870774655</v>
      </c>
      <c r="CD113">
        <f t="shared" si="232"/>
        <v>26.74221201438074</v>
      </c>
      <c r="CE113">
        <f t="shared" si="233"/>
        <v>23.730383758534693</v>
      </c>
      <c r="CF113">
        <f t="shared" si="234"/>
        <v>81.943477086163497</v>
      </c>
      <c r="CG113">
        <f t="shared" si="235"/>
        <v>135.07771666167372</v>
      </c>
      <c r="CH113">
        <f t="shared" si="236"/>
        <v>89.098988791129798</v>
      </c>
      <c r="CI113">
        <f t="shared" si="237"/>
        <v>52.273368754420702</v>
      </c>
      <c r="CJ113" s="7">
        <v>101</v>
      </c>
      <c r="CK113" s="13">
        <f t="shared" si="178"/>
        <v>31.729288486994513</v>
      </c>
      <c r="CL113">
        <f t="shared" si="179"/>
        <v>3.7663343859444169</v>
      </c>
      <c r="CM113">
        <f t="shared" si="180"/>
        <v>27.962954101050094</v>
      </c>
      <c r="CN113">
        <f t="shared" si="181"/>
        <v>35.495622872938931</v>
      </c>
      <c r="CO113">
        <f t="shared" si="182"/>
        <v>7.5326687718888339</v>
      </c>
      <c r="CP113">
        <f t="shared" si="183"/>
        <v>24.19661971510568</v>
      </c>
      <c r="CQ113">
        <f t="shared" si="184"/>
        <v>39.261957258883349</v>
      </c>
      <c r="CR113">
        <f t="shared" si="185"/>
        <v>11.299003157833251</v>
      </c>
      <c r="CS113">
        <f t="shared" si="186"/>
        <v>20.430285329161261</v>
      </c>
      <c r="CT113">
        <f t="shared" si="187"/>
        <v>43.02829164482776</v>
      </c>
    </row>
    <row r="114" spans="1:98" x14ac:dyDescent="0.25">
      <c r="A114" s="7">
        <v>103</v>
      </c>
      <c r="B114" s="9">
        <f t="shared" si="146"/>
        <v>32.796134320602867</v>
      </c>
      <c r="C114">
        <v>-0.96356089968565939</v>
      </c>
      <c r="D114">
        <v>0.41642506179998162</v>
      </c>
      <c r="E114">
        <v>-0.68962675862910849</v>
      </c>
      <c r="F114">
        <v>-0.41941587572862937</v>
      </c>
      <c r="G114">
        <v>0.75206762901699875</v>
      </c>
      <c r="H114">
        <v>-0.22513504440443133</v>
      </c>
      <c r="I114">
        <v>0.64494766075624876</v>
      </c>
      <c r="J114">
        <v>0.56950590533158363</v>
      </c>
      <c r="K114">
        <v>-0.85992004150517287</v>
      </c>
      <c r="L114">
        <v>-0.44956816309091463</v>
      </c>
      <c r="M114">
        <v>-0.51304666280098887</v>
      </c>
      <c r="N114">
        <v>0.57255775627918326</v>
      </c>
      <c r="O114">
        <v>0.43809320352793968</v>
      </c>
      <c r="P114">
        <v>-0.94842371898556477</v>
      </c>
      <c r="Q114">
        <v>0.84923856318857394</v>
      </c>
      <c r="R114">
        <v>0.73619800408948022</v>
      </c>
      <c r="S114">
        <v>-0.34690389721366011</v>
      </c>
      <c r="T114">
        <v>0.91790520950956744</v>
      </c>
      <c r="U114">
        <v>0.8298898281807916</v>
      </c>
      <c r="V114">
        <v>-0.28409680471205789</v>
      </c>
      <c r="W114">
        <v>0.96783349101229899</v>
      </c>
      <c r="X114">
        <v>-0.84704123050630209</v>
      </c>
      <c r="Y114">
        <v>0.76238288521988595</v>
      </c>
      <c r="Z114">
        <v>0.47770622882778402</v>
      </c>
      <c r="AA114">
        <v>-0.41276284066286206</v>
      </c>
      <c r="AC114" s="7">
        <v>103</v>
      </c>
      <c r="AD114">
        <f t="shared" si="188"/>
        <v>19.480919051973036</v>
      </c>
      <c r="AE114">
        <f t="shared" si="189"/>
        <v>38.550611637945345</v>
      </c>
      <c r="AF114">
        <f t="shared" si="190"/>
        <v>23.266348762523869</v>
      </c>
      <c r="AG114">
        <f t="shared" si="191"/>
        <v>27.000327668185303</v>
      </c>
      <c r="AH114">
        <f t="shared" si="192"/>
        <v>43.188775180351541</v>
      </c>
      <c r="AI114">
        <f t="shared" si="193"/>
        <v>29.685047536430243</v>
      </c>
      <c r="AJ114">
        <f t="shared" si="194"/>
        <v>41.708510220009138</v>
      </c>
      <c r="AK114">
        <f t="shared" si="195"/>
        <v>40.665998829135518</v>
      </c>
      <c r="AL114">
        <f t="shared" si="196"/>
        <v>20.913107030697482</v>
      </c>
      <c r="AM114">
        <f t="shared" si="197"/>
        <v>26.583660494162999</v>
      </c>
      <c r="AN114">
        <f t="shared" si="198"/>
        <v>25.706466443589719</v>
      </c>
      <c r="AO114">
        <f t="shared" si="199"/>
        <v>40.708171620028459</v>
      </c>
      <c r="AP114">
        <f t="shared" si="200"/>
        <v>38.850038453285265</v>
      </c>
      <c r="AQ114">
        <f t="shared" si="201"/>
        <v>19.690096094802048</v>
      </c>
      <c r="AR114">
        <f t="shared" si="202"/>
        <v>44.53155684238294</v>
      </c>
      <c r="AS114">
        <f t="shared" si="203"/>
        <v>42.969476667708221</v>
      </c>
      <c r="AT114">
        <f t="shared" si="204"/>
        <v>28.002353179801698</v>
      </c>
      <c r="AU114">
        <f t="shared" si="205"/>
        <v>45.480444637474221</v>
      </c>
      <c r="AV114">
        <f t="shared" si="206"/>
        <v>44.264181348121667</v>
      </c>
      <c r="AW114">
        <f t="shared" si="207"/>
        <v>28.870269216378528</v>
      </c>
      <c r="AX114">
        <f t="shared" si="208"/>
        <v>46.170391496482821</v>
      </c>
      <c r="AY114">
        <f t="shared" si="209"/>
        <v>21.091076208265712</v>
      </c>
      <c r="AZ114">
        <f t="shared" si="210"/>
        <v>43.331319213569699</v>
      </c>
      <c r="BA114">
        <f t="shared" si="211"/>
        <v>39.3974412790757</v>
      </c>
      <c r="BB114">
        <f t="shared" si="212"/>
        <v>27.092264352331924</v>
      </c>
      <c r="BC114" s="2">
        <f t="shared" si="147"/>
        <v>33.887954138588526</v>
      </c>
      <c r="BD114">
        <f t="shared" si="148"/>
        <v>89.172816818230174</v>
      </c>
      <c r="BE114">
        <f t="shared" si="149"/>
        <v>9.443135963133761</v>
      </c>
      <c r="BF114" s="12">
        <f t="shared" si="150"/>
        <v>32.536525249884001</v>
      </c>
      <c r="BG114">
        <f t="shared" si="151"/>
        <v>1.3514288887045254</v>
      </c>
      <c r="BH114">
        <f t="shared" si="152"/>
        <v>1.8263600412251484</v>
      </c>
      <c r="BJ114" s="7">
        <v>102</v>
      </c>
      <c r="BK114">
        <f t="shared" si="213"/>
        <v>182.65057271825586</v>
      </c>
      <c r="BL114">
        <f t="shared" si="214"/>
        <v>18.906695423602553</v>
      </c>
      <c r="BM114">
        <f t="shared" si="215"/>
        <v>130.17638699548613</v>
      </c>
      <c r="BN114">
        <f t="shared" si="216"/>
        <v>203.0021095149103</v>
      </c>
      <c r="BO114">
        <f t="shared" si="217"/>
        <v>96.320649952449628</v>
      </c>
      <c r="BP114">
        <f t="shared" si="218"/>
        <v>8.7379625044021854</v>
      </c>
      <c r="BQ114">
        <f t="shared" si="219"/>
        <v>42.022613928305518</v>
      </c>
      <c r="BR114">
        <f t="shared" si="220"/>
        <v>10.278184981004824</v>
      </c>
      <c r="BS114">
        <f t="shared" si="221"/>
        <v>289.32678195805954</v>
      </c>
      <c r="BT114">
        <f t="shared" si="222"/>
        <v>311.48137642959182</v>
      </c>
      <c r="BU114">
        <f t="shared" si="223"/>
        <v>8.1966320196622799</v>
      </c>
      <c r="BV114">
        <f t="shared" si="224"/>
        <v>35.416167762366705</v>
      </c>
      <c r="BW114">
        <f t="shared" si="225"/>
        <v>167.8071139800457</v>
      </c>
      <c r="BX114">
        <f t="shared" si="226"/>
        <v>53.331938951614845</v>
      </c>
      <c r="BY114">
        <f t="shared" si="227"/>
        <v>97.543335677970433</v>
      </c>
      <c r="BZ114">
        <f t="shared" si="228"/>
        <v>147.46148449615995</v>
      </c>
      <c r="CA114">
        <f t="shared" si="229"/>
        <v>34.421002561032829</v>
      </c>
      <c r="CB114">
        <f t="shared" si="230"/>
        <v>27.420495985705408</v>
      </c>
      <c r="CC114">
        <f t="shared" si="231"/>
        <v>13.384350116491428</v>
      </c>
      <c r="CD114">
        <f t="shared" si="232"/>
        <v>172.12590410808977</v>
      </c>
      <c r="CE114">
        <f t="shared" si="233"/>
        <v>67.853510981880973</v>
      </c>
      <c r="CF114">
        <f t="shared" si="234"/>
        <v>163.88067197008775</v>
      </c>
      <c r="CG114">
        <f t="shared" si="235"/>
        <v>0.55112822431977371</v>
      </c>
      <c r="CH114">
        <f t="shared" si="236"/>
        <v>73.608752095505039</v>
      </c>
      <c r="CI114">
        <f t="shared" si="237"/>
        <v>112.30600260254451</v>
      </c>
      <c r="CJ114" s="7">
        <v>102</v>
      </c>
      <c r="CK114" s="13">
        <f t="shared" si="178"/>
        <v>32.013895100616374</v>
      </c>
      <c r="CL114">
        <f t="shared" si="179"/>
        <v>3.8154959000433308</v>
      </c>
      <c r="CM114">
        <f t="shared" si="180"/>
        <v>28.198399200573043</v>
      </c>
      <c r="CN114">
        <f t="shared" si="181"/>
        <v>35.829391000659705</v>
      </c>
      <c r="CO114">
        <f t="shared" si="182"/>
        <v>7.6309918000866617</v>
      </c>
      <c r="CP114">
        <f t="shared" si="183"/>
        <v>24.382903300529712</v>
      </c>
      <c r="CQ114">
        <f t="shared" si="184"/>
        <v>39.644886900703035</v>
      </c>
      <c r="CR114">
        <f t="shared" si="185"/>
        <v>11.446487700129993</v>
      </c>
      <c r="CS114">
        <f t="shared" si="186"/>
        <v>20.567407400486381</v>
      </c>
      <c r="CT114">
        <f t="shared" si="187"/>
        <v>43.460382800746366</v>
      </c>
    </row>
    <row r="115" spans="1:98" x14ac:dyDescent="0.25">
      <c r="A115" s="7">
        <v>104</v>
      </c>
      <c r="B115" s="9">
        <f t="shared" si="146"/>
        <v>33.087718720652632</v>
      </c>
      <c r="C115">
        <v>0.83440656758323928</v>
      </c>
      <c r="D115">
        <v>0.33732108523819693</v>
      </c>
      <c r="E115">
        <v>0.18063905758842735</v>
      </c>
      <c r="F115">
        <v>0.33964049195837265</v>
      </c>
      <c r="G115">
        <v>-0.43955809198278761</v>
      </c>
      <c r="H115">
        <v>-0.48954741050447093</v>
      </c>
      <c r="I115">
        <v>-0.29526657918027288</v>
      </c>
      <c r="J115">
        <v>-0.65654469435712759</v>
      </c>
      <c r="K115">
        <v>-0.3010040589617603</v>
      </c>
      <c r="L115">
        <v>7.5380718405713143E-3</v>
      </c>
      <c r="M115">
        <v>0.38566240424817644</v>
      </c>
      <c r="N115">
        <v>5.4109317300943038E-2</v>
      </c>
      <c r="O115">
        <v>-0.50126651814325385</v>
      </c>
      <c r="P115">
        <v>0.23947874385815004</v>
      </c>
      <c r="Q115">
        <v>0.5186010315256202</v>
      </c>
      <c r="R115">
        <v>6.4088869899592282E-4</v>
      </c>
      <c r="S115">
        <v>0.12674336985381629</v>
      </c>
      <c r="T115">
        <v>0.44065675832392337</v>
      </c>
      <c r="U115">
        <v>-0.80535294656208989</v>
      </c>
      <c r="V115">
        <v>-0.4719687490462966</v>
      </c>
      <c r="W115">
        <v>0.69396038697470019</v>
      </c>
      <c r="X115">
        <v>-0.15829950865199749</v>
      </c>
      <c r="Y115">
        <v>3.1586657307657084E-2</v>
      </c>
      <c r="Z115">
        <v>0.85460982085634929</v>
      </c>
      <c r="AA115">
        <v>0.3315836054567094</v>
      </c>
      <c r="AC115" s="7">
        <v>104</v>
      </c>
      <c r="AD115">
        <f t="shared" si="188"/>
        <v>44.618181478692989</v>
      </c>
      <c r="AE115">
        <f t="shared" si="189"/>
        <v>37.749077298049947</v>
      </c>
      <c r="AF115">
        <f t="shared" si="190"/>
        <v>35.583926213606105</v>
      </c>
      <c r="AG115">
        <f t="shared" si="191"/>
        <v>37.781128619128587</v>
      </c>
      <c r="AH115">
        <f t="shared" si="192"/>
        <v>27.013571648341625</v>
      </c>
      <c r="AI115">
        <f t="shared" si="193"/>
        <v>26.32278133351517</v>
      </c>
      <c r="AJ115">
        <f t="shared" si="194"/>
        <v>29.007501201760107</v>
      </c>
      <c r="AK115">
        <f t="shared" si="195"/>
        <v>24.015086215853167</v>
      </c>
      <c r="AL115">
        <f t="shared" si="196"/>
        <v>28.928216354881371</v>
      </c>
      <c r="AM115">
        <f t="shared" si="197"/>
        <v>33.191885514158209</v>
      </c>
      <c r="AN115">
        <f t="shared" si="198"/>
        <v>38.417094305794215</v>
      </c>
      <c r="AO115">
        <f t="shared" si="199"/>
        <v>33.835442303184564</v>
      </c>
      <c r="AP115">
        <f t="shared" si="200"/>
        <v>26.160837816486257</v>
      </c>
      <c r="AQ115">
        <f t="shared" si="201"/>
        <v>36.397017622022105</v>
      </c>
      <c r="AR115">
        <f t="shared" si="202"/>
        <v>40.254141077090935</v>
      </c>
      <c r="AS115">
        <f t="shared" si="203"/>
        <v>33.096575006740153</v>
      </c>
      <c r="AT115">
        <f t="shared" si="204"/>
        <v>34.839154726436675</v>
      </c>
      <c r="AU115">
        <f t="shared" si="205"/>
        <v>39.177047997685101</v>
      </c>
      <c r="AV115">
        <f t="shared" si="206"/>
        <v>21.95874093191312</v>
      </c>
      <c r="AW115">
        <f t="shared" si="207"/>
        <v>26.565696609058538</v>
      </c>
      <c r="AX115">
        <f t="shared" si="208"/>
        <v>42.677389641799614</v>
      </c>
      <c r="AY115">
        <f t="shared" si="209"/>
        <v>30.900216057035522</v>
      </c>
      <c r="AZ115">
        <f t="shared" si="210"/>
        <v>33.52420710639462</v>
      </c>
      <c r="BA115">
        <f t="shared" si="211"/>
        <v>44.897365354404286</v>
      </c>
      <c r="BB115">
        <f t="shared" si="212"/>
        <v>37.669792451171212</v>
      </c>
      <c r="BC115" s="2">
        <f t="shared" si="147"/>
        <v>33.783282995408179</v>
      </c>
      <c r="BD115">
        <f t="shared" si="148"/>
        <v>40.540320807546472</v>
      </c>
      <c r="BE115">
        <f t="shared" si="149"/>
        <v>6.3671281444263768</v>
      </c>
      <c r="BF115" s="12">
        <f t="shared" si="150"/>
        <v>32.824627468181411</v>
      </c>
      <c r="BG115">
        <f t="shared" si="151"/>
        <v>0.95865552722676739</v>
      </c>
      <c r="BH115">
        <f t="shared" si="152"/>
        <v>0.91902041988243133</v>
      </c>
      <c r="BJ115" s="7">
        <v>103</v>
      </c>
      <c r="BK115">
        <f t="shared" si="213"/>
        <v>238.86014317271872</v>
      </c>
      <c r="BL115">
        <f t="shared" si="214"/>
        <v>14.495316862335676</v>
      </c>
      <c r="BM115">
        <f t="shared" si="215"/>
        <v>64.415381553778673</v>
      </c>
      <c r="BN115">
        <f t="shared" si="216"/>
        <v>39.470870361989775</v>
      </c>
      <c r="BO115">
        <f t="shared" si="217"/>
        <v>195.9452393148164</v>
      </c>
      <c r="BP115">
        <f t="shared" si="218"/>
        <v>0.41355013103399169</v>
      </c>
      <c r="BQ115">
        <f t="shared" si="219"/>
        <v>141.71672985814558</v>
      </c>
      <c r="BR115">
        <f t="shared" si="220"/>
        <v>104.78433888848417</v>
      </c>
      <c r="BS115">
        <f t="shared" si="221"/>
        <v>248.59144738292744</v>
      </c>
      <c r="BT115">
        <f t="shared" si="222"/>
        <v>3.632998588847379</v>
      </c>
      <c r="BU115">
        <f t="shared" si="223"/>
        <v>87.082435998510007</v>
      </c>
      <c r="BV115">
        <f t="shared" si="224"/>
        <v>54.72338902694672</v>
      </c>
      <c r="BW115">
        <f t="shared" si="225"/>
        <v>17.298636580094911</v>
      </c>
      <c r="BX115">
        <f t="shared" si="226"/>
        <v>236.98358123372444</v>
      </c>
      <c r="BY115">
        <f t="shared" si="227"/>
        <v>145.59905372799579</v>
      </c>
      <c r="BZ115">
        <f t="shared" si="228"/>
        <v>310.52228522712682</v>
      </c>
      <c r="CA115">
        <f t="shared" si="229"/>
        <v>7.1174201809736576E-2</v>
      </c>
      <c r="CB115">
        <f t="shared" si="230"/>
        <v>71.743583719583341</v>
      </c>
      <c r="CC115">
        <f t="shared" si="231"/>
        <v>91.848638359110367</v>
      </c>
      <c r="CD115">
        <f t="shared" si="232"/>
        <v>15.626617474950182</v>
      </c>
      <c r="CE115">
        <f t="shared" si="233"/>
        <v>89.939804702318199</v>
      </c>
      <c r="CF115">
        <f t="shared" si="234"/>
        <v>200.68870393747775</v>
      </c>
      <c r="CG115">
        <f t="shared" si="235"/>
        <v>104.83040254589726</v>
      </c>
      <c r="CH115">
        <f t="shared" si="236"/>
        <v>15.896648918909213</v>
      </c>
      <c r="CI115">
        <f t="shared" si="237"/>
        <v>21.080006519591354</v>
      </c>
      <c r="CJ115" s="7">
        <v>103</v>
      </c>
      <c r="CK115" s="13">
        <f t="shared" si="178"/>
        <v>32.298501714238235</v>
      </c>
      <c r="CL115">
        <f t="shared" si="179"/>
        <v>3.8647180654311617</v>
      </c>
      <c r="CM115">
        <f t="shared" si="180"/>
        <v>28.433783648807072</v>
      </c>
      <c r="CN115">
        <f t="shared" si="181"/>
        <v>36.163219779669397</v>
      </c>
      <c r="CO115">
        <f t="shared" si="182"/>
        <v>7.7294361308623234</v>
      </c>
      <c r="CP115">
        <f t="shared" si="183"/>
        <v>24.56906558337591</v>
      </c>
      <c r="CQ115">
        <f t="shared" si="184"/>
        <v>40.02793784510056</v>
      </c>
      <c r="CR115">
        <f t="shared" si="185"/>
        <v>11.594154196293484</v>
      </c>
      <c r="CS115">
        <f t="shared" si="186"/>
        <v>20.70434751794475</v>
      </c>
      <c r="CT115">
        <f t="shared" si="187"/>
        <v>43.892655910531715</v>
      </c>
    </row>
    <row r="116" spans="1:98" x14ac:dyDescent="0.25">
      <c r="A116" s="7">
        <v>105</v>
      </c>
      <c r="B116" s="9">
        <f t="shared" si="146"/>
        <v>33.379303120702389</v>
      </c>
      <c r="C116">
        <v>0.69029816583758041</v>
      </c>
      <c r="D116">
        <v>0.36124759666737871</v>
      </c>
      <c r="E116">
        <v>0.75872066408276617</v>
      </c>
      <c r="F116">
        <v>-0.61894589068269901</v>
      </c>
      <c r="G116">
        <v>0.93218787194433417</v>
      </c>
      <c r="H116">
        <v>0.43729972228156377</v>
      </c>
      <c r="I116">
        <v>-0.79277932065797907</v>
      </c>
      <c r="J116">
        <v>0.75920896023438211</v>
      </c>
      <c r="K116">
        <v>0.36472670674764252</v>
      </c>
      <c r="L116">
        <v>0.22415845210119945</v>
      </c>
      <c r="M116">
        <v>-0.76244392223883783</v>
      </c>
      <c r="N116">
        <v>-0.43797112949003569</v>
      </c>
      <c r="O116">
        <v>7.5594347972045117E-2</v>
      </c>
      <c r="P116">
        <v>0.33103427228614146</v>
      </c>
      <c r="Q116">
        <v>0.40586565752128667</v>
      </c>
      <c r="R116">
        <v>-3.0426953947569224E-2</v>
      </c>
      <c r="S116">
        <v>-2.096621601001003E-2</v>
      </c>
      <c r="T116">
        <v>0.65263832514420006</v>
      </c>
      <c r="U116">
        <v>-0.88531144138920259</v>
      </c>
      <c r="V116">
        <v>-0.48661763359477528</v>
      </c>
      <c r="W116">
        <v>0.26255073702200393</v>
      </c>
      <c r="X116">
        <v>-0.7202063051240577</v>
      </c>
      <c r="Y116">
        <v>0.13174840540787991</v>
      </c>
      <c r="Z116">
        <v>-0.22977385784478288</v>
      </c>
      <c r="AA116">
        <v>-0.4438917203283792</v>
      </c>
      <c r="AC116" s="7">
        <v>105</v>
      </c>
      <c r="AD116">
        <f t="shared" si="188"/>
        <v>42.918366692777838</v>
      </c>
      <c r="AE116">
        <f t="shared" si="189"/>
        <v>38.3712963787004</v>
      </c>
      <c r="AF116">
        <f t="shared" si="190"/>
        <v>43.863880664597687</v>
      </c>
      <c r="AG116">
        <f t="shared" si="191"/>
        <v>24.826239399704015</v>
      </c>
      <c r="AH116">
        <f t="shared" si="192"/>
        <v>46.260982098952738</v>
      </c>
      <c r="AI116">
        <f t="shared" si="193"/>
        <v>39.422242327752613</v>
      </c>
      <c r="AJ116">
        <f t="shared" si="194"/>
        <v>22.424077230441814</v>
      </c>
      <c r="AK116">
        <f t="shared" si="195"/>
        <v>43.870628311140557</v>
      </c>
      <c r="AL116">
        <f t="shared" si="196"/>
        <v>38.41937336031836</v>
      </c>
      <c r="AM116">
        <f t="shared" si="197"/>
        <v>36.47689461178927</v>
      </c>
      <c r="AN116">
        <f t="shared" si="198"/>
        <v>22.843274771917699</v>
      </c>
      <c r="AO116">
        <f t="shared" si="199"/>
        <v>27.327085899655714</v>
      </c>
      <c r="AP116">
        <f t="shared" si="200"/>
        <v>34.423923151120661</v>
      </c>
      <c r="AQ116">
        <f t="shared" si="201"/>
        <v>37.953785748860234</v>
      </c>
      <c r="AR116">
        <f t="shared" si="202"/>
        <v>38.987862581555277</v>
      </c>
      <c r="AS116">
        <f t="shared" si="203"/>
        <v>32.95884039549972</v>
      </c>
      <c r="AT116">
        <f t="shared" si="204"/>
        <v>33.089576047267848</v>
      </c>
      <c r="AU116">
        <f t="shared" si="205"/>
        <v>42.397954453158889</v>
      </c>
      <c r="AV116">
        <f t="shared" si="206"/>
        <v>21.145398210567691</v>
      </c>
      <c r="AW116">
        <f t="shared" si="207"/>
        <v>26.654851612822153</v>
      </c>
      <c r="AX116">
        <f t="shared" si="208"/>
        <v>37.007428321222534</v>
      </c>
      <c r="AY116">
        <f t="shared" si="209"/>
        <v>23.42694619787607</v>
      </c>
      <c r="AZ116">
        <f t="shared" si="210"/>
        <v>35.199902503550867</v>
      </c>
      <c r="BA116">
        <f t="shared" si="211"/>
        <v>30.204113694372488</v>
      </c>
      <c r="BB116">
        <f t="shared" si="212"/>
        <v>27.245270685323398</v>
      </c>
      <c r="BC116" s="2">
        <f t="shared" si="147"/>
        <v>33.908807814037871</v>
      </c>
      <c r="BD116">
        <f t="shared" si="148"/>
        <v>58.347994807291194</v>
      </c>
      <c r="BE116">
        <f t="shared" si="149"/>
        <v>7.6385859167316559</v>
      </c>
      <c r="BF116" s="12">
        <f t="shared" si="150"/>
        <v>33.112729686478822</v>
      </c>
      <c r="BG116">
        <f t="shared" si="151"/>
        <v>0.79607812755904916</v>
      </c>
      <c r="BH116">
        <f t="shared" si="152"/>
        <v>0.63374038517792175</v>
      </c>
      <c r="BJ116" s="7">
        <v>104</v>
      </c>
      <c r="BK116">
        <f t="shared" si="213"/>
        <v>87.497015427528851</v>
      </c>
      <c r="BL116">
        <f t="shared" si="214"/>
        <v>7.2803234622464039</v>
      </c>
      <c r="BM116">
        <f t="shared" si="215"/>
        <v>15.983121785462037</v>
      </c>
      <c r="BN116">
        <f t="shared" si="216"/>
        <v>286.90473952862106</v>
      </c>
      <c r="BO116">
        <f t="shared" si="217"/>
        <v>5.8382868156224594</v>
      </c>
      <c r="BP116">
        <f t="shared" si="218"/>
        <v>18.202124873738786</v>
      </c>
      <c r="BQ116">
        <f t="shared" si="219"/>
        <v>1.139324571080286</v>
      </c>
      <c r="BR116">
        <f t="shared" si="220"/>
        <v>44.617999749107923</v>
      </c>
      <c r="BS116">
        <f t="shared" si="221"/>
        <v>65.736244931255541</v>
      </c>
      <c r="BT116">
        <f t="shared" si="222"/>
        <v>19.923169041099971</v>
      </c>
      <c r="BU116">
        <f t="shared" si="223"/>
        <v>9.5028595528681734</v>
      </c>
      <c r="BV116">
        <f t="shared" si="224"/>
        <v>5.0210358656870617E-2</v>
      </c>
      <c r="BW116">
        <f t="shared" si="225"/>
        <v>78.620892140674528</v>
      </c>
      <c r="BX116">
        <f t="shared" si="226"/>
        <v>1.0413705710506409</v>
      </c>
      <c r="BY116">
        <f t="shared" si="227"/>
        <v>56.066410152745078</v>
      </c>
      <c r="BZ116">
        <f t="shared" si="228"/>
        <v>57.295226448819008</v>
      </c>
      <c r="CA116">
        <f t="shared" si="229"/>
        <v>39.863333341278818</v>
      </c>
      <c r="CB116">
        <f t="shared" si="230"/>
        <v>3.3163567159433693</v>
      </c>
      <c r="CC116">
        <f t="shared" si="231"/>
        <v>169.60757122621146</v>
      </c>
      <c r="CD116">
        <f t="shared" si="232"/>
        <v>42.985004081004362</v>
      </c>
      <c r="CE116">
        <f t="shared" si="233"/>
        <v>31.95906516734026</v>
      </c>
      <c r="CF116">
        <f t="shared" si="234"/>
        <v>21.912920283677593</v>
      </c>
      <c r="CG116">
        <f t="shared" si="235"/>
        <v>2.7537838782976391E-2</v>
      </c>
      <c r="CH116">
        <f t="shared" si="236"/>
        <v>84.10551507524508</v>
      </c>
      <c r="CI116">
        <f t="shared" si="237"/>
        <v>32.585203397382976</v>
      </c>
      <c r="CJ116" s="7">
        <v>104</v>
      </c>
      <c r="CK116" s="13">
        <f t="shared" si="178"/>
        <v>32.583108327860103</v>
      </c>
      <c r="CL116">
        <f t="shared" si="179"/>
        <v>3.9139985938698101</v>
      </c>
      <c r="CM116">
        <f t="shared" si="180"/>
        <v>28.669109733990293</v>
      </c>
      <c r="CN116">
        <f t="shared" si="181"/>
        <v>36.497106921729916</v>
      </c>
      <c r="CO116">
        <f t="shared" si="182"/>
        <v>7.8279971877396202</v>
      </c>
      <c r="CP116">
        <f t="shared" si="183"/>
        <v>24.755111140120484</v>
      </c>
      <c r="CQ116">
        <f t="shared" si="184"/>
        <v>40.411105515599722</v>
      </c>
      <c r="CR116">
        <f t="shared" si="185"/>
        <v>11.741995781609431</v>
      </c>
      <c r="CS116">
        <f t="shared" si="186"/>
        <v>20.84111254625067</v>
      </c>
      <c r="CT116">
        <f t="shared" si="187"/>
        <v>44.325104109469535</v>
      </c>
    </row>
    <row r="117" spans="1:98" x14ac:dyDescent="0.25">
      <c r="A117" s="7">
        <v>106</v>
      </c>
      <c r="B117" s="9">
        <f t="shared" si="146"/>
        <v>33.670887520752146</v>
      </c>
      <c r="C117">
        <v>-0.75823236793115023</v>
      </c>
      <c r="D117">
        <v>0.61253700369273956</v>
      </c>
      <c r="E117">
        <v>-0.45585497604297009</v>
      </c>
      <c r="F117">
        <v>-0.36368907742545853</v>
      </c>
      <c r="G117">
        <v>-0.35685293130283513</v>
      </c>
      <c r="H117">
        <v>0.9395733512375255</v>
      </c>
      <c r="I117">
        <v>-0.40122684408093512</v>
      </c>
      <c r="J117">
        <v>-0.52140873439741209</v>
      </c>
      <c r="K117">
        <v>0.75786614581743827</v>
      </c>
      <c r="L117">
        <v>-0.30979338969084746</v>
      </c>
      <c r="M117">
        <v>-0.99639881588183232</v>
      </c>
      <c r="N117">
        <v>0.46928312021240881</v>
      </c>
      <c r="O117">
        <v>-0.3570970793786431</v>
      </c>
      <c r="P117">
        <v>-0.95367290261543625</v>
      </c>
      <c r="Q117">
        <v>0.15567491683706169</v>
      </c>
      <c r="R117">
        <v>-0.40971098971526232</v>
      </c>
      <c r="S117">
        <v>-0.16641743217261273</v>
      </c>
      <c r="T117">
        <v>-4.2573320719016094E-2</v>
      </c>
      <c r="U117">
        <v>0.53929258095034638</v>
      </c>
      <c r="V117">
        <v>0.3894466994232002</v>
      </c>
      <c r="W117">
        <v>-0.31614123966185492</v>
      </c>
      <c r="X117">
        <v>-0.62950529496139407</v>
      </c>
      <c r="Y117">
        <v>0.28720969267860963</v>
      </c>
      <c r="Z117">
        <v>0.54771568956572159</v>
      </c>
      <c r="AA117">
        <v>0.91338847010711999</v>
      </c>
      <c r="AC117" s="7">
        <v>106</v>
      </c>
      <c r="AD117">
        <f t="shared" si="188"/>
        <v>23.193057623399717</v>
      </c>
      <c r="AE117">
        <f t="shared" si="189"/>
        <v>42.135388380875327</v>
      </c>
      <c r="AF117">
        <f t="shared" si="190"/>
        <v>27.371537745072807</v>
      </c>
      <c r="AG117">
        <f t="shared" si="191"/>
        <v>28.645156030039775</v>
      </c>
      <c r="AH117">
        <f t="shared" si="192"/>
        <v>28.739623081639973</v>
      </c>
      <c r="AI117">
        <f t="shared" si="193"/>
        <v>46.65462465296342</v>
      </c>
      <c r="AJ117">
        <f t="shared" si="194"/>
        <v>28.126430702056538</v>
      </c>
      <c r="AK117">
        <f t="shared" si="195"/>
        <v>26.465666196692325</v>
      </c>
      <c r="AL117">
        <f t="shared" si="196"/>
        <v>44.14365668319742</v>
      </c>
      <c r="AM117">
        <f t="shared" si="197"/>
        <v>29.389927517209202</v>
      </c>
      <c r="AN117">
        <f t="shared" si="198"/>
        <v>19.901893022114216</v>
      </c>
      <c r="AO117">
        <f t="shared" si="199"/>
        <v>40.155797576360449</v>
      </c>
      <c r="AP117">
        <f t="shared" si="200"/>
        <v>28.736249258368538</v>
      </c>
      <c r="AQ117">
        <f t="shared" si="201"/>
        <v>20.49231209461546</v>
      </c>
      <c r="AR117">
        <f t="shared" si="202"/>
        <v>35.822121584201319</v>
      </c>
      <c r="AS117">
        <f t="shared" si="203"/>
        <v>28.009190343374151</v>
      </c>
      <c r="AT117">
        <f t="shared" si="204"/>
        <v>31.371205233359802</v>
      </c>
      <c r="AU117">
        <f t="shared" si="205"/>
        <v>33.082577087795549</v>
      </c>
      <c r="AV117">
        <f t="shared" si="206"/>
        <v>41.12324139944463</v>
      </c>
      <c r="AW117">
        <f t="shared" si="207"/>
        <v>39.052557366600979</v>
      </c>
      <c r="AX117">
        <f t="shared" si="208"/>
        <v>29.302208112151874</v>
      </c>
      <c r="AY117">
        <f t="shared" si="209"/>
        <v>24.971905943264183</v>
      </c>
      <c r="AZ117">
        <f t="shared" si="210"/>
        <v>37.639768871687295</v>
      </c>
      <c r="BA117">
        <f t="shared" si="211"/>
        <v>41.23963830230916</v>
      </c>
      <c r="BB117">
        <f t="shared" si="212"/>
        <v>46.292782107101942</v>
      </c>
      <c r="BC117" s="2">
        <f t="shared" si="147"/>
        <v>32.882340676635849</v>
      </c>
      <c r="BD117">
        <f t="shared" si="148"/>
        <v>63.248904828811341</v>
      </c>
      <c r="BE117">
        <f t="shared" si="149"/>
        <v>7.9529180071726717</v>
      </c>
      <c r="BF117" s="12">
        <f t="shared" si="150"/>
        <v>33.400831904776233</v>
      </c>
      <c r="BG117">
        <f t="shared" si="151"/>
        <v>-0.51849122814038395</v>
      </c>
      <c r="BH117">
        <f t="shared" si="152"/>
        <v>0.26883315365852367</v>
      </c>
      <c r="BJ117" s="7">
        <v>105</v>
      </c>
      <c r="BK117">
        <f t="shared" si="213"/>
        <v>53.670151942437215</v>
      </c>
      <c r="BL117">
        <f t="shared" si="214"/>
        <v>9.0775468286938228</v>
      </c>
      <c r="BM117">
        <f t="shared" si="215"/>
        <v>143.61807018407481</v>
      </c>
      <c r="BN117">
        <f t="shared" si="216"/>
        <v>14.886095526468921</v>
      </c>
      <c r="BO117">
        <f t="shared" si="217"/>
        <v>275.29646968779196</v>
      </c>
      <c r="BP117">
        <f t="shared" si="218"/>
        <v>73.479461145178036</v>
      </c>
      <c r="BQ117">
        <f t="shared" si="219"/>
        <v>62.753038037361549</v>
      </c>
      <c r="BR117">
        <f t="shared" si="220"/>
        <v>166.68594914040511</v>
      </c>
      <c r="BS117">
        <f t="shared" si="221"/>
        <v>1.0552475261725298</v>
      </c>
      <c r="BT117">
        <f t="shared" si="222"/>
        <v>56.398630800854725</v>
      </c>
      <c r="BU117">
        <f t="shared" si="223"/>
        <v>163.51526279958813</v>
      </c>
      <c r="BV117">
        <f t="shared" si="224"/>
        <v>43.362219706659339</v>
      </c>
      <c r="BW117">
        <f t="shared" si="225"/>
        <v>0.88465606440169486</v>
      </c>
      <c r="BX117">
        <f t="shared" si="226"/>
        <v>5.2215401995524156</v>
      </c>
      <c r="BY117">
        <f t="shared" si="227"/>
        <v>35.048712685591816</v>
      </c>
      <c r="BZ117">
        <f t="shared" si="228"/>
        <v>52.59508063578653</v>
      </c>
      <c r="CA117">
        <f t="shared" si="229"/>
        <v>18.557898719720917</v>
      </c>
      <c r="CB117">
        <f t="shared" si="230"/>
        <v>22.055403157725724</v>
      </c>
      <c r="CC117">
        <f t="shared" si="231"/>
        <v>199.89339741887619</v>
      </c>
      <c r="CD117">
        <f t="shared" si="232"/>
        <v>45.776194641833598</v>
      </c>
      <c r="CE117">
        <f t="shared" si="233"/>
        <v>0.1254218585223168</v>
      </c>
      <c r="CF117">
        <f t="shared" si="234"/>
        <v>155.70530810287462</v>
      </c>
      <c r="CG117">
        <f t="shared" si="235"/>
        <v>2.4838584828186163</v>
      </c>
      <c r="CH117">
        <f t="shared" si="236"/>
        <v>34.087196147480505</v>
      </c>
      <c r="CI117">
        <f t="shared" si="237"/>
        <v>24.940664334476455</v>
      </c>
      <c r="CJ117" s="7">
        <v>105</v>
      </c>
      <c r="CK117" s="13">
        <f t="shared" si="178"/>
        <v>32.867714941481964</v>
      </c>
      <c r="CL117">
        <f t="shared" si="179"/>
        <v>3.9633353082829204</v>
      </c>
      <c r="CM117">
        <f t="shared" si="180"/>
        <v>28.904379633199042</v>
      </c>
      <c r="CN117">
        <f t="shared" si="181"/>
        <v>36.831050249764886</v>
      </c>
      <c r="CO117">
        <f t="shared" si="182"/>
        <v>7.9266706165658407</v>
      </c>
      <c r="CP117">
        <f t="shared" si="183"/>
        <v>24.941044324916124</v>
      </c>
      <c r="CQ117">
        <f t="shared" si="184"/>
        <v>40.794385558047807</v>
      </c>
      <c r="CR117">
        <f t="shared" si="185"/>
        <v>11.890005924848762</v>
      </c>
      <c r="CS117">
        <f t="shared" si="186"/>
        <v>20.977709016633202</v>
      </c>
      <c r="CT117">
        <f t="shared" si="187"/>
        <v>44.757720866330729</v>
      </c>
    </row>
    <row r="118" spans="1:98" x14ac:dyDescent="0.25">
      <c r="A118" s="7">
        <v>107</v>
      </c>
      <c r="B118" s="9">
        <f t="shared" si="146"/>
        <v>33.962471920801903</v>
      </c>
      <c r="C118">
        <v>0.83867915890987876</v>
      </c>
      <c r="D118">
        <v>-0.39561143833735157</v>
      </c>
      <c r="E118">
        <v>-0.14279610583819091</v>
      </c>
      <c r="F118">
        <v>-7.5960570085756962E-2</v>
      </c>
      <c r="G118">
        <v>0.82103946043275244</v>
      </c>
      <c r="H118">
        <v>-0.88189336832789089</v>
      </c>
      <c r="I118">
        <v>-0.57835627307962278</v>
      </c>
      <c r="J118">
        <v>-0.55125583666493727</v>
      </c>
      <c r="K118">
        <v>-1.3031403546250764E-2</v>
      </c>
      <c r="L118">
        <v>-0.7840510269478439</v>
      </c>
      <c r="M118">
        <v>-0.10818811609241008</v>
      </c>
      <c r="N118">
        <v>-0.90520950956755275</v>
      </c>
      <c r="O118">
        <v>-0.16373180333872495</v>
      </c>
      <c r="P118">
        <v>-0.56529435102389591</v>
      </c>
      <c r="Q118">
        <v>-0.45109408856471445</v>
      </c>
      <c r="R118">
        <v>0.34379100924710837</v>
      </c>
      <c r="S118">
        <v>-5.1606799523911229E-2</v>
      </c>
      <c r="T118">
        <v>-3.7385174108096608E-2</v>
      </c>
      <c r="U118">
        <v>4.7883541367839566E-2</v>
      </c>
      <c r="V118">
        <v>0.57152012695699939</v>
      </c>
      <c r="W118">
        <v>0.17331461531418801</v>
      </c>
      <c r="X118">
        <v>0.31736198004089489</v>
      </c>
      <c r="Y118">
        <v>0.63359477523117769</v>
      </c>
      <c r="Z118">
        <v>-0.35001678518021184</v>
      </c>
      <c r="AA118">
        <v>-0.92413098544267103</v>
      </c>
      <c r="AC118" s="7">
        <v>107</v>
      </c>
      <c r="AD118">
        <f t="shared" si="188"/>
        <v>45.55197658609238</v>
      </c>
      <c r="AE118">
        <f t="shared" si="189"/>
        <v>28.495613037349315</v>
      </c>
      <c r="AF118">
        <f t="shared" si="190"/>
        <v>31.989207034920959</v>
      </c>
      <c r="AG118">
        <f t="shared" si="191"/>
        <v>32.912791155476476</v>
      </c>
      <c r="AH118">
        <f t="shared" si="192"/>
        <v>45.308217854731154</v>
      </c>
      <c r="AI118">
        <f t="shared" si="193"/>
        <v>21.775800536467308</v>
      </c>
      <c r="AJ118">
        <f t="shared" si="194"/>
        <v>25.970306318679711</v>
      </c>
      <c r="AK118">
        <f t="shared" si="195"/>
        <v>26.344800701809071</v>
      </c>
      <c r="AL118">
        <f t="shared" si="196"/>
        <v>33.782394103689022</v>
      </c>
      <c r="AM118">
        <f t="shared" si="197"/>
        <v>23.127860212495154</v>
      </c>
      <c r="AN118">
        <f t="shared" si="198"/>
        <v>32.467446483646967</v>
      </c>
      <c r="AO118">
        <f t="shared" si="199"/>
        <v>21.453600414045198</v>
      </c>
      <c r="AP118">
        <f t="shared" si="200"/>
        <v>31.69990168939535</v>
      </c>
      <c r="AQ118">
        <f t="shared" si="201"/>
        <v>26.150805863701521</v>
      </c>
      <c r="AR118">
        <f t="shared" si="202"/>
        <v>27.72891169891556</v>
      </c>
      <c r="AS118">
        <f t="shared" si="203"/>
        <v>38.713236814892269</v>
      </c>
      <c r="AT118">
        <f t="shared" si="204"/>
        <v>33.249330026802184</v>
      </c>
      <c r="AU118">
        <f t="shared" si="205"/>
        <v>33.445855232363314</v>
      </c>
      <c r="AV118">
        <f t="shared" si="206"/>
        <v>34.624163009912223</v>
      </c>
      <c r="AW118">
        <f t="shared" si="207"/>
        <v>41.860170471323897</v>
      </c>
      <c r="AX118">
        <f t="shared" si="208"/>
        <v>36.357464715612302</v>
      </c>
      <c r="AY118">
        <f t="shared" si="209"/>
        <v>38.348020445759353</v>
      </c>
      <c r="AZ118">
        <f t="shared" si="210"/>
        <v>42.717965038086419</v>
      </c>
      <c r="BA118">
        <f t="shared" si="211"/>
        <v>29.125674533289928</v>
      </c>
      <c r="BB118">
        <f t="shared" si="212"/>
        <v>21.192129110508933</v>
      </c>
      <c r="BC118" s="2">
        <f t="shared" si="147"/>
        <v>32.175745723598638</v>
      </c>
      <c r="BD118">
        <f t="shared" si="148"/>
        <v>51.830042965680754</v>
      </c>
      <c r="BE118">
        <f t="shared" si="149"/>
        <v>7.1993085060775632</v>
      </c>
      <c r="BF118" s="12">
        <f t="shared" si="150"/>
        <v>33.688934123073643</v>
      </c>
      <c r="BG118">
        <f t="shared" si="151"/>
        <v>-1.5131883994750055</v>
      </c>
      <c r="BH118">
        <f t="shared" si="152"/>
        <v>2.289739132305729</v>
      </c>
      <c r="BJ118" s="7">
        <v>106</v>
      </c>
      <c r="BK118">
        <f t="shared" si="213"/>
        <v>161.98913281395338</v>
      </c>
      <c r="BL118">
        <f t="shared" si="214"/>
        <v>41.853899349535411</v>
      </c>
      <c r="BM118">
        <f t="shared" si="215"/>
        <v>23.059546418805628</v>
      </c>
      <c r="BN118">
        <f t="shared" si="216"/>
        <v>57.033367060580609</v>
      </c>
      <c r="BO118">
        <f t="shared" si="217"/>
        <v>1.3651442517449905</v>
      </c>
      <c r="BP118">
        <f t="shared" si="218"/>
        <v>241.5956824589899</v>
      </c>
      <c r="BQ118">
        <f t="shared" si="219"/>
        <v>6.2010666997424604</v>
      </c>
      <c r="BR118">
        <f t="shared" si="220"/>
        <v>22.652374130206976</v>
      </c>
      <c r="BS118">
        <f t="shared" si="221"/>
        <v>40.901400830427505</v>
      </c>
      <c r="BT118">
        <f t="shared" si="222"/>
        <v>3.3962968875683952E-2</v>
      </c>
      <c r="BU118">
        <f t="shared" si="223"/>
        <v>256.79582988910465</v>
      </c>
      <c r="BV118">
        <f t="shared" si="224"/>
        <v>35.319156334142747</v>
      </c>
      <c r="BW118">
        <f t="shared" si="225"/>
        <v>48.511783284947157</v>
      </c>
      <c r="BX118">
        <f t="shared" si="226"/>
        <v>239.27695173137849</v>
      </c>
      <c r="BY118">
        <f t="shared" si="227"/>
        <v>6.0180797204306993</v>
      </c>
      <c r="BZ118">
        <f t="shared" si="228"/>
        <v>4.5080492005526995</v>
      </c>
      <c r="CA118">
        <f t="shared" si="229"/>
        <v>5.4440190133005073</v>
      </c>
      <c r="CB118">
        <f t="shared" si="230"/>
        <v>24.648587870976936</v>
      </c>
      <c r="CC118">
        <f t="shared" si="231"/>
        <v>30.667237339138548</v>
      </c>
      <c r="CD118">
        <f t="shared" si="232"/>
        <v>28.443281593415968</v>
      </c>
      <c r="CE118">
        <f t="shared" si="233"/>
        <v>70.506129161116704</v>
      </c>
      <c r="CF118">
        <f t="shared" si="234"/>
        <v>126.72079588328916</v>
      </c>
      <c r="CG118">
        <f t="shared" si="235"/>
        <v>14.064585218568517</v>
      </c>
      <c r="CH118">
        <f t="shared" si="236"/>
        <v>23.824377084027617</v>
      </c>
      <c r="CI118">
        <f t="shared" si="237"/>
        <v>189.76611679460032</v>
      </c>
      <c r="CJ118" s="7">
        <v>106</v>
      </c>
      <c r="CK118" s="13">
        <f t="shared" si="178"/>
        <v>33.152321555103825</v>
      </c>
      <c r="CL118">
        <f t="shared" si="179"/>
        <v>4.0127261362410032</v>
      </c>
      <c r="CM118">
        <f t="shared" si="180"/>
        <v>29.139595418862822</v>
      </c>
      <c r="CN118">
        <f t="shared" si="181"/>
        <v>37.165047691344824</v>
      </c>
      <c r="CO118">
        <f t="shared" si="182"/>
        <v>8.0254522724820063</v>
      </c>
      <c r="CP118">
        <f t="shared" si="183"/>
        <v>25.126869282621819</v>
      </c>
      <c r="CQ118">
        <f t="shared" si="184"/>
        <v>41.177773827585831</v>
      </c>
      <c r="CR118">
        <f t="shared" si="185"/>
        <v>12.038178408723009</v>
      </c>
      <c r="CS118">
        <f t="shared" si="186"/>
        <v>21.114143146380815</v>
      </c>
      <c r="CT118">
        <f t="shared" si="187"/>
        <v>45.190499963826838</v>
      </c>
    </row>
    <row r="119" spans="1:98" x14ac:dyDescent="0.25">
      <c r="A119" s="7">
        <v>108</v>
      </c>
      <c r="B119" s="9">
        <f t="shared" si="146"/>
        <v>34.254056320851667</v>
      </c>
      <c r="C119">
        <v>-0.73772392956328015</v>
      </c>
      <c r="D119">
        <v>0.64189580980864891</v>
      </c>
      <c r="E119">
        <v>-0.30655842768639174</v>
      </c>
      <c r="F119">
        <v>0.94695883053071683</v>
      </c>
      <c r="G119">
        <v>-0.97662282174138615</v>
      </c>
      <c r="H119">
        <v>-0.90130314035462511</v>
      </c>
      <c r="I119">
        <v>-0.48796044801171912</v>
      </c>
      <c r="J119">
        <v>0.69322794274727628</v>
      </c>
      <c r="K119">
        <v>-0.130039368877224</v>
      </c>
      <c r="L119">
        <v>-0.77105014191106913</v>
      </c>
      <c r="M119">
        <v>0.33445234534745327</v>
      </c>
      <c r="N119">
        <v>0.91857661671803958</v>
      </c>
      <c r="O119">
        <v>0.12015137180700086</v>
      </c>
      <c r="P119">
        <v>0.68822290719321266</v>
      </c>
      <c r="Q119">
        <v>0.3630176702169865</v>
      </c>
      <c r="R119">
        <v>0.50920133060701311</v>
      </c>
      <c r="S119">
        <v>-0.36429944761497846</v>
      </c>
      <c r="T119">
        <v>-0.67064424573503834</v>
      </c>
      <c r="U119">
        <v>0.72307504501480158</v>
      </c>
      <c r="V119">
        <v>-0.96465956602679526</v>
      </c>
      <c r="W119">
        <v>-0.13272499771111179</v>
      </c>
      <c r="X119">
        <v>-0.68236335337382115</v>
      </c>
      <c r="Y119">
        <v>0.36948759422589794</v>
      </c>
      <c r="Z119">
        <v>0.28177739799188206</v>
      </c>
      <c r="AA119">
        <v>0.51243629261146895</v>
      </c>
      <c r="AC119" s="7">
        <v>108</v>
      </c>
      <c r="AD119">
        <f t="shared" si="188"/>
        <v>24.059627578299839</v>
      </c>
      <c r="AE119">
        <f t="shared" si="189"/>
        <v>43.12425942936499</v>
      </c>
      <c r="AF119">
        <f t="shared" si="190"/>
        <v>30.017799475655245</v>
      </c>
      <c r="AG119">
        <f t="shared" si="191"/>
        <v>47.339851607023874</v>
      </c>
      <c r="AH119">
        <f t="shared" si="192"/>
        <v>20.758341507200029</v>
      </c>
      <c r="AI119">
        <f t="shared" si="193"/>
        <v>21.799165986437934</v>
      </c>
      <c r="AJ119">
        <f t="shared" si="194"/>
        <v>27.511048784978534</v>
      </c>
      <c r="AK119">
        <f t="shared" si="195"/>
        <v>43.833605772184342</v>
      </c>
      <c r="AL119">
        <f t="shared" si="196"/>
        <v>32.457073700903237</v>
      </c>
      <c r="AM119">
        <f t="shared" si="197"/>
        <v>23.599100701748867</v>
      </c>
      <c r="AN119">
        <f t="shared" si="198"/>
        <v>38.875772474809615</v>
      </c>
      <c r="AO119">
        <f t="shared" si="199"/>
        <v>46.947644651719479</v>
      </c>
      <c r="AP119">
        <f t="shared" si="200"/>
        <v>35.914399098306951</v>
      </c>
      <c r="AQ119">
        <f t="shared" si="201"/>
        <v>43.764442395119914</v>
      </c>
      <c r="AR119">
        <f t="shared" si="202"/>
        <v>39.270509797567591</v>
      </c>
      <c r="AS119">
        <f t="shared" si="203"/>
        <v>41.290586481339702</v>
      </c>
      <c r="AT119">
        <f t="shared" si="204"/>
        <v>29.219890271960708</v>
      </c>
      <c r="AU119">
        <f t="shared" si="205"/>
        <v>24.986585522126788</v>
      </c>
      <c r="AV119">
        <f t="shared" si="206"/>
        <v>44.246055667117361</v>
      </c>
      <c r="AW119">
        <f t="shared" si="207"/>
        <v>20.923658847500377</v>
      </c>
      <c r="AX119">
        <f t="shared" si="208"/>
        <v>32.41996164491745</v>
      </c>
      <c r="AY119">
        <f t="shared" si="209"/>
        <v>24.824642005097878</v>
      </c>
      <c r="AZ119">
        <f t="shared" si="210"/>
        <v>39.359916114260635</v>
      </c>
      <c r="BA119">
        <f t="shared" si="211"/>
        <v>38.14787010399737</v>
      </c>
      <c r="BB119">
        <f t="shared" si="212"/>
        <v>41.335289639686223</v>
      </c>
      <c r="BC119" s="2">
        <f t="shared" si="147"/>
        <v>34.241083970372991</v>
      </c>
      <c r="BD119">
        <f t="shared" si="148"/>
        <v>78.576213814346076</v>
      </c>
      <c r="BE119">
        <f t="shared" si="149"/>
        <v>8.8643225242737014</v>
      </c>
      <c r="BF119" s="12">
        <f t="shared" si="150"/>
        <v>33.977036341371047</v>
      </c>
      <c r="BG119">
        <f t="shared" si="151"/>
        <v>0.26404762900194356</v>
      </c>
      <c r="BH119">
        <f t="shared" si="152"/>
        <v>6.9721150381548025E-2</v>
      </c>
      <c r="BJ119" s="7">
        <v>107</v>
      </c>
      <c r="BK119">
        <f t="shared" si="213"/>
        <v>86.550389809214124</v>
      </c>
      <c r="BL119">
        <f t="shared" si="214"/>
        <v>55.918183169244038</v>
      </c>
      <c r="BM119">
        <f t="shared" si="215"/>
        <v>0.22861287701492258</v>
      </c>
      <c r="BN119">
        <f t="shared" si="216"/>
        <v>136.76263944935346</v>
      </c>
      <c r="BO119">
        <f t="shared" si="217"/>
        <v>229.85912286757144</v>
      </c>
      <c r="BP119">
        <f t="shared" si="218"/>
        <v>92.093303898591728</v>
      </c>
      <c r="BQ119">
        <f t="shared" si="219"/>
        <v>24.178703966749985</v>
      </c>
      <c r="BR119">
        <f t="shared" si="220"/>
        <v>26.476136475702223</v>
      </c>
      <c r="BS119">
        <f t="shared" si="221"/>
        <v>18.679318496833304</v>
      </c>
      <c r="BT119">
        <f t="shared" si="222"/>
        <v>39.897180555544807</v>
      </c>
      <c r="BU119">
        <f t="shared" si="223"/>
        <v>14.10345652076481</v>
      </c>
      <c r="BV119">
        <f t="shared" si="224"/>
        <v>170.56163665385006</v>
      </c>
      <c r="BW119">
        <f t="shared" si="225"/>
        <v>18.819912111813306</v>
      </c>
      <c r="BX119">
        <f t="shared" si="226"/>
        <v>102.05566813969295</v>
      </c>
      <c r="BY119">
        <f t="shared" si="227"/>
        <v>35.299155773786772</v>
      </c>
      <c r="BZ119">
        <f t="shared" si="228"/>
        <v>159.96895330364569</v>
      </c>
      <c r="CA119">
        <f t="shared" si="229"/>
        <v>15.642752552362962</v>
      </c>
      <c r="CB119">
        <f t="shared" si="230"/>
        <v>24.474108838564309</v>
      </c>
      <c r="CC119">
        <f t="shared" si="231"/>
        <v>1.5950525350610387</v>
      </c>
      <c r="CD119">
        <f t="shared" si="232"/>
        <v>61.499578497256969</v>
      </c>
      <c r="CE119">
        <f t="shared" si="233"/>
        <v>2.8189042695802007</v>
      </c>
      <c r="CF119">
        <f t="shared" si="234"/>
        <v>3.2230364243496319</v>
      </c>
      <c r="CG119">
        <f t="shared" si="235"/>
        <v>73.322565689512786</v>
      </c>
      <c r="CH119">
        <f t="shared" si="236"/>
        <v>56.987702832670635</v>
      </c>
      <c r="CI119">
        <f t="shared" si="237"/>
        <v>134.62907297897141</v>
      </c>
      <c r="CJ119" s="7">
        <v>107</v>
      </c>
      <c r="CK119" s="13">
        <f t="shared" si="178"/>
        <v>33.436928168725686</v>
      </c>
      <c r="CL119">
        <f t="shared" si="179"/>
        <v>4.0621691038881647</v>
      </c>
      <c r="CM119">
        <f t="shared" si="180"/>
        <v>29.374759064837519</v>
      </c>
      <c r="CN119">
        <f t="shared" si="181"/>
        <v>37.499097272613852</v>
      </c>
      <c r="CO119">
        <f t="shared" si="182"/>
        <v>8.1243382077763293</v>
      </c>
      <c r="CP119">
        <f t="shared" si="183"/>
        <v>25.312589960949357</v>
      </c>
      <c r="CQ119">
        <f t="shared" si="184"/>
        <v>41.561266376502019</v>
      </c>
      <c r="CR119">
        <f t="shared" si="185"/>
        <v>12.186507311664494</v>
      </c>
      <c r="CS119">
        <f t="shared" si="186"/>
        <v>21.250420857061194</v>
      </c>
      <c r="CT119">
        <f t="shared" si="187"/>
        <v>45.623435480390178</v>
      </c>
    </row>
    <row r="120" spans="1:98" x14ac:dyDescent="0.25">
      <c r="A120" s="7">
        <v>109</v>
      </c>
      <c r="B120" s="9">
        <f t="shared" si="146"/>
        <v>34.545640720901432</v>
      </c>
      <c r="C120">
        <v>-0.5952024903103732</v>
      </c>
      <c r="D120">
        <v>0.51274147770622891</v>
      </c>
      <c r="E120">
        <v>-0.78044984282967622</v>
      </c>
      <c r="F120">
        <v>-0.14981536301767018</v>
      </c>
      <c r="G120">
        <v>0.17667165135654783</v>
      </c>
      <c r="H120">
        <v>0.12698751792962426</v>
      </c>
      <c r="I120">
        <v>-0.26798303170873139</v>
      </c>
      <c r="J120">
        <v>0.81353190710165713</v>
      </c>
      <c r="K120">
        <v>8.5421308023316156E-2</v>
      </c>
      <c r="L120">
        <v>-0.89751884517960145</v>
      </c>
      <c r="M120">
        <v>-0.59294412060914947</v>
      </c>
      <c r="N120">
        <v>-0.13760795922727131</v>
      </c>
      <c r="O120">
        <v>-0.9201025421918394</v>
      </c>
      <c r="P120">
        <v>0.6055177465132604</v>
      </c>
      <c r="Q120">
        <v>0.70818201239051493</v>
      </c>
      <c r="R120">
        <v>0.72075563829462563</v>
      </c>
      <c r="S120">
        <v>-0.35404522843104347</v>
      </c>
      <c r="T120">
        <v>-0.79302346873378704</v>
      </c>
      <c r="U120">
        <v>0.83697012237922297</v>
      </c>
      <c r="V120">
        <v>3.8422803430280483E-2</v>
      </c>
      <c r="W120">
        <v>6.9063386944181682E-2</v>
      </c>
      <c r="X120">
        <v>0.3443403424176763</v>
      </c>
      <c r="Y120">
        <v>-0.40031128879665512</v>
      </c>
      <c r="Z120">
        <v>-0.95782341990417186</v>
      </c>
      <c r="AA120">
        <v>-0.26737266151921135</v>
      </c>
      <c r="AC120" s="7">
        <v>109</v>
      </c>
      <c r="AD120">
        <f t="shared" si="188"/>
        <v>26.32068131305018</v>
      </c>
      <c r="AE120">
        <f t="shared" si="189"/>
        <v>41.631091318825284</v>
      </c>
      <c r="AF120">
        <f t="shared" si="190"/>
        <v>23.760792905848358</v>
      </c>
      <c r="AG120">
        <f t="shared" si="191"/>
        <v>32.475378415966716</v>
      </c>
      <c r="AH120">
        <f t="shared" si="192"/>
        <v>36.987023585694075</v>
      </c>
      <c r="AI120">
        <f t="shared" si="193"/>
        <v>36.300450549956913</v>
      </c>
      <c r="AJ120">
        <f t="shared" si="194"/>
        <v>30.842447952591847</v>
      </c>
      <c r="AK120">
        <f t="shared" si="195"/>
        <v>45.787641589234042</v>
      </c>
      <c r="AL120">
        <f t="shared" si="196"/>
        <v>35.726057137994992</v>
      </c>
      <c r="AM120">
        <f t="shared" si="197"/>
        <v>22.143044647194952</v>
      </c>
      <c r="AN120">
        <f t="shared" si="198"/>
        <v>26.351889178310959</v>
      </c>
      <c r="AO120">
        <f t="shared" si="199"/>
        <v>32.644069579538495</v>
      </c>
      <c r="AP120">
        <f t="shared" si="200"/>
        <v>21.830965994587149</v>
      </c>
      <c r="AQ120">
        <f t="shared" si="201"/>
        <v>42.913144161970841</v>
      </c>
      <c r="AR120">
        <f t="shared" si="202"/>
        <v>44.331836847609544</v>
      </c>
      <c r="AS120">
        <f t="shared" si="203"/>
        <v>44.505588746088478</v>
      </c>
      <c r="AT120">
        <f t="shared" si="204"/>
        <v>29.653175249410769</v>
      </c>
      <c r="AU120">
        <f t="shared" si="205"/>
        <v>23.587041007369422</v>
      </c>
      <c r="AV120">
        <f t="shared" si="206"/>
        <v>46.111528623291861</v>
      </c>
      <c r="AW120">
        <f t="shared" si="207"/>
        <v>35.076596158243625</v>
      </c>
      <c r="AX120">
        <f t="shared" si="208"/>
        <v>35.500010978808803</v>
      </c>
      <c r="AY120">
        <f t="shared" si="209"/>
        <v>39.303996717352526</v>
      </c>
      <c r="AZ120">
        <f t="shared" si="210"/>
        <v>29.013835739473709</v>
      </c>
      <c r="BA120">
        <f t="shared" si="211"/>
        <v>21.309710299150339</v>
      </c>
      <c r="BB120">
        <f t="shared" si="212"/>
        <v>30.850882510770436</v>
      </c>
      <c r="BC120" s="2">
        <f t="shared" si="147"/>
        <v>33.398355248333374</v>
      </c>
      <c r="BD120">
        <f t="shared" si="148"/>
        <v>63.682289031388336</v>
      </c>
      <c r="BE120">
        <f t="shared" si="149"/>
        <v>7.9801183594849228</v>
      </c>
      <c r="BF120" s="12">
        <f t="shared" si="150"/>
        <v>34.265138559668458</v>
      </c>
      <c r="BG120">
        <f t="shared" si="151"/>
        <v>-0.86678331133508379</v>
      </c>
      <c r="BH120">
        <f t="shared" si="152"/>
        <v>0.75131330880901281</v>
      </c>
      <c r="BJ120" s="7">
        <v>108</v>
      </c>
      <c r="BK120">
        <f t="shared" si="213"/>
        <v>156.68230923550504</v>
      </c>
      <c r="BL120">
        <f t="shared" si="214"/>
        <v>46.830350449464675</v>
      </c>
      <c r="BM120">
        <f t="shared" si="215"/>
        <v>7.525754006330267</v>
      </c>
      <c r="BN120">
        <f t="shared" si="216"/>
        <v>675.81766786449884</v>
      </c>
      <c r="BO120">
        <f t="shared" si="217"/>
        <v>92.695804740901522</v>
      </c>
      <c r="BP120">
        <f t="shared" si="218"/>
        <v>96.71168949553406</v>
      </c>
      <c r="BQ120">
        <f t="shared" si="219"/>
        <v>13.302856779742607</v>
      </c>
      <c r="BR120">
        <f t="shared" si="220"/>
        <v>145.8811798869103</v>
      </c>
      <c r="BS120">
        <f t="shared" si="221"/>
        <v>36.040734189574103</v>
      </c>
      <c r="BT120">
        <f t="shared" si="222"/>
        <v>37.012934557671038</v>
      </c>
      <c r="BU120">
        <f t="shared" si="223"/>
        <v>5.5540778637961301</v>
      </c>
      <c r="BV120">
        <f t="shared" si="224"/>
        <v>147.21938414075802</v>
      </c>
      <c r="BW120">
        <f t="shared" si="225"/>
        <v>0.21205976241299732</v>
      </c>
      <c r="BX120">
        <f t="shared" si="226"/>
        <v>52.116865529447296</v>
      </c>
      <c r="BY120">
        <f t="shared" si="227"/>
        <v>28.079527975625691</v>
      </c>
      <c r="BZ120">
        <f t="shared" si="228"/>
        <v>226.37769820451635</v>
      </c>
      <c r="CA120">
        <f t="shared" si="229"/>
        <v>0.10931140979027502</v>
      </c>
      <c r="CB120">
        <f t="shared" si="230"/>
        <v>189.11959934901967</v>
      </c>
      <c r="CC120">
        <f t="shared" si="231"/>
        <v>64.919478896935814</v>
      </c>
      <c r="CD120">
        <f t="shared" si="232"/>
        <v>179.37286820870645</v>
      </c>
      <c r="CE120">
        <f t="shared" si="233"/>
        <v>35.448751920352464</v>
      </c>
      <c r="CF120">
        <f t="shared" si="234"/>
        <v>145.24820552611473</v>
      </c>
      <c r="CG120">
        <f t="shared" si="235"/>
        <v>24.395659363187782</v>
      </c>
      <c r="CH120">
        <f t="shared" si="236"/>
        <v>1.3388739799471188</v>
      </c>
      <c r="CI120">
        <f t="shared" si="237"/>
        <v>68.265558631116036</v>
      </c>
      <c r="CJ120" s="7">
        <v>108</v>
      </c>
      <c r="CK120" s="13">
        <f t="shared" si="178"/>
        <v>33.721534782347547</v>
      </c>
      <c r="CL120">
        <f t="shared" si="179"/>
        <v>4.1116623302768751</v>
      </c>
      <c r="CM120">
        <f t="shared" si="180"/>
        <v>29.609872452070672</v>
      </c>
      <c r="CN120">
        <f t="shared" si="181"/>
        <v>37.833197112624418</v>
      </c>
      <c r="CO120">
        <f t="shared" si="182"/>
        <v>8.2233246605537502</v>
      </c>
      <c r="CP120">
        <f t="shared" si="183"/>
        <v>25.498210121793797</v>
      </c>
      <c r="CQ120">
        <f t="shared" si="184"/>
        <v>41.944859442901297</v>
      </c>
      <c r="CR120">
        <f t="shared" si="185"/>
        <v>12.334986990830625</v>
      </c>
      <c r="CS120">
        <f t="shared" si="186"/>
        <v>21.386547791516922</v>
      </c>
      <c r="CT120">
        <f t="shared" si="187"/>
        <v>46.056521773178176</v>
      </c>
    </row>
    <row r="121" spans="1:98" x14ac:dyDescent="0.25">
      <c r="A121" s="7">
        <v>110</v>
      </c>
      <c r="B121" s="9">
        <f t="shared" si="146"/>
        <v>34.837225120951189</v>
      </c>
      <c r="C121">
        <v>-0.32328257087923828</v>
      </c>
      <c r="D121">
        <v>-0.4098330637531663</v>
      </c>
      <c r="E121">
        <v>0.23679311502426215</v>
      </c>
      <c r="F121">
        <v>-0.73613696707052823</v>
      </c>
      <c r="G121">
        <v>-0.10208441419721059</v>
      </c>
      <c r="H121">
        <v>1.4343699453718273E-3</v>
      </c>
      <c r="I121">
        <v>-0.78008362071596427</v>
      </c>
      <c r="J121">
        <v>-0.66057313760795922</v>
      </c>
      <c r="K121">
        <v>-0.43137913144322027</v>
      </c>
      <c r="L121">
        <v>0.37888729514450503</v>
      </c>
      <c r="M121">
        <v>0.67265846736045409</v>
      </c>
      <c r="N121">
        <v>0.96429334391308319</v>
      </c>
      <c r="O121">
        <v>-0.46928312021240881</v>
      </c>
      <c r="P121">
        <v>-0.3724173711355937</v>
      </c>
      <c r="Q121">
        <v>0.58800012207403785</v>
      </c>
      <c r="R121">
        <v>-0.96508682515945921</v>
      </c>
      <c r="S121">
        <v>-0.53386028626361881</v>
      </c>
      <c r="T121">
        <v>0.58543656727805415</v>
      </c>
      <c r="U121">
        <v>-0.19937742240668965</v>
      </c>
      <c r="V121">
        <v>1.5564439832758126E-3</v>
      </c>
      <c r="W121">
        <v>0.16281624805444506</v>
      </c>
      <c r="X121">
        <v>-0.52421643726920375</v>
      </c>
      <c r="Y121">
        <v>0.87987914670247513</v>
      </c>
      <c r="Z121">
        <v>-0.56132694479201639</v>
      </c>
      <c r="AA121">
        <v>4.9836725974303331E-2</v>
      </c>
      <c r="AC121" s="7">
        <v>110</v>
      </c>
      <c r="AD121">
        <f t="shared" si="188"/>
        <v>30.369861381661423</v>
      </c>
      <c r="AE121">
        <f t="shared" si="189"/>
        <v>29.173841031937474</v>
      </c>
      <c r="AF121">
        <f t="shared" si="190"/>
        <v>38.109411966334868</v>
      </c>
      <c r="AG121">
        <f t="shared" si="191"/>
        <v>24.664726229663692</v>
      </c>
      <c r="AH121">
        <f t="shared" si="192"/>
        <v>33.426545265582149</v>
      </c>
      <c r="AI121">
        <f t="shared" si="193"/>
        <v>34.857046332670876</v>
      </c>
      <c r="AJ121">
        <f t="shared" si="194"/>
        <v>24.057438040805266</v>
      </c>
      <c r="AK121">
        <f t="shared" si="195"/>
        <v>25.708924532173036</v>
      </c>
      <c r="AL121">
        <f t="shared" si="196"/>
        <v>28.876101128233277</v>
      </c>
      <c r="AM121">
        <f t="shared" si="197"/>
        <v>40.072977110310433</v>
      </c>
      <c r="AN121">
        <f t="shared" si="198"/>
        <v>44.132529961665412</v>
      </c>
      <c r="AO121">
        <f t="shared" si="199"/>
        <v>48.162561859395325</v>
      </c>
      <c r="AP121">
        <f t="shared" si="200"/>
        <v>28.352315065342886</v>
      </c>
      <c r="AQ121">
        <f t="shared" si="201"/>
        <v>29.690879448284992</v>
      </c>
      <c r="AR121">
        <f t="shared" si="202"/>
        <v>42.962656742295088</v>
      </c>
      <c r="AS121">
        <f t="shared" si="203"/>
        <v>21.500923456874887</v>
      </c>
      <c r="AT121">
        <f t="shared" si="204"/>
        <v>27.459938810048151</v>
      </c>
      <c r="AU121">
        <f t="shared" si="205"/>
        <v>42.927231597945017</v>
      </c>
      <c r="AV121">
        <f t="shared" si="206"/>
        <v>32.082076691915027</v>
      </c>
      <c r="AW121">
        <f t="shared" si="207"/>
        <v>34.858733244306592</v>
      </c>
      <c r="AX121">
        <f t="shared" si="208"/>
        <v>37.087143515089856</v>
      </c>
      <c r="AY121">
        <f t="shared" si="209"/>
        <v>27.593204829269858</v>
      </c>
      <c r="AZ121">
        <f t="shared" si="210"/>
        <v>46.99606246329644</v>
      </c>
      <c r="BA121">
        <f t="shared" si="211"/>
        <v>27.080383692011637</v>
      </c>
      <c r="BB121">
        <f t="shared" si="212"/>
        <v>35.525906796232995</v>
      </c>
      <c r="BC121" s="2">
        <f t="shared" si="147"/>
        <v>33.429176847733871</v>
      </c>
      <c r="BD121">
        <f t="shared" si="148"/>
        <v>56.291217406133001</v>
      </c>
      <c r="BE121">
        <f t="shared" si="149"/>
        <v>7.5027473238896301</v>
      </c>
      <c r="BF121" s="12">
        <f t="shared" si="150"/>
        <v>34.553240777965868</v>
      </c>
      <c r="BG121">
        <f t="shared" si="151"/>
        <v>-1.1240639302319977</v>
      </c>
      <c r="BH121">
        <f t="shared" si="152"/>
        <v>1.2635197192486054</v>
      </c>
      <c r="BJ121" s="7">
        <v>109</v>
      </c>
      <c r="BK121">
        <f t="shared" si="213"/>
        <v>112.0296144840552</v>
      </c>
      <c r="BL121">
        <f t="shared" si="214"/>
        <v>25.427537977820478</v>
      </c>
      <c r="BM121">
        <f t="shared" si="215"/>
        <v>86.380030304943617</v>
      </c>
      <c r="BN121">
        <f t="shared" si="216"/>
        <v>121.15178454366014</v>
      </c>
      <c r="BO121">
        <f t="shared" si="217"/>
        <v>40.471490572740784</v>
      </c>
      <c r="BP121">
        <f t="shared" si="218"/>
        <v>19.41305107561605</v>
      </c>
      <c r="BQ121">
        <f t="shared" si="219"/>
        <v>0.34430496209396971</v>
      </c>
      <c r="BR121">
        <f t="shared" si="220"/>
        <v>189.5298426150492</v>
      </c>
      <c r="BS121">
        <f t="shared" si="221"/>
        <v>9.5513482159099414</v>
      </c>
      <c r="BT121">
        <f t="shared" si="222"/>
        <v>60.505472139983674</v>
      </c>
      <c r="BU121">
        <f t="shared" si="223"/>
        <v>109.48136161604957</v>
      </c>
      <c r="BV121">
        <f t="shared" si="224"/>
        <v>6.1053241647383674</v>
      </c>
      <c r="BW121">
        <f t="shared" si="225"/>
        <v>221.43633933831734</v>
      </c>
      <c r="BX121">
        <f t="shared" si="226"/>
        <v>36.914472199960478</v>
      </c>
      <c r="BY121">
        <f t="shared" si="227"/>
        <v>101.18473189737912</v>
      </c>
      <c r="BZ121">
        <f t="shared" si="228"/>
        <v>326.93976077373804</v>
      </c>
      <c r="CA121">
        <f t="shared" si="229"/>
        <v>2.3596882042696249E-2</v>
      </c>
      <c r="CB121">
        <f t="shared" si="230"/>
        <v>240.16617699658025</v>
      </c>
      <c r="CC121">
        <f t="shared" si="231"/>
        <v>92.564779737832808</v>
      </c>
      <c r="CD121">
        <f t="shared" si="232"/>
        <v>0.21275242725468846</v>
      </c>
      <c r="CE121">
        <f t="shared" si="233"/>
        <v>10.312185703873872</v>
      </c>
      <c r="CF121">
        <f t="shared" si="234"/>
        <v>4.4253801361778802</v>
      </c>
      <c r="CG121">
        <f t="shared" si="235"/>
        <v>32.177241114021626</v>
      </c>
      <c r="CH121">
        <f t="shared" si="236"/>
        <v>255.90851828822724</v>
      </c>
      <c r="CI121">
        <f t="shared" si="237"/>
        <v>6.2499795978865134</v>
      </c>
      <c r="CJ121" s="7">
        <v>109</v>
      </c>
      <c r="CK121" s="13">
        <f t="shared" si="178"/>
        <v>34.006141395969408</v>
      </c>
      <c r="CL121">
        <f t="shared" si="179"/>
        <v>4.1612040220799678</v>
      </c>
      <c r="CM121">
        <f t="shared" si="180"/>
        <v>29.84493737388944</v>
      </c>
      <c r="CN121">
        <f t="shared" si="181"/>
        <v>38.167345418049379</v>
      </c>
      <c r="CO121">
        <f t="shared" si="182"/>
        <v>8.3224080441599355</v>
      </c>
      <c r="CP121">
        <f t="shared" si="183"/>
        <v>25.683733351809472</v>
      </c>
      <c r="CQ121">
        <f t="shared" si="184"/>
        <v>42.328549440129343</v>
      </c>
      <c r="CR121">
        <f t="shared" si="185"/>
        <v>12.483612066239903</v>
      </c>
      <c r="CS121">
        <f t="shared" si="186"/>
        <v>21.522529329729505</v>
      </c>
      <c r="CT121">
        <f t="shared" si="187"/>
        <v>46.489753462209308</v>
      </c>
    </row>
    <row r="122" spans="1:98" x14ac:dyDescent="0.25">
      <c r="A122" s="7">
        <v>111</v>
      </c>
      <c r="B122" s="9">
        <f t="shared" si="146"/>
        <v>35.128809521000946</v>
      </c>
      <c r="C122">
        <v>0.55131687368388937</v>
      </c>
      <c r="D122">
        <v>-0.55229346598712126</v>
      </c>
      <c r="E122">
        <v>0.34012878810998881</v>
      </c>
      <c r="F122">
        <v>-0.43491927854243595</v>
      </c>
      <c r="G122">
        <v>-0.75872066408276617</v>
      </c>
      <c r="H122">
        <v>-1.3458662678914712E-2</v>
      </c>
      <c r="I122">
        <v>-5.2156132694479163E-2</v>
      </c>
      <c r="J122">
        <v>-8.2735679189428368E-2</v>
      </c>
      <c r="K122">
        <v>0.11630603961302532</v>
      </c>
      <c r="L122">
        <v>-0.80394909512619406</v>
      </c>
      <c r="M122">
        <v>-7.0955534531693454E-2</v>
      </c>
      <c r="N122">
        <v>-0.19541001617481002</v>
      </c>
      <c r="O122">
        <v>0.98083437604907386</v>
      </c>
      <c r="P122">
        <v>0.96459852900784315</v>
      </c>
      <c r="Q122">
        <v>-0.28641621143223361</v>
      </c>
      <c r="R122">
        <v>0.65367595446638393</v>
      </c>
      <c r="S122">
        <v>-0.59233375041962955</v>
      </c>
      <c r="T122">
        <v>1.5655995361186559E-2</v>
      </c>
      <c r="U122">
        <v>-0.19656971953489788</v>
      </c>
      <c r="V122">
        <v>-6.0213019196142414E-2</v>
      </c>
      <c r="W122">
        <v>-0.97338785973693043</v>
      </c>
      <c r="X122">
        <v>0.29325235755485712</v>
      </c>
      <c r="Y122">
        <v>0.86797692800683612</v>
      </c>
      <c r="Z122">
        <v>-0.84789574877162999</v>
      </c>
      <c r="AA122">
        <v>-0.12106692709128086</v>
      </c>
      <c r="AC122" s="7">
        <v>111</v>
      </c>
      <c r="AD122">
        <f t="shared" si="188"/>
        <v>42.747324195811636</v>
      </c>
      <c r="AE122">
        <f t="shared" si="189"/>
        <v>27.496799553104513</v>
      </c>
      <c r="AF122">
        <f t="shared" si="190"/>
        <v>39.828967066019779</v>
      </c>
      <c r="AG122">
        <f t="shared" si="191"/>
        <v>29.118765090847216</v>
      </c>
      <c r="AH122">
        <f t="shared" si="192"/>
        <v>24.644231977105648</v>
      </c>
      <c r="AI122">
        <f t="shared" si="193"/>
        <v>34.942827513163053</v>
      </c>
      <c r="AJ122">
        <f t="shared" si="194"/>
        <v>34.408076524640499</v>
      </c>
      <c r="AK122">
        <f t="shared" si="195"/>
        <v>33.985505159893179</v>
      </c>
      <c r="AL122">
        <f t="shared" si="196"/>
        <v>36.736014581931116</v>
      </c>
      <c r="AM122">
        <f t="shared" si="197"/>
        <v>24.019231216072189</v>
      </c>
      <c r="AN122">
        <f t="shared" si="198"/>
        <v>34.148292132739954</v>
      </c>
      <c r="AO122">
        <f t="shared" si="199"/>
        <v>32.428485720125614</v>
      </c>
      <c r="AP122">
        <f t="shared" si="200"/>
        <v>48.682722786084852</v>
      </c>
      <c r="AQ122">
        <f t="shared" si="201"/>
        <v>48.458363538534378</v>
      </c>
      <c r="AR122">
        <f t="shared" si="202"/>
        <v>31.170893095697966</v>
      </c>
      <c r="AS122">
        <f t="shared" si="203"/>
        <v>44.161799602361043</v>
      </c>
      <c r="AT122">
        <f t="shared" si="204"/>
        <v>26.943492536589062</v>
      </c>
      <c r="AU122">
        <f t="shared" si="205"/>
        <v>35.345155938281756</v>
      </c>
      <c r="AV122">
        <f t="shared" si="206"/>
        <v>32.412460059586294</v>
      </c>
      <c r="AW122">
        <f t="shared" si="207"/>
        <v>34.296740356683124</v>
      </c>
      <c r="AX122">
        <f t="shared" si="208"/>
        <v>21.67779786569583</v>
      </c>
      <c r="AY122">
        <f t="shared" si="209"/>
        <v>39.181192997904127</v>
      </c>
      <c r="AZ122">
        <f t="shared" si="210"/>
        <v>47.123172978863707</v>
      </c>
      <c r="BA122">
        <f t="shared" si="211"/>
        <v>23.411943027213766</v>
      </c>
      <c r="BB122">
        <f t="shared" si="212"/>
        <v>33.45581490627778</v>
      </c>
      <c r="BC122" s="2">
        <f t="shared" si="147"/>
        <v>34.433042816849117</v>
      </c>
      <c r="BD122">
        <f t="shared" si="148"/>
        <v>59.312857722527191</v>
      </c>
      <c r="BE122">
        <f t="shared" si="149"/>
        <v>7.7014841246689061</v>
      </c>
      <c r="BF122" s="12">
        <f t="shared" si="150"/>
        <v>34.841342996263279</v>
      </c>
      <c r="BG122">
        <f t="shared" si="151"/>
        <v>-0.4083001794141623</v>
      </c>
      <c r="BH122">
        <f t="shared" si="152"/>
        <v>0.16670903650963712</v>
      </c>
      <c r="BJ122" s="7">
        <v>110</v>
      </c>
      <c r="BK122">
        <f t="shared" si="213"/>
        <v>47.106284961718224</v>
      </c>
      <c r="BL122">
        <f t="shared" si="214"/>
        <v>59.632488906377411</v>
      </c>
      <c r="BM122">
        <f t="shared" si="215"/>
        <v>22.664882094368004</v>
      </c>
      <c r="BN122">
        <f t="shared" si="216"/>
        <v>9.4317897168862732</v>
      </c>
      <c r="BO122">
        <f t="shared" si="217"/>
        <v>6.5645977780769327</v>
      </c>
      <c r="BP122">
        <f t="shared" si="218"/>
        <v>7.2984815161440855</v>
      </c>
      <c r="BQ122">
        <f t="shared" si="219"/>
        <v>58.410114748840186</v>
      </c>
      <c r="BR122">
        <f t="shared" si="220"/>
        <v>43.25579065973848</v>
      </c>
      <c r="BS122">
        <f t="shared" si="221"/>
        <v>106.01990986097927</v>
      </c>
      <c r="BT122">
        <f t="shared" si="222"/>
        <v>98.262840040346319</v>
      </c>
      <c r="BU122">
        <f t="shared" si="223"/>
        <v>49.296500347023972</v>
      </c>
      <c r="BV122">
        <f t="shared" si="224"/>
        <v>162.48287293189773</v>
      </c>
      <c r="BW122">
        <f t="shared" si="225"/>
        <v>75.623768107062475</v>
      </c>
      <c r="BX122">
        <f t="shared" si="226"/>
        <v>55.334427416763461</v>
      </c>
      <c r="BY122">
        <f t="shared" si="227"/>
        <v>70.368697523872996</v>
      </c>
      <c r="BZ122">
        <f t="shared" si="228"/>
        <v>26.036215439254541</v>
      </c>
      <c r="CA122">
        <f t="shared" si="229"/>
        <v>6.7762555451213204</v>
      </c>
      <c r="CB122">
        <f t="shared" si="230"/>
        <v>12.230545602393059</v>
      </c>
      <c r="CC122">
        <f t="shared" si="231"/>
        <v>22.184750194690427</v>
      </c>
      <c r="CD122">
        <f t="shared" si="232"/>
        <v>3.056176874287578E-3</v>
      </c>
      <c r="CE122">
        <f t="shared" si="233"/>
        <v>3.8476774890083805</v>
      </c>
      <c r="CF122">
        <f t="shared" si="234"/>
        <v>98.623425380851288</v>
      </c>
      <c r="CG122">
        <f t="shared" si="235"/>
        <v>145.06067097615266</v>
      </c>
      <c r="CH122">
        <f t="shared" si="236"/>
        <v>111.14527417786306</v>
      </c>
      <c r="CI122">
        <f t="shared" si="237"/>
        <v>3.599148362989621</v>
      </c>
      <c r="CJ122" s="7">
        <v>110</v>
      </c>
      <c r="CK122" s="13">
        <f t="shared" si="178"/>
        <v>34.290748009591269</v>
      </c>
      <c r="CL122">
        <f t="shared" si="179"/>
        <v>4.2107924686516549</v>
      </c>
      <c r="CM122">
        <f t="shared" si="180"/>
        <v>30.079955540939615</v>
      </c>
      <c r="CN122">
        <f t="shared" si="181"/>
        <v>38.501540478242923</v>
      </c>
      <c r="CO122">
        <f t="shared" si="182"/>
        <v>8.4215849373033098</v>
      </c>
      <c r="CP122">
        <f t="shared" si="183"/>
        <v>25.869163072287961</v>
      </c>
      <c r="CQ122">
        <f t="shared" si="184"/>
        <v>42.712332946894577</v>
      </c>
      <c r="CR122">
        <f t="shared" si="185"/>
        <v>12.632377405954966</v>
      </c>
      <c r="CS122">
        <f t="shared" si="186"/>
        <v>21.658370603636303</v>
      </c>
      <c r="CT122">
        <f t="shared" si="187"/>
        <v>46.923125415546238</v>
      </c>
    </row>
    <row r="123" spans="1:98" x14ac:dyDescent="0.25">
      <c r="A123" s="7">
        <v>112</v>
      </c>
      <c r="B123" s="9">
        <f t="shared" si="146"/>
        <v>35.42039392105071</v>
      </c>
      <c r="C123">
        <v>-0.85277871028778951</v>
      </c>
      <c r="D123">
        <v>-0.5637073885311441</v>
      </c>
      <c r="E123">
        <v>-3.4150212103640887E-2</v>
      </c>
      <c r="F123">
        <v>0.15097506637775804</v>
      </c>
      <c r="G123">
        <v>-0.61711478011413923</v>
      </c>
      <c r="H123">
        <v>2.7466658528396692E-4</v>
      </c>
      <c r="I123">
        <v>-0.81615649891659292</v>
      </c>
      <c r="J123">
        <v>-0.40079958494827117</v>
      </c>
      <c r="K123">
        <v>0.23526718955046233</v>
      </c>
      <c r="L123">
        <v>0.33988464003418084</v>
      </c>
      <c r="M123">
        <v>1.0223700674458991E-2</v>
      </c>
      <c r="N123">
        <v>-2.0477919858394089E-2</v>
      </c>
      <c r="O123">
        <v>-0.66734824671163062</v>
      </c>
      <c r="P123">
        <v>-0.11636707663197732</v>
      </c>
      <c r="Q123">
        <v>0.21866512039551989</v>
      </c>
      <c r="R123">
        <v>0.79210791344950704</v>
      </c>
      <c r="S123">
        <v>0.71044038209173865</v>
      </c>
      <c r="T123">
        <v>-8.2796716208380361E-2</v>
      </c>
      <c r="U123">
        <v>0.77758110293893257</v>
      </c>
      <c r="V123">
        <v>-0.34403515732291634</v>
      </c>
      <c r="W123">
        <v>0.93816949980162967</v>
      </c>
      <c r="X123">
        <v>-0.54850917081209749</v>
      </c>
      <c r="Y123">
        <v>-0.50505081331827761</v>
      </c>
      <c r="Z123">
        <v>-0.37528611102633747</v>
      </c>
      <c r="AA123">
        <v>0.42265083773308509</v>
      </c>
      <c r="AC123" s="7">
        <v>112</v>
      </c>
      <c r="AD123">
        <f t="shared" si="188"/>
        <v>23.636050961834819</v>
      </c>
      <c r="AE123">
        <f t="shared" si="189"/>
        <v>27.63065771521466</v>
      </c>
      <c r="AF123">
        <f t="shared" si="190"/>
        <v>34.948480390958643</v>
      </c>
      <c r="AG123">
        <f t="shared" si="191"/>
        <v>37.506681886524746</v>
      </c>
      <c r="AH123">
        <f t="shared" si="192"/>
        <v>26.892633874588107</v>
      </c>
      <c r="AI123">
        <f t="shared" si="193"/>
        <v>35.424189472231078</v>
      </c>
      <c r="AJ123">
        <f t="shared" si="194"/>
        <v>24.142124452550171</v>
      </c>
      <c r="AK123">
        <f t="shared" si="195"/>
        <v>29.881841293080114</v>
      </c>
      <c r="AL123">
        <f t="shared" si="196"/>
        <v>38.671494370987915</v>
      </c>
      <c r="AM123">
        <f t="shared" si="197"/>
        <v>40.117177642798104</v>
      </c>
      <c r="AN123">
        <f t="shared" si="198"/>
        <v>35.561672770542081</v>
      </c>
      <c r="AO123">
        <f t="shared" si="199"/>
        <v>35.137414494159046</v>
      </c>
      <c r="AP123">
        <f t="shared" si="200"/>
        <v>26.198469736490214</v>
      </c>
      <c r="AQ123">
        <f t="shared" si="201"/>
        <v>33.812345404302683</v>
      </c>
      <c r="AR123">
        <f t="shared" si="202"/>
        <v>38.442074388530287</v>
      </c>
      <c r="AS123">
        <f t="shared" si="203"/>
        <v>46.366341797314831</v>
      </c>
      <c r="AT123">
        <f t="shared" si="204"/>
        <v>45.237797913019605</v>
      </c>
      <c r="AU123">
        <f t="shared" si="205"/>
        <v>34.276246104125086</v>
      </c>
      <c r="AV123">
        <f t="shared" si="206"/>
        <v>46.165599312664412</v>
      </c>
      <c r="AW123">
        <f t="shared" si="207"/>
        <v>30.666255203688912</v>
      </c>
      <c r="AX123">
        <f t="shared" si="208"/>
        <v>48.384731569451233</v>
      </c>
      <c r="AY123">
        <f t="shared" si="209"/>
        <v>27.84067821386153</v>
      </c>
      <c r="AZ123">
        <f t="shared" si="210"/>
        <v>28.441218756177079</v>
      </c>
      <c r="BA123">
        <f t="shared" si="211"/>
        <v>30.234405824945142</v>
      </c>
      <c r="BB123">
        <f t="shared" si="212"/>
        <v>41.2609037318148</v>
      </c>
      <c r="BC123" s="2">
        <f t="shared" si="147"/>
        <v>34.67509949127421</v>
      </c>
      <c r="BD123">
        <f t="shared" si="148"/>
        <v>51.713891374425657</v>
      </c>
      <c r="BE123">
        <f t="shared" si="149"/>
        <v>7.1912371240577002</v>
      </c>
      <c r="BF123" s="12">
        <f t="shared" si="150"/>
        <v>35.12944521456069</v>
      </c>
      <c r="BG123">
        <f t="shared" si="151"/>
        <v>-0.4543457232864796</v>
      </c>
      <c r="BH123">
        <f t="shared" si="152"/>
        <v>0.20643003626871428</v>
      </c>
      <c r="BJ123" s="7">
        <v>111</v>
      </c>
      <c r="BK123">
        <f t="shared" si="213"/>
        <v>26.893386110868555</v>
      </c>
      <c r="BL123">
        <f t="shared" si="214"/>
        <v>94.221554239072034</v>
      </c>
      <c r="BM123">
        <f t="shared" si="215"/>
        <v>38.273419936205727</v>
      </c>
      <c r="BN123">
        <f t="shared" si="216"/>
        <v>54.76055810661866</v>
      </c>
      <c r="BO123">
        <f t="shared" si="217"/>
        <v>41.722058948485603</v>
      </c>
      <c r="BP123">
        <f t="shared" si="218"/>
        <v>6.3821986617852193</v>
      </c>
      <c r="BQ123">
        <f t="shared" si="219"/>
        <v>5.9395606710229449</v>
      </c>
      <c r="BR123">
        <f t="shared" si="220"/>
        <v>2.0577528872297464</v>
      </c>
      <c r="BS123">
        <f t="shared" si="221"/>
        <v>7.7997261861427072</v>
      </c>
      <c r="BT123">
        <f t="shared" si="222"/>
        <v>40.699666965931321</v>
      </c>
      <c r="BU123">
        <f t="shared" si="223"/>
        <v>10.622718051961165</v>
      </c>
      <c r="BV123">
        <f t="shared" si="224"/>
        <v>10.810411526286625</v>
      </c>
      <c r="BW123">
        <f t="shared" si="225"/>
        <v>127.63148102418293</v>
      </c>
      <c r="BX123">
        <f t="shared" si="226"/>
        <v>121.80649246148371</v>
      </c>
      <c r="BY123">
        <f t="shared" si="227"/>
        <v>13.722840748712217</v>
      </c>
      <c r="BZ123">
        <f t="shared" si="228"/>
        <v>302.02709749014787</v>
      </c>
      <c r="CA123">
        <f t="shared" si="229"/>
        <v>11.39633247689097</v>
      </c>
      <c r="CB123">
        <f t="shared" si="230"/>
        <v>19.629605490448952</v>
      </c>
      <c r="CC123">
        <f t="shared" si="231"/>
        <v>21.915149474211717</v>
      </c>
      <c r="CD123">
        <f t="shared" si="232"/>
        <v>0.83895764330619838</v>
      </c>
      <c r="CE123">
        <f t="shared" si="233"/>
        <v>313.58454450555632</v>
      </c>
      <c r="CF123">
        <f t="shared" si="234"/>
        <v>1.7775710205873276</v>
      </c>
      <c r="CG123">
        <f t="shared" si="235"/>
        <v>141.74353848477318</v>
      </c>
      <c r="CH123">
        <f t="shared" si="236"/>
        <v>211.03561543344253</v>
      </c>
      <c r="CI123">
        <f t="shared" si="237"/>
        <v>0.20325304687499662</v>
      </c>
      <c r="CJ123" s="7">
        <v>111</v>
      </c>
      <c r="CK123" s="13">
        <f t="shared" si="178"/>
        <v>34.57535462321313</v>
      </c>
      <c r="CL123">
        <f t="shared" si="179"/>
        <v>4.2604260374116159</v>
      </c>
      <c r="CM123">
        <f t="shared" si="180"/>
        <v>30.314928585801514</v>
      </c>
      <c r="CN123">
        <f t="shared" si="181"/>
        <v>38.835780660624749</v>
      </c>
      <c r="CO123">
        <f t="shared" si="182"/>
        <v>8.5208520748232317</v>
      </c>
      <c r="CP123">
        <f t="shared" si="183"/>
        <v>26.054502548389898</v>
      </c>
      <c r="CQ123">
        <f t="shared" si="184"/>
        <v>43.096206698036362</v>
      </c>
      <c r="CR123">
        <f t="shared" si="185"/>
        <v>12.781278112234848</v>
      </c>
      <c r="CS123">
        <f t="shared" si="186"/>
        <v>21.794076510978282</v>
      </c>
      <c r="CT123">
        <f t="shared" si="187"/>
        <v>47.356632735447974</v>
      </c>
    </row>
    <row r="124" spans="1:98" x14ac:dyDescent="0.25">
      <c r="A124" s="7">
        <v>113</v>
      </c>
      <c r="B124" s="9">
        <f t="shared" si="146"/>
        <v>35.711978321100467</v>
      </c>
      <c r="C124">
        <v>-0.43614001892147591</v>
      </c>
      <c r="D124">
        <v>-0.75475325785088654</v>
      </c>
      <c r="E124">
        <v>0.7559739982299265</v>
      </c>
      <c r="F124">
        <v>-5.0752281258583332E-2</v>
      </c>
      <c r="G124">
        <v>2.438428907132173E-2</v>
      </c>
      <c r="H124">
        <v>-0.65947447126682335</v>
      </c>
      <c r="I124">
        <v>0.24710837122714935</v>
      </c>
      <c r="J124">
        <v>-0.4761803033539842</v>
      </c>
      <c r="K124">
        <v>-0.98052919095431379</v>
      </c>
      <c r="L124">
        <v>-0.391155735953856</v>
      </c>
      <c r="M124">
        <v>0.45084994048890659</v>
      </c>
      <c r="N124">
        <v>-0.42191839350566118</v>
      </c>
      <c r="O124">
        <v>-0.21372112186040837</v>
      </c>
      <c r="P124">
        <v>-0.2576677755058443</v>
      </c>
      <c r="Q124">
        <v>-0.91924802392651139</v>
      </c>
      <c r="R124">
        <v>-0.39927365947447124</v>
      </c>
      <c r="S124">
        <v>0.96911526841029083</v>
      </c>
      <c r="T124">
        <v>-0.5229956968901639</v>
      </c>
      <c r="U124">
        <v>0.92217780083620715</v>
      </c>
      <c r="V124">
        <v>0.2568132572405164</v>
      </c>
      <c r="W124">
        <v>0.51127658925138086</v>
      </c>
      <c r="X124">
        <v>0.16727195043794052</v>
      </c>
      <c r="Y124">
        <v>-0.64183477278969692</v>
      </c>
      <c r="Z124">
        <v>5.7771538438062597E-2</v>
      </c>
      <c r="AA124">
        <v>-0.10519730216376233</v>
      </c>
      <c r="AC124" s="7">
        <v>113</v>
      </c>
      <c r="AD124">
        <f t="shared" si="188"/>
        <v>29.685064774589559</v>
      </c>
      <c r="AE124">
        <f t="shared" si="189"/>
        <v>25.282225405365999</v>
      </c>
      <c r="AF124">
        <f t="shared" si="190"/>
        <v>46.158600353192114</v>
      </c>
      <c r="AG124">
        <f t="shared" si="191"/>
        <v>35.010644808550779</v>
      </c>
      <c r="AH124">
        <f t="shared" si="192"/>
        <v>36.048938920335104</v>
      </c>
      <c r="AI124">
        <f t="shared" si="193"/>
        <v>26.59885993704377</v>
      </c>
      <c r="AJ124">
        <f t="shared" si="194"/>
        <v>39.126709199702304</v>
      </c>
      <c r="AK124">
        <f t="shared" si="195"/>
        <v>29.131757758074109</v>
      </c>
      <c r="AL124">
        <f t="shared" si="196"/>
        <v>22.162282335105857</v>
      </c>
      <c r="AM124">
        <f t="shared" si="197"/>
        <v>30.306691712351583</v>
      </c>
      <c r="AN124">
        <f t="shared" si="198"/>
        <v>41.942164719715379</v>
      </c>
      <c r="AO124">
        <f t="shared" si="199"/>
        <v>29.881589980150686</v>
      </c>
      <c r="AP124">
        <f t="shared" si="200"/>
        <v>32.75861777486746</v>
      </c>
      <c r="AQ124">
        <f t="shared" si="201"/>
        <v>32.151329586009041</v>
      </c>
      <c r="AR124">
        <f t="shared" si="202"/>
        <v>23.009111976236213</v>
      </c>
      <c r="AS124">
        <f t="shared" si="203"/>
        <v>30.194512088576346</v>
      </c>
      <c r="AT124">
        <f t="shared" si="204"/>
        <v>49.103948069155464</v>
      </c>
      <c r="AU124">
        <f t="shared" si="205"/>
        <v>28.484827145776315</v>
      </c>
      <c r="AV124">
        <f t="shared" si="206"/>
        <v>48.455330545221955</v>
      </c>
      <c r="AW124">
        <f t="shared" si="207"/>
        <v>39.26081867474187</v>
      </c>
      <c r="AX124">
        <f t="shared" si="208"/>
        <v>42.777185979395703</v>
      </c>
      <c r="AY124">
        <f t="shared" si="209"/>
        <v>38.023468989942835</v>
      </c>
      <c r="AZ124">
        <f t="shared" si="210"/>
        <v>26.842618668405002</v>
      </c>
      <c r="BA124">
        <f t="shared" si="211"/>
        <v>36.510309252703934</v>
      </c>
      <c r="BB124">
        <f t="shared" si="212"/>
        <v>34.258282219020622</v>
      </c>
      <c r="BC124" s="2">
        <f t="shared" si="147"/>
        <v>34.126635634969197</v>
      </c>
      <c r="BD124">
        <f t="shared" si="148"/>
        <v>57.170105912415998</v>
      </c>
      <c r="BE124">
        <f t="shared" si="149"/>
        <v>7.561091582067764</v>
      </c>
      <c r="BF124" s="12">
        <f t="shared" si="150"/>
        <v>35.4175474328581</v>
      </c>
      <c r="BG124">
        <f t="shared" si="151"/>
        <v>-1.2909117978889029</v>
      </c>
      <c r="BH124">
        <f t="shared" si="152"/>
        <v>1.6664532699287595</v>
      </c>
      <c r="BJ124" s="7">
        <v>112</v>
      </c>
      <c r="BK124">
        <f t="shared" si="213"/>
        <v>203.16418645798248</v>
      </c>
      <c r="BL124">
        <f t="shared" si="214"/>
        <v>97.623300093735381</v>
      </c>
      <c r="BM124">
        <f t="shared" si="215"/>
        <v>1.0247440772797103</v>
      </c>
      <c r="BN124">
        <f t="shared" si="216"/>
        <v>245.32428919966389</v>
      </c>
      <c r="BO124">
        <f t="shared" si="217"/>
        <v>19.802098521116353</v>
      </c>
      <c r="BP124">
        <f t="shared" si="218"/>
        <v>7.5438848597668802</v>
      </c>
      <c r="BQ124">
        <f t="shared" si="219"/>
        <v>65.605087385036867</v>
      </c>
      <c r="BR124">
        <f t="shared" si="220"/>
        <v>8.6104514761460269</v>
      </c>
      <c r="BS124">
        <f t="shared" si="221"/>
        <v>1.4724236165428033</v>
      </c>
      <c r="BT124">
        <f t="shared" si="222"/>
        <v>89.864194942852649</v>
      </c>
      <c r="BU124">
        <f t="shared" si="223"/>
        <v>4.5882946025120583</v>
      </c>
      <c r="BV124">
        <f t="shared" si="224"/>
        <v>0.77388990850052031</v>
      </c>
      <c r="BW124">
        <f t="shared" si="225"/>
        <v>132.79444704687455</v>
      </c>
      <c r="BX124">
        <f t="shared" si="226"/>
        <v>15.222444196469608</v>
      </c>
      <c r="BY124">
        <f t="shared" si="227"/>
        <v>10.663288827477949</v>
      </c>
      <c r="BZ124">
        <f t="shared" si="228"/>
        <v>376.51867720094879</v>
      </c>
      <c r="CA124">
        <f t="shared" si="229"/>
        <v>214.97966741273217</v>
      </c>
      <c r="CB124">
        <f t="shared" si="230"/>
        <v>34.165380987219578</v>
      </c>
      <c r="CC124">
        <f t="shared" si="231"/>
        <v>76.914672556990112</v>
      </c>
      <c r="CD124">
        <f t="shared" si="232"/>
        <v>23.475015195955951</v>
      </c>
      <c r="CE124">
        <f t="shared" si="233"/>
        <v>75.016248545526807</v>
      </c>
      <c r="CF124">
        <f t="shared" si="234"/>
        <v>106.73077187075256</v>
      </c>
      <c r="CG124">
        <f t="shared" si="235"/>
        <v>49.589189397154634</v>
      </c>
      <c r="CH124">
        <f t="shared" si="236"/>
        <v>64.331315496082638</v>
      </c>
      <c r="CI124">
        <f t="shared" si="237"/>
        <v>50.074965306472194</v>
      </c>
      <c r="CJ124" s="7">
        <v>112</v>
      </c>
      <c r="CK124" s="13">
        <f t="shared" si="178"/>
        <v>34.859961236834991</v>
      </c>
      <c r="CL124">
        <f t="shared" si="179"/>
        <v>4.3101031695283742</v>
      </c>
      <c r="CM124">
        <f t="shared" si="180"/>
        <v>30.549858067306616</v>
      </c>
      <c r="CN124">
        <f t="shared" si="181"/>
        <v>39.170064406363366</v>
      </c>
      <c r="CO124">
        <f t="shared" si="182"/>
        <v>8.6202063390567485</v>
      </c>
      <c r="CP124">
        <f t="shared" si="183"/>
        <v>26.239754897778241</v>
      </c>
      <c r="CQ124">
        <f t="shared" si="184"/>
        <v>43.480167575891741</v>
      </c>
      <c r="CR124">
        <f t="shared" si="185"/>
        <v>12.930309508585122</v>
      </c>
      <c r="CS124">
        <f t="shared" si="186"/>
        <v>21.929651728249869</v>
      </c>
      <c r="CT124">
        <f t="shared" si="187"/>
        <v>47.790270745420116</v>
      </c>
    </row>
    <row r="125" spans="1:98" x14ac:dyDescent="0.25">
      <c r="A125" s="7">
        <v>114</v>
      </c>
      <c r="B125" s="9">
        <f t="shared" si="146"/>
        <v>36.003562721150224</v>
      </c>
      <c r="C125">
        <v>-0.68279061250648521</v>
      </c>
      <c r="D125">
        <v>-0.9744865260780663</v>
      </c>
      <c r="E125">
        <v>0.64513077181310474</v>
      </c>
      <c r="F125">
        <v>0.54008606219672228</v>
      </c>
      <c r="G125">
        <v>0.63206884975737787</v>
      </c>
      <c r="H125">
        <v>-8.8534195989867892E-2</v>
      </c>
      <c r="I125">
        <v>-0.25034333323160496</v>
      </c>
      <c r="J125">
        <v>-0.82232123783074429</v>
      </c>
      <c r="K125">
        <v>-0.84917752616962194</v>
      </c>
      <c r="L125">
        <v>0.20456556901760914</v>
      </c>
      <c r="M125">
        <v>-0.11136204107791381</v>
      </c>
      <c r="N125">
        <v>6.6225165562914245E-3</v>
      </c>
      <c r="O125">
        <v>2.4079103976561766E-2</v>
      </c>
      <c r="P125">
        <v>0.21195104831080047</v>
      </c>
      <c r="Q125">
        <v>-0.13553270058290356</v>
      </c>
      <c r="R125">
        <v>0.44883571886349061</v>
      </c>
      <c r="S125">
        <v>0.49845881527146219</v>
      </c>
      <c r="T125">
        <v>0.65526291695913574</v>
      </c>
      <c r="U125">
        <v>-0.87389751884517963</v>
      </c>
      <c r="V125">
        <v>0.31473738822595898</v>
      </c>
      <c r="W125">
        <v>-0.32895901364177371</v>
      </c>
      <c r="X125">
        <v>-0.34141056550798055</v>
      </c>
      <c r="Y125">
        <v>5.6367687002166766E-2</v>
      </c>
      <c r="Z125">
        <v>-0.80889309366130557</v>
      </c>
      <c r="AA125">
        <v>-0.42466505935850096</v>
      </c>
      <c r="AC125" s="7">
        <v>114</v>
      </c>
      <c r="AD125">
        <f t="shared" si="188"/>
        <v>26.568244214671424</v>
      </c>
      <c r="AE125">
        <f t="shared" si="189"/>
        <v>22.537368861123646</v>
      </c>
      <c r="AF125">
        <f t="shared" si="190"/>
        <v>44.918468988010076</v>
      </c>
      <c r="AG125">
        <f t="shared" si="191"/>
        <v>43.466881525474875</v>
      </c>
      <c r="AH125">
        <f t="shared" si="192"/>
        <v>44.737969442988266</v>
      </c>
      <c r="AI125">
        <f t="shared" si="193"/>
        <v>34.780130057345865</v>
      </c>
      <c r="AJ125">
        <f t="shared" si="194"/>
        <v>32.544128684201866</v>
      </c>
      <c r="AK125">
        <f t="shared" si="195"/>
        <v>24.640104215045934</v>
      </c>
      <c r="AL125">
        <f t="shared" si="196"/>
        <v>24.268983655188009</v>
      </c>
      <c r="AM125">
        <f t="shared" si="197"/>
        <v>38.830404894704394</v>
      </c>
      <c r="AN125">
        <f t="shared" si="198"/>
        <v>34.464677581466624</v>
      </c>
      <c r="AO125">
        <f t="shared" si="199"/>
        <v>36.09507767738792</v>
      </c>
      <c r="AP125">
        <f t="shared" si="200"/>
        <v>36.336306041295565</v>
      </c>
      <c r="AQ125">
        <f t="shared" si="201"/>
        <v>38.932463048665319</v>
      </c>
      <c r="AR125">
        <f t="shared" si="202"/>
        <v>34.13066907759449</v>
      </c>
      <c r="AS125">
        <f t="shared" si="203"/>
        <v>42.205915077775785</v>
      </c>
      <c r="AT125">
        <f t="shared" si="204"/>
        <v>42.891644657695089</v>
      </c>
      <c r="AU125">
        <f t="shared" si="205"/>
        <v>45.058482653774654</v>
      </c>
      <c r="AV125">
        <f t="shared" si="206"/>
        <v>23.927384048955147</v>
      </c>
      <c r="AW125">
        <f t="shared" si="207"/>
        <v>40.352842645939745</v>
      </c>
      <c r="AX125">
        <f t="shared" si="208"/>
        <v>31.457757590799581</v>
      </c>
      <c r="AY125">
        <f t="shared" si="209"/>
        <v>31.28569260395636</v>
      </c>
      <c r="AZ125">
        <f t="shared" si="210"/>
        <v>36.782494168942932</v>
      </c>
      <c r="BA125">
        <f t="shared" si="211"/>
        <v>24.825664494974895</v>
      </c>
      <c r="BB125">
        <f t="shared" si="212"/>
        <v>30.135218868396791</v>
      </c>
      <c r="BC125" s="2">
        <f t="shared" si="147"/>
        <v>34.646998991055007</v>
      </c>
      <c r="BD125">
        <f t="shared" si="148"/>
        <v>53.093750499857379</v>
      </c>
      <c r="BE125">
        <f t="shared" si="149"/>
        <v>7.2865458551948592</v>
      </c>
      <c r="BF125" s="12">
        <f t="shared" si="150"/>
        <v>35.705649651155511</v>
      </c>
      <c r="BG125">
        <f t="shared" si="151"/>
        <v>-1.0586506601005041</v>
      </c>
      <c r="BH125">
        <f t="shared" si="152"/>
        <v>1.1207412201312332</v>
      </c>
      <c r="BJ125" s="7">
        <v>113</v>
      </c>
      <c r="BK125">
        <f t="shared" si="213"/>
        <v>72.807503456233022</v>
      </c>
      <c r="BL125">
        <f t="shared" si="214"/>
        <v>157.16163819307695</v>
      </c>
      <c r="BM125">
        <f t="shared" si="215"/>
        <v>142.2926424849197</v>
      </c>
      <c r="BN125">
        <f t="shared" si="216"/>
        <v>170.08519100930249</v>
      </c>
      <c r="BO125">
        <f t="shared" si="217"/>
        <v>19.956365939542753</v>
      </c>
      <c r="BP125">
        <f t="shared" si="218"/>
        <v>40.192635302085705</v>
      </c>
      <c r="BQ125">
        <f t="shared" si="219"/>
        <v>43.745286169591616</v>
      </c>
      <c r="BR125">
        <f t="shared" si="220"/>
        <v>15.599504513556827</v>
      </c>
      <c r="BS125">
        <f t="shared" si="221"/>
        <v>326.8416394203818</v>
      </c>
      <c r="BT125">
        <f t="shared" si="222"/>
        <v>0.32428224131199318</v>
      </c>
      <c r="BU125">
        <f t="shared" si="223"/>
        <v>15.541741026479182</v>
      </c>
      <c r="BV125">
        <f t="shared" si="224"/>
        <v>41.425372199924468</v>
      </c>
      <c r="BW125">
        <f t="shared" si="225"/>
        <v>28.093221177114881</v>
      </c>
      <c r="BX125">
        <f t="shared" si="226"/>
        <v>34.278515798365746</v>
      </c>
      <c r="BY125">
        <f t="shared" si="227"/>
        <v>155.47022797441753</v>
      </c>
      <c r="BZ125">
        <f t="shared" si="228"/>
        <v>9.3200741535672247</v>
      </c>
      <c r="CA125">
        <f t="shared" si="229"/>
        <v>333.8681810086531</v>
      </c>
      <c r="CB125">
        <f t="shared" si="230"/>
        <v>143.57335770536275</v>
      </c>
      <c r="CC125">
        <f t="shared" si="231"/>
        <v>115.73792093826579</v>
      </c>
      <c r="CD125">
        <f t="shared" si="232"/>
        <v>11.907955500489795</v>
      </c>
      <c r="CE125">
        <f t="shared" si="233"/>
        <v>7.3778696250884499</v>
      </c>
      <c r="CF125">
        <f t="shared" si="234"/>
        <v>0.22284767185738655</v>
      </c>
      <c r="CG125">
        <f t="shared" si="235"/>
        <v>79.319931878225248</v>
      </c>
      <c r="CH125">
        <f t="shared" si="236"/>
        <v>4.247125055035843</v>
      </c>
      <c r="CI125">
        <f t="shared" si="237"/>
        <v>4.1673567397966994E-2</v>
      </c>
      <c r="CJ125" s="7">
        <v>113</v>
      </c>
      <c r="CK125" s="13">
        <f t="shared" si="178"/>
        <v>35.144567850456859</v>
      </c>
      <c r="CL125">
        <f t="shared" si="179"/>
        <v>4.3598223758800758</v>
      </c>
      <c r="CM125">
        <f t="shared" si="180"/>
        <v>30.784745474576784</v>
      </c>
      <c r="CN125">
        <f t="shared" si="181"/>
        <v>39.504390226336938</v>
      </c>
      <c r="CO125">
        <f t="shared" si="182"/>
        <v>8.7196447517601516</v>
      </c>
      <c r="CP125">
        <f t="shared" si="183"/>
        <v>26.424923098696709</v>
      </c>
      <c r="CQ125">
        <f t="shared" si="184"/>
        <v>43.864212602217009</v>
      </c>
      <c r="CR125">
        <f t="shared" si="185"/>
        <v>13.079467127640228</v>
      </c>
      <c r="CS125">
        <f t="shared" si="186"/>
        <v>22.065100722816631</v>
      </c>
      <c r="CT125">
        <f t="shared" si="187"/>
        <v>48.224034978097087</v>
      </c>
    </row>
    <row r="126" spans="1:98" x14ac:dyDescent="0.25">
      <c r="A126" s="7">
        <v>115</v>
      </c>
      <c r="B126" s="9">
        <f t="shared" si="146"/>
        <v>36.295147121199989</v>
      </c>
      <c r="C126">
        <v>-0.26029236732078009</v>
      </c>
      <c r="D126">
        <v>0.24765770439771728</v>
      </c>
      <c r="E126">
        <v>-0.13565477462080755</v>
      </c>
      <c r="F126">
        <v>0.16202276680806915</v>
      </c>
      <c r="G126">
        <v>-0.88225959044160285</v>
      </c>
      <c r="H126">
        <v>-0.17166661580248421</v>
      </c>
      <c r="I126">
        <v>0.59099093600268571</v>
      </c>
      <c r="J126">
        <v>-0.26340525528733172</v>
      </c>
      <c r="K126">
        <v>0.6504409924619281</v>
      </c>
      <c r="L126">
        <v>-9.7567674794763026E-2</v>
      </c>
      <c r="M126">
        <v>2.8534806360057452E-2</v>
      </c>
      <c r="N126">
        <v>-0.58299508651997434</v>
      </c>
      <c r="O126">
        <v>0.7117221594897305</v>
      </c>
      <c r="P126">
        <v>-0.83495590075380721</v>
      </c>
      <c r="Q126">
        <v>-0.3605151524399548</v>
      </c>
      <c r="R126">
        <v>-0.82744834742271189</v>
      </c>
      <c r="S126">
        <v>-0.67577135532700583</v>
      </c>
      <c r="T126">
        <v>0.75634022034363846</v>
      </c>
      <c r="U126">
        <v>-0.62034974211859495</v>
      </c>
      <c r="V126">
        <v>7.9042939542832702E-3</v>
      </c>
      <c r="W126">
        <v>-0.14218573564867087</v>
      </c>
      <c r="X126">
        <v>0.4157536545915097</v>
      </c>
      <c r="Y126">
        <v>-0.51542710654011659</v>
      </c>
      <c r="Z126">
        <v>-0.14603106784264652</v>
      </c>
      <c r="AA126">
        <v>-0.39347514267403183</v>
      </c>
      <c r="AC126" s="7">
        <v>115</v>
      </c>
      <c r="AD126">
        <f t="shared" si="188"/>
        <v>32.698229785940626</v>
      </c>
      <c r="AE126">
        <f t="shared" si="189"/>
        <v>39.717469102162553</v>
      </c>
      <c r="AF126">
        <f t="shared" si="190"/>
        <v>34.420566566008539</v>
      </c>
      <c r="AG126">
        <f t="shared" si="191"/>
        <v>38.53410058970649</v>
      </c>
      <c r="AH126">
        <f t="shared" si="192"/>
        <v>24.10341500195824</v>
      </c>
      <c r="AI126">
        <f t="shared" si="193"/>
        <v>33.92292763347178</v>
      </c>
      <c r="AJ126">
        <f t="shared" si="194"/>
        <v>44.461908077618979</v>
      </c>
      <c r="AK126">
        <f t="shared" si="195"/>
        <v>32.65521353922982</v>
      </c>
      <c r="AL126">
        <f t="shared" si="196"/>
        <v>45.283434044213564</v>
      </c>
      <c r="AM126">
        <f t="shared" si="197"/>
        <v>34.946882996352507</v>
      </c>
      <c r="AN126">
        <f t="shared" si="198"/>
        <v>36.689462716049036</v>
      </c>
      <c r="AO126">
        <f t="shared" si="199"/>
        <v>28.23887887692052</v>
      </c>
      <c r="AP126">
        <f t="shared" si="200"/>
        <v>46.13026368534392</v>
      </c>
      <c r="AQ126">
        <f t="shared" si="201"/>
        <v>24.7570932607989</v>
      </c>
      <c r="AR126">
        <f t="shared" si="202"/>
        <v>31.313275333016282</v>
      </c>
      <c r="AS126">
        <f t="shared" si="203"/>
        <v>24.860838326395548</v>
      </c>
      <c r="AT126">
        <f t="shared" si="204"/>
        <v>26.956826033774963</v>
      </c>
      <c r="AU126">
        <f t="shared" si="205"/>
        <v>46.746829888198789</v>
      </c>
      <c r="AV126">
        <f t="shared" si="206"/>
        <v>27.722683916390864</v>
      </c>
      <c r="AW126">
        <f t="shared" si="207"/>
        <v>36.40437464961272</v>
      </c>
      <c r="AX126">
        <f t="shared" si="208"/>
        <v>34.330316793497637</v>
      </c>
      <c r="AY126">
        <f t="shared" si="209"/>
        <v>42.040346424546016</v>
      </c>
      <c r="AZ126">
        <f t="shared" si="210"/>
        <v>29.172584467290342</v>
      </c>
      <c r="BA126">
        <f t="shared" si="211"/>
        <v>34.277179076972523</v>
      </c>
      <c r="BB126">
        <f t="shared" si="212"/>
        <v>30.857809191372464</v>
      </c>
      <c r="BC126" s="2">
        <f t="shared" si="147"/>
        <v>34.449716399073743</v>
      </c>
      <c r="BD126">
        <f t="shared" si="148"/>
        <v>46.104536309382944</v>
      </c>
      <c r="BE126">
        <f t="shared" si="149"/>
        <v>6.790032128744528</v>
      </c>
      <c r="BF126" s="12">
        <f t="shared" si="150"/>
        <v>35.993751869452915</v>
      </c>
      <c r="BG126">
        <f t="shared" si="151"/>
        <v>-1.5440354703791712</v>
      </c>
      <c r="BH126">
        <f t="shared" si="152"/>
        <v>2.3840455337890285</v>
      </c>
      <c r="BJ126" s="7">
        <v>114</v>
      </c>
      <c r="BK126">
        <f t="shared" si="213"/>
        <v>143.46600338775457</v>
      </c>
      <c r="BL126">
        <f t="shared" si="214"/>
        <v>243.01064867951214</v>
      </c>
      <c r="BM126">
        <f t="shared" si="215"/>
        <v>108.0507897860227</v>
      </c>
      <c r="BN126">
        <f t="shared" si="216"/>
        <v>456.79593840471341</v>
      </c>
      <c r="BO126">
        <f t="shared" si="217"/>
        <v>166.85379947747936</v>
      </c>
      <c r="BP126">
        <f t="shared" si="218"/>
        <v>2.4978346513539798</v>
      </c>
      <c r="BQ126">
        <f t="shared" si="219"/>
        <v>5.732416025580836E-2</v>
      </c>
      <c r="BR126">
        <f t="shared" si="220"/>
        <v>75.802350658421474</v>
      </c>
      <c r="BS126">
        <f t="shared" si="221"/>
        <v>266.60933890707344</v>
      </c>
      <c r="BT126">
        <f t="shared" si="222"/>
        <v>59.530648354062578</v>
      </c>
      <c r="BU126">
        <f t="shared" si="223"/>
        <v>14.679209294081739</v>
      </c>
      <c r="BV126">
        <f t="shared" si="224"/>
        <v>0.2740383188150376</v>
      </c>
      <c r="BW126">
        <f t="shared" si="225"/>
        <v>4.2412116667334434</v>
      </c>
      <c r="BX126">
        <f t="shared" si="226"/>
        <v>0.40217530447637939</v>
      </c>
      <c r="BY126">
        <f t="shared" si="227"/>
        <v>2.7175188141186872</v>
      </c>
      <c r="BZ126">
        <f t="shared" si="228"/>
        <v>221.56033163551504</v>
      </c>
      <c r="CA126">
        <f t="shared" si="229"/>
        <v>139.32218082166708</v>
      </c>
      <c r="CB126">
        <f t="shared" si="230"/>
        <v>18.026565939309254</v>
      </c>
      <c r="CC126">
        <f t="shared" si="231"/>
        <v>198.00617642249671</v>
      </c>
      <c r="CD126">
        <f t="shared" si="232"/>
        <v>18.012756678317885</v>
      </c>
      <c r="CE126">
        <f t="shared" si="233"/>
        <v>79.934830310308911</v>
      </c>
      <c r="CF126">
        <f t="shared" si="234"/>
        <v>56.755783584212153</v>
      </c>
      <c r="CG126">
        <f t="shared" si="235"/>
        <v>0.58995791020552435</v>
      </c>
      <c r="CH126">
        <f t="shared" si="236"/>
        <v>197.72799085930654</v>
      </c>
      <c r="CI126">
        <f t="shared" si="237"/>
        <v>21.206859503710252</v>
      </c>
      <c r="CJ126" s="7">
        <v>114</v>
      </c>
      <c r="CK126" s="13">
        <f t="shared" si="178"/>
        <v>35.42917446407872</v>
      </c>
      <c r="CL126">
        <f t="shared" si="179"/>
        <v>4.409582233272558</v>
      </c>
      <c r="CM126">
        <f t="shared" si="180"/>
        <v>31.019592230806161</v>
      </c>
      <c r="CN126">
        <f t="shared" si="181"/>
        <v>39.838756697351279</v>
      </c>
      <c r="CO126">
        <f t="shared" si="182"/>
        <v>8.8191644665451161</v>
      </c>
      <c r="CP126">
        <f t="shared" si="183"/>
        <v>26.610009997533602</v>
      </c>
      <c r="CQ126">
        <f t="shared" si="184"/>
        <v>44.248338930623838</v>
      </c>
      <c r="CR126">
        <f t="shared" si="185"/>
        <v>13.228746699817673</v>
      </c>
      <c r="CS126">
        <f t="shared" si="186"/>
        <v>22.200427764261047</v>
      </c>
      <c r="CT126">
        <f t="shared" si="187"/>
        <v>48.65792116389639</v>
      </c>
    </row>
    <row r="127" spans="1:98" x14ac:dyDescent="0.25">
      <c r="A127" s="7">
        <v>116</v>
      </c>
      <c r="B127" s="9">
        <f t="shared" si="146"/>
        <v>36.586731521249746</v>
      </c>
      <c r="C127">
        <v>3.0518509475996325E-5</v>
      </c>
      <c r="D127">
        <v>0.16617328409680465</v>
      </c>
      <c r="E127">
        <v>-0.27164525284585106</v>
      </c>
      <c r="F127">
        <v>-0.4421826837977233</v>
      </c>
      <c r="G127">
        <v>-0.57316812646870319</v>
      </c>
      <c r="H127">
        <v>3.195287942136904E-2</v>
      </c>
      <c r="I127">
        <v>-0.27237769707327497</v>
      </c>
      <c r="J127">
        <v>0.66508987701040678</v>
      </c>
      <c r="K127">
        <v>-0.89349040192876983</v>
      </c>
      <c r="L127">
        <v>-0.9608752708517716</v>
      </c>
      <c r="M127">
        <v>-0.58568071535386212</v>
      </c>
      <c r="N127">
        <v>0.93670461134678185</v>
      </c>
      <c r="O127">
        <v>-7.498397778252508E-2</v>
      </c>
      <c r="P127">
        <v>0.79705191198461867</v>
      </c>
      <c r="Q127">
        <v>0.16122928556169325</v>
      </c>
      <c r="R127">
        <v>0.65428632465590386</v>
      </c>
      <c r="S127">
        <v>0.83935056611835068</v>
      </c>
      <c r="T127">
        <v>2.8778954435865423E-2</v>
      </c>
      <c r="U127">
        <v>1.4374217963194713E-2</v>
      </c>
      <c r="V127">
        <v>3.1769768364513062E-2</v>
      </c>
      <c r="W127">
        <v>-0.85015411847285383</v>
      </c>
      <c r="X127">
        <v>6.4394054994354466E-3</v>
      </c>
      <c r="Y127">
        <v>0.63908810693685725</v>
      </c>
      <c r="Z127">
        <v>0.62913907284768222</v>
      </c>
      <c r="AA127">
        <v>-0.49015778069399085</v>
      </c>
      <c r="AC127" s="7">
        <v>116</v>
      </c>
      <c r="AD127">
        <f t="shared" si="188"/>
        <v>36.587153249158675</v>
      </c>
      <c r="AE127">
        <f t="shared" si="189"/>
        <v>38.883039985370651</v>
      </c>
      <c r="AF127">
        <f t="shared" si="190"/>
        <v>32.832931403868628</v>
      </c>
      <c r="AG127">
        <f t="shared" si="191"/>
        <v>30.476315848770803</v>
      </c>
      <c r="AH127">
        <f t="shared" si="192"/>
        <v>28.666259663645565</v>
      </c>
      <c r="AI127">
        <f t="shared" si="193"/>
        <v>37.028280641898888</v>
      </c>
      <c r="AJ127">
        <f t="shared" si="194"/>
        <v>32.82280993405432</v>
      </c>
      <c r="AK127">
        <f t="shared" si="195"/>
        <v>45.777447840549463</v>
      </c>
      <c r="AL127">
        <f t="shared" si="196"/>
        <v>24.239803531521954</v>
      </c>
      <c r="AM127">
        <f t="shared" si="197"/>
        <v>23.308628308605705</v>
      </c>
      <c r="AN127">
        <f t="shared" si="198"/>
        <v>28.493351220984486</v>
      </c>
      <c r="AO127">
        <f t="shared" si="199"/>
        <v>49.530826230021653</v>
      </c>
      <c r="AP127">
        <f t="shared" si="200"/>
        <v>35.550546049010066</v>
      </c>
      <c r="AQ127">
        <f t="shared" si="201"/>
        <v>47.600999318760444</v>
      </c>
      <c r="AR127">
        <f t="shared" si="202"/>
        <v>38.814720064124081</v>
      </c>
      <c r="AS127">
        <f t="shared" si="203"/>
        <v>45.628156160788436</v>
      </c>
      <c r="AT127">
        <f t="shared" si="204"/>
        <v>48.185514200536673</v>
      </c>
      <c r="AU127">
        <f t="shared" si="205"/>
        <v>36.984420939370224</v>
      </c>
      <c r="AV127">
        <f t="shared" si="206"/>
        <v>36.785365366355521</v>
      </c>
      <c r="AW127">
        <f t="shared" si="207"/>
        <v>37.025750274445315</v>
      </c>
      <c r="AX127">
        <f t="shared" si="208"/>
        <v>24.838657162201784</v>
      </c>
      <c r="AY127">
        <f t="shared" si="209"/>
        <v>36.675716110033861</v>
      </c>
      <c r="AZ127">
        <f t="shared" si="210"/>
        <v>45.418135662141566</v>
      </c>
      <c r="BA127">
        <f t="shared" si="211"/>
        <v>45.280652363830555</v>
      </c>
      <c r="BB127">
        <f t="shared" si="212"/>
        <v>29.813359575933696</v>
      </c>
      <c r="BC127" s="2">
        <f t="shared" si="147"/>
        <v>36.689953644239317</v>
      </c>
      <c r="BD127">
        <f t="shared" si="148"/>
        <v>60.887916290823341</v>
      </c>
      <c r="BE127">
        <f t="shared" si="149"/>
        <v>7.8030709525688247</v>
      </c>
      <c r="BF127" s="12">
        <f t="shared" si="150"/>
        <v>36.281854087750325</v>
      </c>
      <c r="BG127">
        <f t="shared" si="151"/>
        <v>0.40809955648899177</v>
      </c>
      <c r="BH127">
        <f t="shared" si="152"/>
        <v>0.16654524800651177</v>
      </c>
      <c r="BJ127" s="7">
        <v>115</v>
      </c>
      <c r="BK127">
        <f t="shared" si="213"/>
        <v>38.14200660516525</v>
      </c>
      <c r="BL127">
        <f t="shared" si="214"/>
        <v>1.6480696143052309</v>
      </c>
      <c r="BM127">
        <f t="shared" si="215"/>
        <v>0.15754760190737205</v>
      </c>
      <c r="BN127">
        <f t="shared" si="216"/>
        <v>266.17534231304023</v>
      </c>
      <c r="BO127">
        <f t="shared" si="217"/>
        <v>63.305250405461706</v>
      </c>
      <c r="BP127">
        <f t="shared" si="218"/>
        <v>0.213630244440393</v>
      </c>
      <c r="BQ127">
        <f t="shared" si="219"/>
        <v>130.13079808738402</v>
      </c>
      <c r="BR127">
        <f t="shared" si="220"/>
        <v>0.91494085355047639</v>
      </c>
      <c r="BS127">
        <f t="shared" si="221"/>
        <v>18.75027457713788</v>
      </c>
      <c r="BT127">
        <f t="shared" si="222"/>
        <v>12.912840875977491</v>
      </c>
      <c r="BU127">
        <f t="shared" si="223"/>
        <v>3.6203451664986059</v>
      </c>
      <c r="BV127">
        <f t="shared" si="224"/>
        <v>75.349437376054937</v>
      </c>
      <c r="BW127">
        <f t="shared" si="225"/>
        <v>54.72645060678358</v>
      </c>
      <c r="BX127">
        <f t="shared" si="226"/>
        <v>191.36217187190925</v>
      </c>
      <c r="BY127">
        <f t="shared" si="227"/>
        <v>22.725818818375028</v>
      </c>
      <c r="BZ127">
        <f t="shared" si="228"/>
        <v>6.9672441142808434</v>
      </c>
      <c r="CA127">
        <f t="shared" si="229"/>
        <v>19.251138034227473</v>
      </c>
      <c r="CB127">
        <f t="shared" si="230"/>
        <v>31.230689518844251</v>
      </c>
      <c r="CC127">
        <f t="shared" si="231"/>
        <v>111.8907657159979</v>
      </c>
      <c r="CD127">
        <f t="shared" si="232"/>
        <v>8.9694833869063506E-6</v>
      </c>
      <c r="CE127">
        <f t="shared" si="233"/>
        <v>41.030327296205961</v>
      </c>
      <c r="CF127">
        <f t="shared" si="234"/>
        <v>8.3938301708600065</v>
      </c>
      <c r="CG127">
        <f t="shared" si="235"/>
        <v>50.515661319732118</v>
      </c>
      <c r="CH127">
        <f t="shared" si="236"/>
        <v>24.266878052364152</v>
      </c>
      <c r="CI127">
        <f t="shared" si="237"/>
        <v>17.308815776880195</v>
      </c>
      <c r="CJ127" s="7">
        <v>115</v>
      </c>
      <c r="CK127" s="13">
        <f t="shared" si="178"/>
        <v>35.713781077700581</v>
      </c>
      <c r="CL127">
        <f t="shared" si="179"/>
        <v>4.4593813808962075</v>
      </c>
      <c r="CM127">
        <f t="shared" si="180"/>
        <v>31.254399696804374</v>
      </c>
      <c r="CN127">
        <f t="shared" si="181"/>
        <v>40.173162458596792</v>
      </c>
      <c r="CO127">
        <f t="shared" si="182"/>
        <v>8.918762761792415</v>
      </c>
      <c r="CP127">
        <f t="shared" si="183"/>
        <v>26.795018315908166</v>
      </c>
      <c r="CQ127">
        <f t="shared" si="184"/>
        <v>44.632543839492996</v>
      </c>
      <c r="CR127">
        <f t="shared" si="185"/>
        <v>13.378144142688623</v>
      </c>
      <c r="CS127">
        <f t="shared" si="186"/>
        <v>22.335636935011959</v>
      </c>
      <c r="CT127">
        <f t="shared" si="187"/>
        <v>49.0919252203892</v>
      </c>
    </row>
    <row r="128" spans="1:98" x14ac:dyDescent="0.25">
      <c r="A128" s="7">
        <v>117</v>
      </c>
      <c r="B128" s="9">
        <f t="shared" si="146"/>
        <v>36.87831592129951</v>
      </c>
      <c r="C128">
        <v>-0.22910245063631096</v>
      </c>
      <c r="D128">
        <v>0.9097872859889522</v>
      </c>
      <c r="E128">
        <v>0.83178197576830337</v>
      </c>
      <c r="F128">
        <v>0.73668630024109616</v>
      </c>
      <c r="G128">
        <v>-5.0508133182775361E-2</v>
      </c>
      <c r="H128">
        <v>0.70720542008728304</v>
      </c>
      <c r="I128">
        <v>0.70940275276955478</v>
      </c>
      <c r="J128">
        <v>0.48545793023468731</v>
      </c>
      <c r="K128">
        <v>0.9838251899777215</v>
      </c>
      <c r="L128">
        <v>-0.51499984740745264</v>
      </c>
      <c r="M128">
        <v>0.56596575823236783</v>
      </c>
      <c r="N128">
        <v>0.84936063722647792</v>
      </c>
      <c r="O128">
        <v>0.57994323557237459</v>
      </c>
      <c r="P128">
        <v>-0.83135471663563953</v>
      </c>
      <c r="Q128">
        <v>0.49363689077425454</v>
      </c>
      <c r="R128">
        <v>0.9472640156254768</v>
      </c>
      <c r="S128">
        <v>0.19437238685262614</v>
      </c>
      <c r="T128">
        <v>-5.1789910580767207E-2</v>
      </c>
      <c r="U128">
        <v>-0.75695059053315839</v>
      </c>
      <c r="V128">
        <v>-0.43687246314889983</v>
      </c>
      <c r="W128">
        <v>-0.63292336802270577</v>
      </c>
      <c r="X128">
        <v>0.52903836176641139</v>
      </c>
      <c r="Y128">
        <v>-0.27701651051362652</v>
      </c>
      <c r="Z128">
        <v>-0.10214545121616259</v>
      </c>
      <c r="AA128">
        <v>-0.28495132297738579</v>
      </c>
      <c r="AC128" s="7">
        <v>117</v>
      </c>
      <c r="AD128">
        <f t="shared" si="188"/>
        <v>33.712404508966053</v>
      </c>
      <c r="AE128">
        <f t="shared" si="189"/>
        <v>49.450446614395631</v>
      </c>
      <c r="AF128">
        <f t="shared" si="190"/>
        <v>48.372510079171931</v>
      </c>
      <c r="AG128">
        <f t="shared" si="191"/>
        <v>47.058405914947741</v>
      </c>
      <c r="AH128">
        <f t="shared" si="192"/>
        <v>36.180356232021254</v>
      </c>
      <c r="AI128">
        <f t="shared" si="193"/>
        <v>46.651016754921883</v>
      </c>
      <c r="AJ128">
        <f t="shared" si="194"/>
        <v>46.681381164364801</v>
      </c>
      <c r="AK128">
        <f t="shared" si="195"/>
        <v>43.586741768640422</v>
      </c>
      <c r="AL128">
        <f t="shared" si="196"/>
        <v>50.4735585214585</v>
      </c>
      <c r="AM128">
        <f t="shared" si="197"/>
        <v>29.761657458114875</v>
      </c>
      <c r="AN128">
        <f t="shared" si="198"/>
        <v>44.699259992396335</v>
      </c>
      <c r="AO128">
        <f t="shared" si="199"/>
        <v>48.615425354715306</v>
      </c>
      <c r="AP128">
        <f t="shared" si="200"/>
        <v>44.892411374686034</v>
      </c>
      <c r="AQ128">
        <f t="shared" si="201"/>
        <v>25.390025954152097</v>
      </c>
      <c r="AR128">
        <f t="shared" si="202"/>
        <v>43.699764848233521</v>
      </c>
      <c r="AS128">
        <f t="shared" si="203"/>
        <v>49.968328486561006</v>
      </c>
      <c r="AT128">
        <f t="shared" si="204"/>
        <v>39.564300973271237</v>
      </c>
      <c r="AU128">
        <f t="shared" si="205"/>
        <v>36.162643659846218</v>
      </c>
      <c r="AV128">
        <f t="shared" si="206"/>
        <v>26.418198596122121</v>
      </c>
      <c r="AW128">
        <f t="shared" si="207"/>
        <v>30.841280904974294</v>
      </c>
      <c r="AX128">
        <f t="shared" si="208"/>
        <v>28.132100818011445</v>
      </c>
      <c r="AY128">
        <f t="shared" si="209"/>
        <v>44.188969222591695</v>
      </c>
      <c r="AZ128">
        <f t="shared" si="210"/>
        <v>33.050291691946803</v>
      </c>
      <c r="BA128">
        <f t="shared" si="211"/>
        <v>35.466792610112606</v>
      </c>
      <c r="BB128">
        <f t="shared" si="212"/>
        <v>32.940642435625143</v>
      </c>
      <c r="BC128" s="2">
        <f t="shared" si="147"/>
        <v>39.838356637609962</v>
      </c>
      <c r="BD128">
        <f t="shared" si="148"/>
        <v>66.085561020476845</v>
      </c>
      <c r="BE128">
        <f t="shared" si="149"/>
        <v>8.1293026158752912</v>
      </c>
      <c r="BF128" s="12">
        <f t="shared" si="150"/>
        <v>36.569956306047736</v>
      </c>
      <c r="BG128">
        <f t="shared" si="151"/>
        <v>3.2684003315622263</v>
      </c>
      <c r="BH128">
        <f t="shared" si="152"/>
        <v>10.68244072735607</v>
      </c>
      <c r="BJ128" s="7">
        <v>116</v>
      </c>
      <c r="BK128">
        <f t="shared" si="213"/>
        <v>6.8391437848350742</v>
      </c>
      <c r="BL128">
        <f t="shared" si="214"/>
        <v>2.0110852037483407E-2</v>
      </c>
      <c r="BM128">
        <f t="shared" si="215"/>
        <v>5.1907705143534848</v>
      </c>
      <c r="BN128">
        <f t="shared" si="216"/>
        <v>66.128988405213093</v>
      </c>
      <c r="BO128">
        <f t="shared" si="217"/>
        <v>13.196584156911154</v>
      </c>
      <c r="BP128">
        <f t="shared" si="218"/>
        <v>10.932972223515218</v>
      </c>
      <c r="BQ128">
        <f t="shared" si="219"/>
        <v>0.25248165195397715</v>
      </c>
      <c r="BR128">
        <f t="shared" si="220"/>
        <v>141.62258343305322</v>
      </c>
      <c r="BS128">
        <f t="shared" si="221"/>
        <v>291.37080806648544</v>
      </c>
      <c r="BT128">
        <f t="shared" si="222"/>
        <v>68.615629668506614</v>
      </c>
      <c r="BU128">
        <f t="shared" si="223"/>
        <v>108.05585731692878</v>
      </c>
      <c r="BV128">
        <f t="shared" si="224"/>
        <v>151.55634099720231</v>
      </c>
      <c r="BW128">
        <f t="shared" si="225"/>
        <v>12.381879199874247</v>
      </c>
      <c r="BX128">
        <f t="shared" si="226"/>
        <v>76.009793562012334</v>
      </c>
      <c r="BY128">
        <f t="shared" si="227"/>
        <v>5.919525111979989</v>
      </c>
      <c r="BZ128">
        <f t="shared" si="228"/>
        <v>322.14449657825992</v>
      </c>
      <c r="CA128">
        <f t="shared" si="229"/>
        <v>275.05563417723312</v>
      </c>
      <c r="CB128">
        <f t="shared" si="230"/>
        <v>20.427159760405964</v>
      </c>
      <c r="CC128">
        <f t="shared" si="231"/>
        <v>3.3009002130144287</v>
      </c>
      <c r="CD128">
        <f t="shared" si="232"/>
        <v>0.10221447910936414</v>
      </c>
      <c r="CE128">
        <f t="shared" si="233"/>
        <v>263.56141536228432</v>
      </c>
      <c r="CF128">
        <f t="shared" si="234"/>
        <v>7.7909044779919636</v>
      </c>
      <c r="CG128">
        <f t="shared" si="235"/>
        <v>78.721249762342651</v>
      </c>
      <c r="CH128">
        <f t="shared" si="236"/>
        <v>33.192031748878549</v>
      </c>
      <c r="CI128">
        <f t="shared" si="237"/>
        <v>30.060244019022761</v>
      </c>
      <c r="CJ128" s="7">
        <v>116</v>
      </c>
      <c r="CK128" s="13">
        <f t="shared" si="178"/>
        <v>35.998387691322442</v>
      </c>
      <c r="CL128">
        <f t="shared" si="179"/>
        <v>4.5092185170045695</v>
      </c>
      <c r="CM128">
        <f t="shared" si="180"/>
        <v>31.489169174317873</v>
      </c>
      <c r="CN128">
        <f t="shared" si="181"/>
        <v>40.507606208327012</v>
      </c>
      <c r="CO128">
        <f t="shared" si="182"/>
        <v>9.0184370340091391</v>
      </c>
      <c r="CP128">
        <f t="shared" si="183"/>
        <v>26.979950657313303</v>
      </c>
      <c r="CQ128">
        <f t="shared" si="184"/>
        <v>45.016824725331581</v>
      </c>
      <c r="CR128">
        <f t="shared" si="185"/>
        <v>13.527655551013709</v>
      </c>
      <c r="CS128">
        <f t="shared" si="186"/>
        <v>22.470732140308733</v>
      </c>
      <c r="CT128">
        <f t="shared" si="187"/>
        <v>49.526043242336151</v>
      </c>
    </row>
    <row r="129" spans="1:98" x14ac:dyDescent="0.25">
      <c r="A129" s="7">
        <v>118</v>
      </c>
      <c r="B129" s="9">
        <f t="shared" si="146"/>
        <v>37.169900321349267</v>
      </c>
      <c r="C129">
        <v>-0.59886471144749298</v>
      </c>
      <c r="D129">
        <v>-0.5594958342234565</v>
      </c>
      <c r="E129">
        <v>-0.50254829554124569</v>
      </c>
      <c r="F129">
        <v>-0.60191656239509261</v>
      </c>
      <c r="G129">
        <v>0.6914578691976685</v>
      </c>
      <c r="H129">
        <v>-0.80419324320200203</v>
      </c>
      <c r="I129">
        <v>-0.5807367168187505</v>
      </c>
      <c r="J129">
        <v>-0.12967314676351205</v>
      </c>
      <c r="K129">
        <v>-0.84026612140263068</v>
      </c>
      <c r="L129">
        <v>0.34330271309549243</v>
      </c>
      <c r="M129">
        <v>-0.30112613299966429</v>
      </c>
      <c r="N129">
        <v>-0.27115695669423501</v>
      </c>
      <c r="O129">
        <v>-9.7811822870570997E-2</v>
      </c>
      <c r="P129">
        <v>-6.8819238868373711E-2</v>
      </c>
      <c r="Q129">
        <v>-0.81939146092104864</v>
      </c>
      <c r="R129">
        <v>-0.52702414014099552</v>
      </c>
      <c r="S129">
        <v>-0.67571031830805384</v>
      </c>
      <c r="T129">
        <v>3.3173619800408893E-2</v>
      </c>
      <c r="U129">
        <v>0.77361369670705282</v>
      </c>
      <c r="V129">
        <v>-1.4130069887386743E-2</v>
      </c>
      <c r="W129">
        <v>0.94586016418958097</v>
      </c>
      <c r="X129">
        <v>0.58330027161473441</v>
      </c>
      <c r="Y129">
        <v>0.19602038636432995</v>
      </c>
      <c r="Z129">
        <v>0.5511337626270334</v>
      </c>
      <c r="AA129">
        <v>0.60002441480758084</v>
      </c>
      <c r="AC129" s="7">
        <v>118</v>
      </c>
      <c r="AD129">
        <f t="shared" si="188"/>
        <v>28.894333564426478</v>
      </c>
      <c r="AE129">
        <f t="shared" si="189"/>
        <v>29.438362566945482</v>
      </c>
      <c r="AF129">
        <f t="shared" si="190"/>
        <v>30.225306845007857</v>
      </c>
      <c r="AG129">
        <f t="shared" si="191"/>
        <v>28.852160773533534</v>
      </c>
      <c r="AH129">
        <f t="shared" si="192"/>
        <v>46.724989553964036</v>
      </c>
      <c r="AI129">
        <f t="shared" si="193"/>
        <v>26.056948193149076</v>
      </c>
      <c r="AJ129">
        <f t="shared" si="194"/>
        <v>29.144839942330577</v>
      </c>
      <c r="AK129">
        <f t="shared" si="195"/>
        <v>35.377978436307991</v>
      </c>
      <c r="AL129">
        <f t="shared" si="196"/>
        <v>25.558465804794452</v>
      </c>
      <c r="AM129">
        <f t="shared" si="197"/>
        <v>41.913917568896757</v>
      </c>
      <c r="AN129">
        <f t="shared" si="198"/>
        <v>33.008711043942291</v>
      </c>
      <c r="AO129">
        <f t="shared" si="199"/>
        <v>33.422847850511019</v>
      </c>
      <c r="AP129">
        <f t="shared" si="200"/>
        <v>35.818262373230347</v>
      </c>
      <c r="AQ129">
        <f t="shared" si="201"/>
        <v>36.218903886713335</v>
      </c>
      <c r="AR129">
        <f t="shared" si="202"/>
        <v>25.846927694502206</v>
      </c>
      <c r="AS129">
        <f t="shared" si="203"/>
        <v>29.887081062046427</v>
      </c>
      <c r="AT129">
        <f t="shared" si="204"/>
        <v>27.832422689742099</v>
      </c>
      <c r="AU129">
        <f t="shared" si="205"/>
        <v>37.628318558355588</v>
      </c>
      <c r="AV129">
        <f t="shared" si="206"/>
        <v>47.860281084802139</v>
      </c>
      <c r="AW129">
        <f t="shared" si="207"/>
        <v>36.974640299514924</v>
      </c>
      <c r="AX129">
        <f t="shared" si="208"/>
        <v>50.240513402800012</v>
      </c>
      <c r="AY129">
        <f t="shared" si="209"/>
        <v>45.230385844718029</v>
      </c>
      <c r="AZ129">
        <f t="shared" si="210"/>
        <v>39.878658680403184</v>
      </c>
      <c r="BA129">
        <f t="shared" si="211"/>
        <v>44.785884628706384</v>
      </c>
      <c r="BB129">
        <f t="shared" si="212"/>
        <v>45.461492738811373</v>
      </c>
      <c r="BC129" s="2">
        <f t="shared" si="147"/>
        <v>35.691305403526229</v>
      </c>
      <c r="BD129">
        <f t="shared" si="148"/>
        <v>59.071655643452686</v>
      </c>
      <c r="BE129">
        <f t="shared" si="149"/>
        <v>7.6858087175945702</v>
      </c>
      <c r="BF129" s="12">
        <f t="shared" si="150"/>
        <v>36.858058524345147</v>
      </c>
      <c r="BG129">
        <f t="shared" si="151"/>
        <v>-1.1667531208189175</v>
      </c>
      <c r="BH129">
        <f t="shared" si="152"/>
        <v>1.3613128449406835</v>
      </c>
      <c r="BJ129" s="7">
        <v>117</v>
      </c>
      <c r="BK129">
        <f t="shared" si="213"/>
        <v>33.850311169364616</v>
      </c>
      <c r="BL129">
        <f t="shared" si="214"/>
        <v>108.19514614115916</v>
      </c>
      <c r="BM129">
        <f t="shared" si="215"/>
        <v>168.15564120388899</v>
      </c>
      <c r="BN129">
        <f t="shared" si="216"/>
        <v>604.61598179516568</v>
      </c>
      <c r="BO129">
        <f t="shared" si="217"/>
        <v>13.266283458044324</v>
      </c>
      <c r="BP129">
        <f t="shared" si="218"/>
        <v>160.48305435287469</v>
      </c>
      <c r="BQ129">
        <f t="shared" si="219"/>
        <v>171.22323478088407</v>
      </c>
      <c r="BR129">
        <f t="shared" si="220"/>
        <v>89.201270843475953</v>
      </c>
      <c r="BS129">
        <f t="shared" si="221"/>
        <v>77.58178578386098</v>
      </c>
      <c r="BT129">
        <f t="shared" si="222"/>
        <v>4.2810534332282444</v>
      </c>
      <c r="BU129">
        <f t="shared" si="223"/>
        <v>30.412543249558659</v>
      </c>
      <c r="BV129">
        <f t="shared" si="224"/>
        <v>123.09239823984502</v>
      </c>
      <c r="BW129">
        <f t="shared" si="225"/>
        <v>30.099172320546199</v>
      </c>
      <c r="BX129">
        <f t="shared" si="226"/>
        <v>190.02039707630692</v>
      </c>
      <c r="BY129">
        <f t="shared" si="227"/>
        <v>49.235136341690271</v>
      </c>
      <c r="BZ129">
        <f t="shared" si="228"/>
        <v>488.81569564961842</v>
      </c>
      <c r="CA129">
        <f t="shared" si="229"/>
        <v>59.402675064184237</v>
      </c>
      <c r="CB129">
        <f t="shared" si="230"/>
        <v>32.343037368715294</v>
      </c>
      <c r="CC129">
        <f t="shared" si="231"/>
        <v>155.89223032858527</v>
      </c>
      <c r="CD129">
        <f t="shared" si="232"/>
        <v>37.987870601708096</v>
      </c>
      <c r="CE129">
        <f t="shared" si="233"/>
        <v>176.31999975889542</v>
      </c>
      <c r="CF129">
        <f t="shared" si="234"/>
        <v>19.344465149088087</v>
      </c>
      <c r="CG129">
        <f t="shared" si="235"/>
        <v>14.144811496134011</v>
      </c>
      <c r="CH129">
        <f t="shared" si="236"/>
        <v>19.085412924807354</v>
      </c>
      <c r="CI129">
        <f t="shared" si="237"/>
        <v>6.9344040720465134</v>
      </c>
      <c r="CJ129" s="7">
        <v>117</v>
      </c>
      <c r="CK129" s="13">
        <f t="shared" si="178"/>
        <v>36.282994304944303</v>
      </c>
      <c r="CL129">
        <f t="shared" si="179"/>
        <v>4.5590923957990102</v>
      </c>
      <c r="CM129">
        <f t="shared" si="180"/>
        <v>31.723901909145294</v>
      </c>
      <c r="CN129">
        <f t="shared" si="181"/>
        <v>40.842086700743316</v>
      </c>
      <c r="CO129">
        <f t="shared" si="182"/>
        <v>9.1181847915980203</v>
      </c>
      <c r="CP129">
        <f t="shared" si="183"/>
        <v>27.164809513346285</v>
      </c>
      <c r="CQ129">
        <f t="shared" si="184"/>
        <v>45.401179096542322</v>
      </c>
      <c r="CR129">
        <f t="shared" si="185"/>
        <v>13.677277187397031</v>
      </c>
      <c r="CS129">
        <f t="shared" si="186"/>
        <v>22.605717117547272</v>
      </c>
      <c r="CT129">
        <f t="shared" si="187"/>
        <v>49.960271492341334</v>
      </c>
    </row>
    <row r="130" spans="1:98" x14ac:dyDescent="0.25">
      <c r="A130" s="7">
        <v>119</v>
      </c>
      <c r="B130" s="9">
        <f t="shared" si="146"/>
        <v>37.461484721399025</v>
      </c>
      <c r="C130">
        <v>2.7680288094729555E-2</v>
      </c>
      <c r="D130">
        <v>-0.72954496902371291</v>
      </c>
      <c r="E130">
        <v>-0.78234199041718799</v>
      </c>
      <c r="F130">
        <v>0.59050263985106977</v>
      </c>
      <c r="G130">
        <v>-0.89477217932676167</v>
      </c>
      <c r="H130">
        <v>-0.16763817255165259</v>
      </c>
      <c r="I130">
        <v>-0.67577135532700583</v>
      </c>
      <c r="J130">
        <v>-0.63304544206060975</v>
      </c>
      <c r="K130">
        <v>6.9307535019989652E-2</v>
      </c>
      <c r="L130">
        <v>-0.68608661152989292</v>
      </c>
      <c r="M130">
        <v>0.9967040009765924</v>
      </c>
      <c r="N130">
        <v>0.28336436048463387</v>
      </c>
      <c r="O130">
        <v>0.66356395153660697</v>
      </c>
      <c r="P130">
        <v>6.7110202337717917E-2</v>
      </c>
      <c r="Q130">
        <v>-0.56968901638843961</v>
      </c>
      <c r="R130">
        <v>5.7985168004393017E-4</v>
      </c>
      <c r="S130">
        <v>-0.83574938200018312</v>
      </c>
      <c r="T130">
        <v>-0.51353495895260481</v>
      </c>
      <c r="U130">
        <v>0.7704397717215492</v>
      </c>
      <c r="V130">
        <v>9.5858638264107121E-2</v>
      </c>
      <c r="W130">
        <v>-0.19833979308450578</v>
      </c>
      <c r="X130">
        <v>0.99615466780602446</v>
      </c>
      <c r="Y130">
        <v>-0.59801019318216497</v>
      </c>
      <c r="Z130">
        <v>0.44212164677877142</v>
      </c>
      <c r="AA130">
        <v>0.87200537125766786</v>
      </c>
      <c r="AC130" s="7">
        <v>119</v>
      </c>
      <c r="AD130">
        <f t="shared" si="188"/>
        <v>37.843991934798048</v>
      </c>
      <c r="AE130">
        <f t="shared" si="189"/>
        <v>27.380079058440288</v>
      </c>
      <c r="AF130">
        <f t="shared" si="190"/>
        <v>26.650489775992327</v>
      </c>
      <c r="AG130">
        <f t="shared" si="191"/>
        <v>45.621498031275138</v>
      </c>
      <c r="AH130">
        <f t="shared" si="192"/>
        <v>25.096844159496193</v>
      </c>
      <c r="AI130">
        <f t="shared" si="193"/>
        <v>35.144933317649503</v>
      </c>
      <c r="AJ130">
        <f t="shared" si="194"/>
        <v>28.123163633973999</v>
      </c>
      <c r="AK130">
        <f t="shared" si="195"/>
        <v>28.713582706475243</v>
      </c>
      <c r="AL130">
        <f t="shared" si="196"/>
        <v>38.419228802577827</v>
      </c>
      <c r="AM130">
        <f t="shared" si="197"/>
        <v>27.980619600755841</v>
      </c>
      <c r="AN130">
        <f t="shared" si="198"/>
        <v>51.234696499126251</v>
      </c>
      <c r="AO130">
        <f t="shared" si="199"/>
        <v>41.377228355809059</v>
      </c>
      <c r="AP130">
        <f t="shared" si="200"/>
        <v>46.631114645252268</v>
      </c>
      <c r="AQ130">
        <f t="shared" si="201"/>
        <v>38.388864393134909</v>
      </c>
      <c r="AR130">
        <f t="shared" si="202"/>
        <v>29.589089845412801</v>
      </c>
      <c r="AS130">
        <f t="shared" si="203"/>
        <v>37.469497551668681</v>
      </c>
      <c r="AT130">
        <f t="shared" si="204"/>
        <v>25.91246593536577</v>
      </c>
      <c r="AU130">
        <f t="shared" si="205"/>
        <v>30.365069197843006</v>
      </c>
      <c r="AV130">
        <f t="shared" si="206"/>
        <v>48.108005782323232</v>
      </c>
      <c r="AW130">
        <f t="shared" si="207"/>
        <v>38.786132083346459</v>
      </c>
      <c r="AX130">
        <f t="shared" si="208"/>
        <v>34.720675041266468</v>
      </c>
      <c r="AY130">
        <f t="shared" si="209"/>
        <v>51.227105396765523</v>
      </c>
      <c r="AZ130">
        <f t="shared" si="210"/>
        <v>29.197726345926263</v>
      </c>
      <c r="BA130">
        <f t="shared" si="211"/>
        <v>43.57105693806011</v>
      </c>
      <c r="BB130">
        <f t="shared" si="212"/>
        <v>49.51151626324048</v>
      </c>
      <c r="BC130" s="2">
        <f t="shared" si="147"/>
        <v>36.682587011839026</v>
      </c>
      <c r="BD130">
        <f t="shared" si="148"/>
        <v>74.228322969994224</v>
      </c>
      <c r="BE130">
        <f t="shared" si="149"/>
        <v>8.6155860491317835</v>
      </c>
      <c r="BF130" s="12">
        <f t="shared" si="150"/>
        <v>37.146160742642557</v>
      </c>
      <c r="BG130">
        <f t="shared" si="151"/>
        <v>-0.4635737308035317</v>
      </c>
      <c r="BH130">
        <f t="shared" si="152"/>
        <v>0.21490060389110527</v>
      </c>
      <c r="BJ130" s="7">
        <v>118</v>
      </c>
      <c r="BK130">
        <f t="shared" si="213"/>
        <v>120.21698372212593</v>
      </c>
      <c r="BL130">
        <f t="shared" si="214"/>
        <v>98.365221431168933</v>
      </c>
      <c r="BM130">
        <f t="shared" si="215"/>
        <v>29.959067200225796</v>
      </c>
      <c r="BN130">
        <f t="shared" si="216"/>
        <v>39.157207857631001</v>
      </c>
      <c r="BO130">
        <f t="shared" si="217"/>
        <v>194.54193336218646</v>
      </c>
      <c r="BP130">
        <f t="shared" si="218"/>
        <v>67.025788548932923</v>
      </c>
      <c r="BQ130">
        <f t="shared" si="219"/>
        <v>22.29896170939929</v>
      </c>
      <c r="BR130">
        <f t="shared" si="220"/>
        <v>0.94225638977704873</v>
      </c>
      <c r="BS130">
        <f t="shared" si="221"/>
        <v>271.03549981276234</v>
      </c>
      <c r="BT130">
        <f t="shared" si="222"/>
        <v>96.915062324388799</v>
      </c>
      <c r="BU130">
        <f t="shared" si="223"/>
        <v>41.886163479422883</v>
      </c>
      <c r="BV130">
        <f t="shared" si="224"/>
        <v>19.347646949863236</v>
      </c>
      <c r="BW130">
        <f t="shared" si="225"/>
        <v>15.403131622598121</v>
      </c>
      <c r="BX130">
        <f t="shared" si="226"/>
        <v>10.550059383044571</v>
      </c>
      <c r="BY130">
        <f t="shared" si="227"/>
        <v>124.04031231475319</v>
      </c>
      <c r="BZ130">
        <f t="shared" si="228"/>
        <v>3.4171351627526807</v>
      </c>
      <c r="CA130">
        <f t="shared" si="229"/>
        <v>18.325592622482148</v>
      </c>
      <c r="CB130">
        <f t="shared" si="230"/>
        <v>20.858348790231563</v>
      </c>
      <c r="CC130">
        <f t="shared" si="231"/>
        <v>74.904268397272389</v>
      </c>
      <c r="CD130">
        <f t="shared" si="232"/>
        <v>0.10807092704379828</v>
      </c>
      <c r="CE130">
        <f t="shared" si="233"/>
        <v>72.121458356183552</v>
      </c>
      <c r="CF130">
        <f t="shared" si="234"/>
        <v>26.171934802086316</v>
      </c>
      <c r="CG130">
        <f t="shared" si="235"/>
        <v>7.8500474760593502</v>
      </c>
      <c r="CH130">
        <f t="shared" si="236"/>
        <v>21.476997580478947</v>
      </c>
      <c r="CI130">
        <f t="shared" si="237"/>
        <v>92.345150685941974</v>
      </c>
      <c r="CJ130" s="7">
        <v>118</v>
      </c>
      <c r="CK130" s="13">
        <f t="shared" si="178"/>
        <v>36.567600918566164</v>
      </c>
      <c r="CL130">
        <f t="shared" si="179"/>
        <v>4.6090018245049746</v>
      </c>
      <c r="CM130">
        <f t="shared" si="180"/>
        <v>31.958599094061189</v>
      </c>
      <c r="CN130">
        <f t="shared" si="181"/>
        <v>41.176602743071136</v>
      </c>
      <c r="CO130">
        <f t="shared" si="182"/>
        <v>9.2180036490099493</v>
      </c>
      <c r="CP130">
        <f t="shared" si="183"/>
        <v>27.349597269556213</v>
      </c>
      <c r="CQ130">
        <f t="shared" si="184"/>
        <v>45.785604567576115</v>
      </c>
      <c r="CR130">
        <f t="shared" si="185"/>
        <v>13.827005473514923</v>
      </c>
      <c r="CS130">
        <f t="shared" si="186"/>
        <v>22.740595445051241</v>
      </c>
      <c r="CT130">
        <f t="shared" si="187"/>
        <v>50.394606392081087</v>
      </c>
    </row>
    <row r="131" spans="1:98" x14ac:dyDescent="0.25">
      <c r="A131" s="7">
        <v>120</v>
      </c>
      <c r="B131" s="9">
        <f t="shared" si="146"/>
        <v>37.753069121448789</v>
      </c>
      <c r="C131">
        <v>0.96185186315500348</v>
      </c>
      <c r="D131">
        <v>-0.53685110019226667</v>
      </c>
      <c r="E131">
        <v>-8.1026642658772574E-2</v>
      </c>
      <c r="F131">
        <v>0.8544877468184453</v>
      </c>
      <c r="G131">
        <v>-0.40836817529831848</v>
      </c>
      <c r="H131">
        <v>0.39316995757927176</v>
      </c>
      <c r="I131">
        <v>-0.98132267220068969</v>
      </c>
      <c r="J131">
        <v>0.84374523148289438</v>
      </c>
      <c r="K131">
        <v>0.88750877407147444</v>
      </c>
      <c r="L131">
        <v>-0.67229224524674214</v>
      </c>
      <c r="M131">
        <v>-9.1341898861659554E-2</v>
      </c>
      <c r="N131">
        <v>0.61204870754112362</v>
      </c>
      <c r="O131">
        <v>-0.29032258064516125</v>
      </c>
      <c r="P131">
        <v>0.15567491683706169</v>
      </c>
      <c r="Q131">
        <v>0.51377910702841278</v>
      </c>
      <c r="R131">
        <v>0.61198767052217162</v>
      </c>
      <c r="S131">
        <v>-0.98242133854182567</v>
      </c>
      <c r="T131">
        <v>4.6784875026703698E-2</v>
      </c>
      <c r="U131">
        <v>0.18088320566423532</v>
      </c>
      <c r="V131">
        <v>-0.7661061433759575</v>
      </c>
      <c r="W131">
        <v>-0.65172276985992006</v>
      </c>
      <c r="X131">
        <v>-0.73412274544511247</v>
      </c>
      <c r="Y131">
        <v>-0.51255836664937282</v>
      </c>
      <c r="Z131">
        <v>-0.37070833460493791</v>
      </c>
      <c r="AA131">
        <v>-0.40397350993377479</v>
      </c>
      <c r="AC131" s="7">
        <v>120</v>
      </c>
      <c r="AD131">
        <f t="shared" si="188"/>
        <v>51.044667627178569</v>
      </c>
      <c r="AE131">
        <f t="shared" si="189"/>
        <v>30.33445347547066</v>
      </c>
      <c r="AF131">
        <f t="shared" si="190"/>
        <v>36.63338152324107</v>
      </c>
      <c r="AG131">
        <f t="shared" si="191"/>
        <v>49.561028843564728</v>
      </c>
      <c r="AH131">
        <f t="shared" si="192"/>
        <v>32.109927972063687</v>
      </c>
      <c r="AI131">
        <f t="shared" si="193"/>
        <v>43.186189772187021</v>
      </c>
      <c r="AJ131">
        <f t="shared" si="194"/>
        <v>24.192408209822013</v>
      </c>
      <c r="AK131">
        <f t="shared" si="195"/>
        <v>49.412580619621565</v>
      </c>
      <c r="AL131">
        <f t="shared" si="196"/>
        <v>50.017338441026411</v>
      </c>
      <c r="AM131">
        <f t="shared" si="197"/>
        <v>28.46282501564172</v>
      </c>
      <c r="AN131">
        <f t="shared" si="198"/>
        <v>36.490837490022919</v>
      </c>
      <c r="AO131">
        <f t="shared" si="199"/>
        <v>46.2108223350291</v>
      </c>
      <c r="AP131">
        <f t="shared" si="200"/>
        <v>33.741171523802841</v>
      </c>
      <c r="AQ131">
        <f t="shared" si="201"/>
        <v>39.904303184897962</v>
      </c>
      <c r="AR131">
        <f t="shared" si="202"/>
        <v>44.852858468276246</v>
      </c>
      <c r="AS131">
        <f t="shared" si="203"/>
        <v>46.209978879211242</v>
      </c>
      <c r="AT131">
        <f t="shared" si="204"/>
        <v>24.17722600510055</v>
      </c>
      <c r="AU131">
        <f t="shared" si="205"/>
        <v>38.399578005837654</v>
      </c>
      <c r="AV131">
        <f t="shared" si="206"/>
        <v>40.252650437673694</v>
      </c>
      <c r="AW131">
        <f t="shared" si="207"/>
        <v>27.166433423592562</v>
      </c>
      <c r="AX131">
        <f t="shared" si="208"/>
        <v>28.747069626260178</v>
      </c>
      <c r="AY131">
        <f t="shared" si="209"/>
        <v>27.608404272150636</v>
      </c>
      <c r="AZ131">
        <f t="shared" si="210"/>
        <v>30.670148890978513</v>
      </c>
      <c r="BA131">
        <f t="shared" si="211"/>
        <v>32.630340211682643</v>
      </c>
      <c r="BB131">
        <f t="shared" si="212"/>
        <v>32.170656790949529</v>
      </c>
      <c r="BC131" s="2">
        <f t="shared" si="147"/>
        <v>36.967491241811352</v>
      </c>
      <c r="BD131">
        <f t="shared" si="148"/>
        <v>74.387270041021111</v>
      </c>
      <c r="BE131">
        <f t="shared" si="149"/>
        <v>8.6248055074315211</v>
      </c>
      <c r="BF131" s="12">
        <f t="shared" si="150"/>
        <v>37.434262960939961</v>
      </c>
      <c r="BG131">
        <f t="shared" si="151"/>
        <v>-0.46677171912860871</v>
      </c>
      <c r="BH131">
        <f t="shared" si="152"/>
        <v>0.21787583777827677</v>
      </c>
      <c r="BJ131" s="7">
        <v>119</v>
      </c>
      <c r="BK131">
        <f t="shared" si="213"/>
        <v>5.4890390300791001</v>
      </c>
      <c r="BL131">
        <f t="shared" si="214"/>
        <v>150.89020801009232</v>
      </c>
      <c r="BM131">
        <f t="shared" si="215"/>
        <v>87.274330891446638</v>
      </c>
      <c r="BN131">
        <f t="shared" si="216"/>
        <v>524.49181341226347</v>
      </c>
      <c r="BO131">
        <f t="shared" si="217"/>
        <v>62.717081857785018</v>
      </c>
      <c r="BP131">
        <f t="shared" si="218"/>
        <v>0.40960924500849416</v>
      </c>
      <c r="BQ131">
        <f t="shared" si="219"/>
        <v>36.176856893513552</v>
      </c>
      <c r="BR131">
        <f t="shared" si="220"/>
        <v>35.508215129617561</v>
      </c>
      <c r="BS131">
        <f t="shared" si="221"/>
        <v>15.669787705073741</v>
      </c>
      <c r="BT131">
        <f t="shared" si="222"/>
        <v>18.726371800952926</v>
      </c>
      <c r="BU131">
        <f t="shared" si="223"/>
        <v>131.28286329670749</v>
      </c>
      <c r="BV131">
        <f t="shared" si="224"/>
        <v>10.595445616172292</v>
      </c>
      <c r="BW131">
        <f t="shared" si="225"/>
        <v>42.92038724413171</v>
      </c>
      <c r="BX131">
        <f t="shared" si="226"/>
        <v>1.8777215535278295</v>
      </c>
      <c r="BY131">
        <f t="shared" si="227"/>
        <v>59.235394281425314</v>
      </c>
      <c r="BZ131">
        <f t="shared" si="228"/>
        <v>85.591846021696242</v>
      </c>
      <c r="CA131">
        <f t="shared" si="229"/>
        <v>41.693777715329034</v>
      </c>
      <c r="CB131">
        <f t="shared" si="230"/>
        <v>148.25542866912818</v>
      </c>
      <c r="CC131">
        <f t="shared" si="231"/>
        <v>73.973307091773407</v>
      </c>
      <c r="CD131">
        <f t="shared" si="232"/>
        <v>1.4020445747298544</v>
      </c>
      <c r="CE131">
        <f t="shared" si="233"/>
        <v>54.240663421109026</v>
      </c>
      <c r="CF131">
        <f t="shared" si="234"/>
        <v>116.39758535621853</v>
      </c>
      <c r="CG131">
        <f t="shared" si="235"/>
        <v>66.337005247457981</v>
      </c>
      <c r="CH131">
        <f t="shared" si="236"/>
        <v>9.6312288606838692</v>
      </c>
      <c r="CI131">
        <f t="shared" si="237"/>
        <v>179.07192200112141</v>
      </c>
      <c r="CJ131" s="7">
        <v>119</v>
      </c>
      <c r="CK131" s="13">
        <f t="shared" si="178"/>
        <v>36.852207532188025</v>
      </c>
      <c r="CL131">
        <f t="shared" si="179"/>
        <v>4.6589456606264861</v>
      </c>
      <c r="CM131">
        <f t="shared" si="180"/>
        <v>32.193261871561539</v>
      </c>
      <c r="CN131">
        <f t="shared" si="181"/>
        <v>41.511153192814511</v>
      </c>
      <c r="CO131">
        <f t="shared" si="182"/>
        <v>9.3178913212529721</v>
      </c>
      <c r="CP131">
        <f t="shared" si="183"/>
        <v>27.534316210935053</v>
      </c>
      <c r="CQ131">
        <f t="shared" si="184"/>
        <v>46.170098853440997</v>
      </c>
      <c r="CR131">
        <f t="shared" si="185"/>
        <v>13.976836981879458</v>
      </c>
      <c r="CS131">
        <f t="shared" si="186"/>
        <v>22.875370550308567</v>
      </c>
      <c r="CT131">
        <f t="shared" si="187"/>
        <v>50.829044514067483</v>
      </c>
    </row>
    <row r="132" spans="1:98" x14ac:dyDescent="0.25">
      <c r="A132" s="7">
        <v>121</v>
      </c>
      <c r="B132" s="9">
        <f t="shared" si="146"/>
        <v>38.044653521498546</v>
      </c>
      <c r="C132">
        <v>-0.91564683980834372</v>
      </c>
      <c r="D132">
        <v>-0.24259163182470167</v>
      </c>
      <c r="E132">
        <v>-0.58690145573290198</v>
      </c>
      <c r="F132">
        <v>-0.84484389782403024</v>
      </c>
      <c r="G132">
        <v>-0.3987853633228553</v>
      </c>
      <c r="H132">
        <v>0.84667500839259002</v>
      </c>
      <c r="I132">
        <v>-0.44242683187353127</v>
      </c>
      <c r="J132">
        <v>0.48875392925809513</v>
      </c>
      <c r="K132">
        <v>0.28775902584917756</v>
      </c>
      <c r="L132">
        <v>0.76055177465132595</v>
      </c>
      <c r="M132">
        <v>-0.20993682668538471</v>
      </c>
      <c r="N132">
        <v>0.18533890804773101</v>
      </c>
      <c r="O132">
        <v>-0.93340861232337413</v>
      </c>
      <c r="P132">
        <v>-0.33433027130954929</v>
      </c>
      <c r="Q132">
        <v>0.8069399090548417</v>
      </c>
      <c r="R132">
        <v>-0.43314920499282816</v>
      </c>
      <c r="S132">
        <v>0.73882259590441612</v>
      </c>
      <c r="T132">
        <v>-0.14102603228858301</v>
      </c>
      <c r="U132">
        <v>0.61680959501937926</v>
      </c>
      <c r="V132">
        <v>0.90929898983733626</v>
      </c>
      <c r="W132">
        <v>0.57109286782433544</v>
      </c>
      <c r="X132">
        <v>0.25620288705099648</v>
      </c>
      <c r="Y132">
        <v>-0.6751609851374859</v>
      </c>
      <c r="Z132">
        <v>0.33951841792046866</v>
      </c>
      <c r="AA132">
        <v>-0.14450514236884671</v>
      </c>
      <c r="AC132" s="7">
        <v>121</v>
      </c>
      <c r="AD132">
        <f t="shared" si="188"/>
        <v>25.391551069887967</v>
      </c>
      <c r="AE132">
        <f t="shared" si="189"/>
        <v>34.692338373418274</v>
      </c>
      <c r="AF132">
        <f t="shared" si="190"/>
        <v>29.934404104876108</v>
      </c>
      <c r="AG132">
        <f t="shared" si="191"/>
        <v>26.369959818604315</v>
      </c>
      <c r="AH132">
        <f t="shared" si="192"/>
        <v>32.533934935517294</v>
      </c>
      <c r="AI132">
        <f t="shared" si="193"/>
        <v>49.744650898928548</v>
      </c>
      <c r="AJ132">
        <f t="shared" si="194"/>
        <v>31.930864025748168</v>
      </c>
      <c r="AK132">
        <f t="shared" si="195"/>
        <v>44.798625983003845</v>
      </c>
      <c r="AL132">
        <f t="shared" si="196"/>
        <v>42.021125974794423</v>
      </c>
      <c r="AM132">
        <f t="shared" si="197"/>
        <v>48.554534739929608</v>
      </c>
      <c r="AN132">
        <f t="shared" si="198"/>
        <v>35.143587235972795</v>
      </c>
      <c r="AO132">
        <f t="shared" si="199"/>
        <v>40.605807112427158</v>
      </c>
      <c r="AP132">
        <f t="shared" si="200"/>
        <v>25.146105426891019</v>
      </c>
      <c r="AQ132">
        <f t="shared" si="201"/>
        <v>33.424624279176314</v>
      </c>
      <c r="AR132">
        <f t="shared" si="202"/>
        <v>49.19556116150239</v>
      </c>
      <c r="AS132">
        <f t="shared" si="203"/>
        <v>32.059069310062725</v>
      </c>
      <c r="AT132">
        <f t="shared" si="204"/>
        <v>48.254264468771837</v>
      </c>
      <c r="AU132">
        <f t="shared" si="205"/>
        <v>36.095848854335514</v>
      </c>
      <c r="AV132">
        <f t="shared" si="206"/>
        <v>46.56819628887186</v>
      </c>
      <c r="AW132">
        <f t="shared" si="207"/>
        <v>50.610036568051797</v>
      </c>
      <c r="AX132">
        <f t="shared" si="208"/>
        <v>45.936447881295521</v>
      </c>
      <c r="AY132">
        <f t="shared" si="209"/>
        <v>41.585059316961363</v>
      </c>
      <c r="AZ132">
        <f t="shared" si="210"/>
        <v>28.714766992252109</v>
      </c>
      <c r="BA132">
        <f t="shared" si="211"/>
        <v>42.736376508338786</v>
      </c>
      <c r="BB132">
        <f t="shared" si="212"/>
        <v>36.047771872717554</v>
      </c>
      <c r="BC132" s="2">
        <f t="shared" si="147"/>
        <v>38.323820528093485</v>
      </c>
      <c r="BD132">
        <f t="shared" si="148"/>
        <v>68.220237950195042</v>
      </c>
      <c r="BE132">
        <f t="shared" si="149"/>
        <v>8.2595543433162923</v>
      </c>
      <c r="BF132" s="12">
        <f t="shared" si="150"/>
        <v>37.722365179237372</v>
      </c>
      <c r="BG132">
        <f t="shared" si="151"/>
        <v>0.6014553488561134</v>
      </c>
      <c r="BH132">
        <f t="shared" si="152"/>
        <v>0.36174853666762907</v>
      </c>
      <c r="BJ132" s="7">
        <v>120</v>
      </c>
      <c r="BK132">
        <f t="shared" si="213"/>
        <v>110.87307108477121</v>
      </c>
      <c r="BL132">
        <f t="shared" si="214"/>
        <v>92.869704941524006</v>
      </c>
      <c r="BM132">
        <f t="shared" si="215"/>
        <v>0.1204438158751841</v>
      </c>
      <c r="BN132">
        <f t="shared" si="216"/>
        <v>713.7550224634</v>
      </c>
      <c r="BO132">
        <f t="shared" si="217"/>
        <v>1.3119943070752802</v>
      </c>
      <c r="BP132">
        <f t="shared" si="218"/>
        <v>70.89999844963927</v>
      </c>
      <c r="BQ132">
        <f t="shared" si="219"/>
        <v>104.37363378198751</v>
      </c>
      <c r="BR132">
        <f t="shared" si="220"/>
        <v>209.52390884772473</v>
      </c>
      <c r="BS132">
        <f t="shared" si="221"/>
        <v>53.049167339574559</v>
      </c>
      <c r="BT132">
        <f t="shared" si="222"/>
        <v>16.677724937191172</v>
      </c>
      <c r="BU132">
        <f t="shared" si="223"/>
        <v>12.83176684435818</v>
      </c>
      <c r="BV132">
        <f t="shared" si="224"/>
        <v>60.651989420887837</v>
      </c>
      <c r="BW132">
        <f t="shared" si="225"/>
        <v>44.560730742120938</v>
      </c>
      <c r="BX132">
        <f t="shared" si="226"/>
        <v>2.1619534752571289E-2</v>
      </c>
      <c r="BY132">
        <f t="shared" si="227"/>
        <v>52.795314208246417</v>
      </c>
      <c r="BZ132">
        <f t="shared" si="228"/>
        <v>317.2918407283791</v>
      </c>
      <c r="CA132">
        <f t="shared" si="229"/>
        <v>71.378619401984466</v>
      </c>
      <c r="CB132">
        <f t="shared" si="230"/>
        <v>20.13482813698916</v>
      </c>
      <c r="CC132">
        <f t="shared" si="231"/>
        <v>0.19690697866933543</v>
      </c>
      <c r="CD132">
        <f t="shared" si="232"/>
        <v>115.2249764560939</v>
      </c>
      <c r="CE132">
        <f t="shared" si="233"/>
        <v>187.02899919807226</v>
      </c>
      <c r="CF132">
        <f t="shared" si="234"/>
        <v>173.02059919920029</v>
      </c>
      <c r="CG132">
        <f t="shared" si="235"/>
        <v>48.135083691533993</v>
      </c>
      <c r="CH132">
        <f t="shared" si="236"/>
        <v>66.47749067603084</v>
      </c>
      <c r="CI132">
        <f t="shared" si="237"/>
        <v>17.951914270021099</v>
      </c>
      <c r="CJ132" s="7">
        <v>120</v>
      </c>
      <c r="CK132" s="13">
        <f t="shared" si="178"/>
        <v>37.136814145809886</v>
      </c>
      <c r="CL132">
        <f t="shared" si="179"/>
        <v>4.7089228093665856</v>
      </c>
      <c r="CM132">
        <f t="shared" si="180"/>
        <v>32.427891336443302</v>
      </c>
      <c r="CN132">
        <f t="shared" si="181"/>
        <v>41.84573695517647</v>
      </c>
      <c r="CO132">
        <f t="shared" si="182"/>
        <v>9.4178456187331712</v>
      </c>
      <c r="CP132">
        <f t="shared" si="183"/>
        <v>27.718968527076715</v>
      </c>
      <c r="CQ132">
        <f t="shared" si="184"/>
        <v>46.554659764543061</v>
      </c>
      <c r="CR132">
        <f t="shared" si="185"/>
        <v>14.126768428099757</v>
      </c>
      <c r="CS132">
        <f t="shared" si="186"/>
        <v>23.010045717710128</v>
      </c>
      <c r="CT132">
        <f t="shared" si="187"/>
        <v>51.263582573909645</v>
      </c>
    </row>
    <row r="133" spans="1:98" x14ac:dyDescent="0.25">
      <c r="A133" s="7">
        <v>122</v>
      </c>
      <c r="B133" s="9">
        <f t="shared" si="146"/>
        <v>38.33623792154831</v>
      </c>
      <c r="C133">
        <v>0.96270638142033138</v>
      </c>
      <c r="D133">
        <v>-0.32889797662282172</v>
      </c>
      <c r="E133">
        <v>-0.52958769493697933</v>
      </c>
      <c r="F133">
        <v>-0.74553666798913543</v>
      </c>
      <c r="G133">
        <v>0.488021485030671</v>
      </c>
      <c r="H133">
        <v>-0.3647877437665944</v>
      </c>
      <c r="I133">
        <v>0.83660390026551101</v>
      </c>
      <c r="J133">
        <v>0.74358348338267155</v>
      </c>
      <c r="K133">
        <v>-0.83153782769249551</v>
      </c>
      <c r="L133">
        <v>0.42027039399395738</v>
      </c>
      <c r="M133">
        <v>-0.80669576097903373</v>
      </c>
      <c r="N133">
        <v>-3.6103396710104652E-2</v>
      </c>
      <c r="O133">
        <v>-0.64128543961912898</v>
      </c>
      <c r="P133">
        <v>0.1274758140812402</v>
      </c>
      <c r="Q133">
        <v>-0.2585222937711722</v>
      </c>
      <c r="R133">
        <v>-0.20200201422162545</v>
      </c>
      <c r="S133">
        <v>-4.4709616382335837E-2</v>
      </c>
      <c r="T133">
        <v>0.43552964873195599</v>
      </c>
      <c r="U133">
        <v>-0.65910824915311128</v>
      </c>
      <c r="V133">
        <v>0.98028504287850571</v>
      </c>
      <c r="W133">
        <v>-0.18515579699087492</v>
      </c>
      <c r="X133">
        <v>0.59550767540513316</v>
      </c>
      <c r="Y133">
        <v>-0.22598956266975923</v>
      </c>
      <c r="Z133">
        <v>0.55491805780205694</v>
      </c>
      <c r="AA133">
        <v>-0.37058626056703392</v>
      </c>
      <c r="AC133" s="7">
        <v>122</v>
      </c>
      <c r="AD133">
        <f t="shared" si="188"/>
        <v>51.639644808728114</v>
      </c>
      <c r="AE133">
        <f t="shared" si="189"/>
        <v>33.791276247015524</v>
      </c>
      <c r="AF133">
        <f t="shared" si="190"/>
        <v>31.017993517895395</v>
      </c>
      <c r="AG133">
        <f t="shared" si="191"/>
        <v>28.033846834310538</v>
      </c>
      <c r="AH133">
        <f t="shared" si="192"/>
        <v>45.080088913239301</v>
      </c>
      <c r="AI133">
        <f t="shared" si="193"/>
        <v>33.295324226114481</v>
      </c>
      <c r="AJ133">
        <f t="shared" si="194"/>
        <v>49.897065089031585</v>
      </c>
      <c r="AK133">
        <f t="shared" si="195"/>
        <v>48.611638422614597</v>
      </c>
      <c r="AL133">
        <f t="shared" si="196"/>
        <v>26.84541758694732</v>
      </c>
      <c r="AM133">
        <f t="shared" si="197"/>
        <v>44.143852955415902</v>
      </c>
      <c r="AN133">
        <f t="shared" si="198"/>
        <v>27.188704104815905</v>
      </c>
      <c r="AO133">
        <f t="shared" si="199"/>
        <v>37.837333805284757</v>
      </c>
      <c r="AP133">
        <f t="shared" si="200"/>
        <v>29.474469371213573</v>
      </c>
      <c r="AQ133">
        <f t="shared" si="201"/>
        <v>40.097795397146662</v>
      </c>
      <c r="AR133">
        <f t="shared" si="202"/>
        <v>34.76378080500686</v>
      </c>
      <c r="AS133">
        <f t="shared" si="203"/>
        <v>35.544820892344219</v>
      </c>
      <c r="AT133">
        <f t="shared" si="204"/>
        <v>37.718406534966654</v>
      </c>
      <c r="AU133">
        <f t="shared" si="205"/>
        <v>44.354716909880629</v>
      </c>
      <c r="AV133">
        <f t="shared" si="206"/>
        <v>29.22818027239877</v>
      </c>
      <c r="AW133">
        <f t="shared" si="207"/>
        <v>51.882560084271482</v>
      </c>
      <c r="AX133">
        <f t="shared" si="208"/>
        <v>35.777614698073279</v>
      </c>
      <c r="AY133">
        <f t="shared" si="209"/>
        <v>46.565414608488858</v>
      </c>
      <c r="AZ133">
        <f t="shared" si="210"/>
        <v>35.213342755925659</v>
      </c>
      <c r="BA133">
        <f t="shared" si="211"/>
        <v>46.004516489612676</v>
      </c>
      <c r="BB133">
        <f t="shared" si="212"/>
        <v>33.21519592341788</v>
      </c>
      <c r="BC133" s="2">
        <f t="shared" si="147"/>
        <v>38.288920050166418</v>
      </c>
      <c r="BD133">
        <f t="shared" si="148"/>
        <v>63.832740389986611</v>
      </c>
      <c r="BE133">
        <f t="shared" si="149"/>
        <v>7.9895394354109435</v>
      </c>
      <c r="BF133" s="12">
        <f t="shared" si="150"/>
        <v>38.010467397534782</v>
      </c>
      <c r="BG133">
        <f t="shared" si="151"/>
        <v>0.27845265263163554</v>
      </c>
      <c r="BH133">
        <f t="shared" si="152"/>
        <v>7.7535879757594295E-2</v>
      </c>
      <c r="BJ133" s="7">
        <v>121</v>
      </c>
      <c r="BK133">
        <f t="shared" si="213"/>
        <v>238.75397975607757</v>
      </c>
      <c r="BL133">
        <f t="shared" si="214"/>
        <v>31.209404533941541</v>
      </c>
      <c r="BM133">
        <f t="shared" si="215"/>
        <v>44.165271082109143</v>
      </c>
      <c r="BN133">
        <f t="shared" si="216"/>
        <v>11.560013168161598</v>
      </c>
      <c r="BO133">
        <f t="shared" si="217"/>
        <v>0.92258241366391947</v>
      </c>
      <c r="BP133">
        <f t="shared" si="218"/>
        <v>216.60848015021227</v>
      </c>
      <c r="BQ133">
        <f t="shared" si="219"/>
        <v>7.5556362132831936</v>
      </c>
      <c r="BR133">
        <f t="shared" si="220"/>
        <v>92.079490729242579</v>
      </c>
      <c r="BS133">
        <f t="shared" si="221"/>
        <v>1.1424231580431934</v>
      </c>
      <c r="BT133">
        <f t="shared" si="222"/>
        <v>248.66855318807987</v>
      </c>
      <c r="BU133">
        <f t="shared" si="223"/>
        <v>27.306433347510445</v>
      </c>
      <c r="BV133">
        <f t="shared" si="224"/>
        <v>3.5426904560374775</v>
      </c>
      <c r="BW133">
        <f t="shared" si="225"/>
        <v>243.58635104200678</v>
      </c>
      <c r="BX133">
        <f t="shared" si="226"/>
        <v>47.871032597983188</v>
      </c>
      <c r="BY133">
        <f t="shared" si="227"/>
        <v>127.85874781428002</v>
      </c>
      <c r="BZ133">
        <f t="shared" si="228"/>
        <v>12.127097466027868</v>
      </c>
      <c r="CA133">
        <f t="shared" si="229"/>
        <v>236.30381500603951</v>
      </c>
      <c r="CB133">
        <f t="shared" si="230"/>
        <v>50.930904390906164</v>
      </c>
      <c r="CC133">
        <f t="shared" si="231"/>
        <v>41.700747561120558</v>
      </c>
      <c r="CD133">
        <f t="shared" si="232"/>
        <v>154.02405149506666</v>
      </c>
      <c r="CE133">
        <f t="shared" si="233"/>
        <v>10.087614730960718</v>
      </c>
      <c r="CF133">
        <f t="shared" si="234"/>
        <v>0.24912671338369799</v>
      </c>
      <c r="CG133">
        <f t="shared" si="235"/>
        <v>83.886211652461043</v>
      </c>
      <c r="CH133">
        <f t="shared" si="236"/>
        <v>2.6784103831009602</v>
      </c>
      <c r="CI133">
        <f t="shared" si="237"/>
        <v>0.40671366861923014</v>
      </c>
      <c r="CJ133" s="7">
        <v>121</v>
      </c>
      <c r="CK133" s="13">
        <f t="shared" si="178"/>
        <v>37.421420759431747</v>
      </c>
      <c r="CL133">
        <f t="shared" si="179"/>
        <v>4.7589322212023344</v>
      </c>
      <c r="CM133">
        <f t="shared" si="180"/>
        <v>32.662488538229411</v>
      </c>
      <c r="CN133">
        <f t="shared" si="181"/>
        <v>42.180352980634083</v>
      </c>
      <c r="CO133">
        <f t="shared" si="182"/>
        <v>9.5178644424046688</v>
      </c>
      <c r="CP133">
        <f t="shared" si="183"/>
        <v>27.903556317027078</v>
      </c>
      <c r="CQ133">
        <f t="shared" si="184"/>
        <v>46.939285201836412</v>
      </c>
      <c r="CR133">
        <f t="shared" si="185"/>
        <v>14.276796663607003</v>
      </c>
      <c r="CS133">
        <f t="shared" si="186"/>
        <v>23.144624095824746</v>
      </c>
      <c r="CT133">
        <f t="shared" si="187"/>
        <v>51.698217423038749</v>
      </c>
    </row>
    <row r="134" spans="1:98" x14ac:dyDescent="0.25">
      <c r="A134" s="7">
        <v>123</v>
      </c>
      <c r="B134" s="9">
        <f t="shared" si="146"/>
        <v>38.627822321598067</v>
      </c>
      <c r="C134">
        <v>5.5696279793694847E-2</v>
      </c>
      <c r="D134">
        <v>-0.87701040681173126</v>
      </c>
      <c r="E134">
        <v>-5.1576281014434899E-3</v>
      </c>
      <c r="F134">
        <v>0.82134464552751241</v>
      </c>
      <c r="G134">
        <v>2.6825769829401436E-2</v>
      </c>
      <c r="H134">
        <v>0.3230994598223822</v>
      </c>
      <c r="I134">
        <v>-0.20755638294625689</v>
      </c>
      <c r="J134">
        <v>-0.98022400585955383</v>
      </c>
      <c r="K134">
        <v>-0.69823297830133968</v>
      </c>
      <c r="L134">
        <v>0.95361186559648425</v>
      </c>
      <c r="M134">
        <v>0.33597827082125309</v>
      </c>
      <c r="N134">
        <v>0.68242439039277314</v>
      </c>
      <c r="O134">
        <v>0.64165166173284094</v>
      </c>
      <c r="P134">
        <v>-0.67021698660237439</v>
      </c>
      <c r="Q134">
        <v>-0.11685537278359326</v>
      </c>
      <c r="R134">
        <v>0.423444318979461</v>
      </c>
      <c r="S134">
        <v>-0.95953245643482776</v>
      </c>
      <c r="T134">
        <v>0.95873897518845186</v>
      </c>
      <c r="U134">
        <v>-0.55455183568834499</v>
      </c>
      <c r="V134">
        <v>-0.38828699606311223</v>
      </c>
      <c r="W134">
        <v>0.18185979796746721</v>
      </c>
      <c r="X134">
        <v>0.41990417188024542</v>
      </c>
      <c r="Y134">
        <v>-0.60521256141850033</v>
      </c>
      <c r="Z134">
        <v>-0.19931638538773766</v>
      </c>
      <c r="AA134">
        <v>0.39872432630390331</v>
      </c>
      <c r="AC134" s="7">
        <v>123</v>
      </c>
      <c r="AD134">
        <f t="shared" si="188"/>
        <v>39.397475755394332</v>
      </c>
      <c r="AE134">
        <f t="shared" si="189"/>
        <v>26.508627402692184</v>
      </c>
      <c r="AF134">
        <f t="shared" si="190"/>
        <v>38.556550304988988</v>
      </c>
      <c r="AG134">
        <f t="shared" si="191"/>
        <v>49.977785534616615</v>
      </c>
      <c r="AH134">
        <f t="shared" si="192"/>
        <v>38.99852115354706</v>
      </c>
      <c r="AI134">
        <f t="shared" si="193"/>
        <v>43.092655693434253</v>
      </c>
      <c r="AJ134">
        <f t="shared" si="194"/>
        <v>35.759650812968815</v>
      </c>
      <c r="AK134">
        <f t="shared" si="195"/>
        <v>25.082343614692753</v>
      </c>
      <c r="AL134">
        <f t="shared" si="196"/>
        <v>28.979109493200959</v>
      </c>
      <c r="AM134">
        <f t="shared" si="197"/>
        <v>51.805554291916891</v>
      </c>
      <c r="AN134">
        <f t="shared" si="198"/>
        <v>43.270624871002489</v>
      </c>
      <c r="AO134">
        <f t="shared" si="199"/>
        <v>48.058080093169714</v>
      </c>
      <c r="AP134">
        <f t="shared" si="200"/>
        <v>47.494651606839959</v>
      </c>
      <c r="AQ134">
        <f t="shared" si="201"/>
        <v>29.3662557135982</v>
      </c>
      <c r="AR134">
        <f t="shared" si="202"/>
        <v>37.013026158307163</v>
      </c>
      <c r="AS134">
        <f t="shared" si="203"/>
        <v>44.479297057994323</v>
      </c>
      <c r="AT134">
        <f t="shared" si="204"/>
        <v>25.368275136946924</v>
      </c>
      <c r="AU134">
        <f t="shared" si="205"/>
        <v>51.876404580617049</v>
      </c>
      <c r="AV134">
        <f t="shared" si="206"/>
        <v>30.964604488440855</v>
      </c>
      <c r="AW134">
        <f t="shared" si="207"/>
        <v>33.262178136288554</v>
      </c>
      <c r="AX134">
        <f t="shared" si="208"/>
        <v>41.140898930908719</v>
      </c>
      <c r="AY134">
        <f t="shared" si="209"/>
        <v>44.430376620558505</v>
      </c>
      <c r="AZ134">
        <f t="shared" si="210"/>
        <v>30.264536159617954</v>
      </c>
      <c r="BA134">
        <f t="shared" si="211"/>
        <v>35.873517348379764</v>
      </c>
      <c r="BB134">
        <f t="shared" si="212"/>
        <v>44.137697451761461</v>
      </c>
      <c r="BC134" s="2">
        <f t="shared" si="147"/>
        <v>38.606347936475387</v>
      </c>
      <c r="BD134">
        <f t="shared" si="148"/>
        <v>68.886313124334563</v>
      </c>
      <c r="BE134">
        <f t="shared" si="149"/>
        <v>8.2997778960846027</v>
      </c>
      <c r="BF134" s="12">
        <f t="shared" si="150"/>
        <v>38.298569615832193</v>
      </c>
      <c r="BG134">
        <f t="shared" si="151"/>
        <v>0.30777832064319455</v>
      </c>
      <c r="BH134">
        <f t="shared" si="152"/>
        <v>9.4727494657945069E-2</v>
      </c>
      <c r="BJ134" s="7">
        <v>122</v>
      </c>
      <c r="BK134">
        <f t="shared" si="213"/>
        <v>109.5842623050663</v>
      </c>
      <c r="BL134">
        <f t="shared" si="214"/>
        <v>46.173787708646053</v>
      </c>
      <c r="BM134">
        <f t="shared" si="215"/>
        <v>34.291268427179311</v>
      </c>
      <c r="BN134">
        <f t="shared" si="216"/>
        <v>24.391408635672899</v>
      </c>
      <c r="BO134">
        <f t="shared" si="217"/>
        <v>128.74413198357078</v>
      </c>
      <c r="BP134">
        <f t="shared" si="218"/>
        <v>3.9710599538215856</v>
      </c>
      <c r="BQ134">
        <f t="shared" si="219"/>
        <v>223.40035064320469</v>
      </c>
      <c r="BR134">
        <f t="shared" si="220"/>
        <v>172.75522359477441</v>
      </c>
      <c r="BS134">
        <f t="shared" si="221"/>
        <v>275.58210486975258</v>
      </c>
      <c r="BT134">
        <f t="shared" si="222"/>
        <v>123.65221205232463</v>
      </c>
      <c r="BU134">
        <f t="shared" si="223"/>
        <v>181.6187178863986</v>
      </c>
      <c r="BV134">
        <f t="shared" si="224"/>
        <v>1.4089442272879866</v>
      </c>
      <c r="BW134">
        <f t="shared" si="225"/>
        <v>134.92434308223437</v>
      </c>
      <c r="BX134">
        <f t="shared" si="226"/>
        <v>0.28932914533381571</v>
      </c>
      <c r="BY134">
        <f t="shared" si="227"/>
        <v>11.734687111246457</v>
      </c>
      <c r="BZ134">
        <f t="shared" si="228"/>
        <v>46.087397944818647</v>
      </c>
      <c r="CA134">
        <f t="shared" si="229"/>
        <v>20.976800608012873</v>
      </c>
      <c r="CB134">
        <f t="shared" si="230"/>
        <v>0.60311350664988428</v>
      </c>
      <c r="CC134">
        <f t="shared" si="231"/>
        <v>125.08366084001167</v>
      </c>
      <c r="CD134">
        <f t="shared" si="232"/>
        <v>179.14471881701763</v>
      </c>
      <c r="CE134">
        <f t="shared" si="233"/>
        <v>53.584679822306668</v>
      </c>
      <c r="CF134">
        <f t="shared" si="234"/>
        <v>26.581053010832584</v>
      </c>
      <c r="CG134">
        <f t="shared" si="235"/>
        <v>8.5613611651735013</v>
      </c>
      <c r="CH134">
        <f t="shared" si="236"/>
        <v>21.055677614265655</v>
      </c>
      <c r="CI134">
        <f t="shared" si="237"/>
        <v>14.049027419519962</v>
      </c>
      <c r="CJ134" s="7">
        <v>122</v>
      </c>
      <c r="CK134" s="13">
        <f t="shared" si="178"/>
        <v>37.706027373053608</v>
      </c>
      <c r="CL134">
        <f t="shared" si="179"/>
        <v>4.8089728896038739</v>
      </c>
      <c r="CM134">
        <f t="shared" si="180"/>
        <v>32.897054483449736</v>
      </c>
      <c r="CN134">
        <f t="shared" si="181"/>
        <v>42.51500026265748</v>
      </c>
      <c r="CO134">
        <f t="shared" si="182"/>
        <v>9.6179457792077478</v>
      </c>
      <c r="CP134">
        <f t="shared" si="183"/>
        <v>28.08808159384586</v>
      </c>
      <c r="CQ134">
        <f t="shared" si="184"/>
        <v>47.32397315226136</v>
      </c>
      <c r="CR134">
        <f t="shared" si="185"/>
        <v>14.426918668811622</v>
      </c>
      <c r="CS134">
        <f t="shared" si="186"/>
        <v>23.279108704241985</v>
      </c>
      <c r="CT134">
        <f t="shared" si="187"/>
        <v>52.132946041865232</v>
      </c>
    </row>
    <row r="135" spans="1:98" x14ac:dyDescent="0.25">
      <c r="A135" s="7">
        <v>124</v>
      </c>
      <c r="B135" s="9">
        <f t="shared" si="146"/>
        <v>38.919406721647825</v>
      </c>
      <c r="C135">
        <v>0.7346720786156804</v>
      </c>
      <c r="D135">
        <v>-0.39481795709097567</v>
      </c>
      <c r="E135">
        <v>-0.44737083040864289</v>
      </c>
      <c r="F135">
        <v>0.45023957029938666</v>
      </c>
      <c r="G135">
        <v>-0.71324808496353032</v>
      </c>
      <c r="H135">
        <v>-5.7527390362254738E-2</v>
      </c>
      <c r="I135">
        <v>0.22049623096407966</v>
      </c>
      <c r="J135">
        <v>0.42722861415448476</v>
      </c>
      <c r="K135">
        <v>0.3553270058290352</v>
      </c>
      <c r="L135">
        <v>0.91375469222083194</v>
      </c>
      <c r="M135">
        <v>-0.75139622180852683</v>
      </c>
      <c r="N135">
        <v>9.9215674306466939E-2</v>
      </c>
      <c r="O135">
        <v>-0.67571031830805384</v>
      </c>
      <c r="P135">
        <v>-0.71019623401593068</v>
      </c>
      <c r="Q135">
        <v>0.55589465010528882</v>
      </c>
      <c r="R135">
        <v>1.5106662190618625E-2</v>
      </c>
      <c r="S135">
        <v>0.6301767021698661</v>
      </c>
      <c r="T135">
        <v>0.5128635517441329</v>
      </c>
      <c r="U135">
        <v>0.56340220343638414</v>
      </c>
      <c r="V135">
        <v>-0.32956938383129364</v>
      </c>
      <c r="W135">
        <v>0.50968962675862906</v>
      </c>
      <c r="X135">
        <v>0.70091860713522758</v>
      </c>
      <c r="Y135">
        <v>-0.57109286782433544</v>
      </c>
      <c r="Z135">
        <v>5.3559984130375105E-2</v>
      </c>
      <c r="AA135">
        <v>0.61210974456007561</v>
      </c>
      <c r="AC135" s="7">
        <v>124</v>
      </c>
      <c r="AD135">
        <f t="shared" si="188"/>
        <v>49.071662673306705</v>
      </c>
      <c r="AE135">
        <f t="shared" si="189"/>
        <v>33.463512763827403</v>
      </c>
      <c r="AF135">
        <f t="shared" si="190"/>
        <v>32.737297304650873</v>
      </c>
      <c r="AG135">
        <f t="shared" si="191"/>
        <v>45.141158562084144</v>
      </c>
      <c r="AH135">
        <f t="shared" si="192"/>
        <v>29.063203762057423</v>
      </c>
      <c r="AI135">
        <f t="shared" si="193"/>
        <v>38.12444961331579</v>
      </c>
      <c r="AJ135">
        <f t="shared" si="194"/>
        <v>41.966390863663172</v>
      </c>
      <c r="AK135">
        <f t="shared" si="195"/>
        <v>44.82317571875133</v>
      </c>
      <c r="AL135">
        <f t="shared" si="196"/>
        <v>43.82958476531352</v>
      </c>
      <c r="AM135">
        <f t="shared" si="197"/>
        <v>51.546362042904775</v>
      </c>
      <c r="AN135">
        <f t="shared" si="198"/>
        <v>28.536043875895597</v>
      </c>
      <c r="AO135">
        <f t="shared" si="199"/>
        <v>40.290444153577496</v>
      </c>
      <c r="AP135">
        <f t="shared" si="200"/>
        <v>29.581929090040656</v>
      </c>
      <c r="AQ135">
        <f t="shared" si="201"/>
        <v>29.105376552950368</v>
      </c>
      <c r="AR135">
        <f t="shared" si="202"/>
        <v>46.60118058279793</v>
      </c>
      <c r="AS135">
        <f t="shared" si="203"/>
        <v>39.128162036567907</v>
      </c>
      <c r="AT135">
        <f t="shared" si="204"/>
        <v>47.627666313132238</v>
      </c>
      <c r="AU135">
        <f t="shared" si="205"/>
        <v>46.0065442312074</v>
      </c>
      <c r="AV135">
        <f t="shared" si="206"/>
        <v>46.704925648394578</v>
      </c>
      <c r="AW135">
        <f t="shared" si="207"/>
        <v>34.365167033118588</v>
      </c>
      <c r="AX135">
        <f t="shared" si="208"/>
        <v>45.962684528678729</v>
      </c>
      <c r="AY135">
        <f t="shared" si="209"/>
        <v>48.605231606030728</v>
      </c>
      <c r="AZ135">
        <f t="shared" si="210"/>
        <v>31.027612361850846</v>
      </c>
      <c r="BA135">
        <f t="shared" si="211"/>
        <v>39.65953920181903</v>
      </c>
      <c r="BB135">
        <f t="shared" si="212"/>
        <v>47.378003391045993</v>
      </c>
      <c r="BC135" s="2">
        <f t="shared" si="147"/>
        <v>40.413892347079333</v>
      </c>
      <c r="BD135">
        <f t="shared" si="148"/>
        <v>54.869097158631426</v>
      </c>
      <c r="BE135">
        <f t="shared" si="149"/>
        <v>7.4073677618052303</v>
      </c>
      <c r="BF135" s="12">
        <f t="shared" si="150"/>
        <v>38.586671834129604</v>
      </c>
      <c r="BG135">
        <f t="shared" si="151"/>
        <v>1.8272205129497294</v>
      </c>
      <c r="BH135">
        <f t="shared" si="152"/>
        <v>3.3387348029442725</v>
      </c>
      <c r="BJ135" s="7">
        <v>123</v>
      </c>
      <c r="BK135">
        <f t="shared" si="213"/>
        <v>4.4188095489489152</v>
      </c>
      <c r="BL135">
        <f t="shared" si="214"/>
        <v>206.93709583952071</v>
      </c>
      <c r="BM135">
        <f t="shared" si="215"/>
        <v>1.9290811762999902</v>
      </c>
      <c r="BN135">
        <f t="shared" si="216"/>
        <v>715.96817052752101</v>
      </c>
      <c r="BO135">
        <f t="shared" si="217"/>
        <v>25.259510771655325</v>
      </c>
      <c r="BP135">
        <f t="shared" si="218"/>
        <v>56.904839090919658</v>
      </c>
      <c r="BQ135">
        <f t="shared" si="219"/>
        <v>0.28977001468731967</v>
      </c>
      <c r="BR135">
        <f t="shared" si="220"/>
        <v>113.44032575799505</v>
      </c>
      <c r="BS135">
        <f t="shared" si="221"/>
        <v>219.72397720479762</v>
      </c>
      <c r="BT135">
        <f t="shared" si="222"/>
        <v>343.84130309347194</v>
      </c>
      <c r="BU135">
        <f t="shared" si="223"/>
        <v>5.3322286451856113</v>
      </c>
      <c r="BV135">
        <f t="shared" si="224"/>
        <v>76.265932590049971</v>
      </c>
      <c r="BW135">
        <f t="shared" si="225"/>
        <v>36.81678660289969</v>
      </c>
      <c r="BX135">
        <f t="shared" si="226"/>
        <v>133.67077368025099</v>
      </c>
      <c r="BY135">
        <f t="shared" si="227"/>
        <v>2.1833740377202284</v>
      </c>
      <c r="BZ135">
        <f t="shared" si="228"/>
        <v>241.61178029117767</v>
      </c>
      <c r="CA135">
        <f t="shared" si="229"/>
        <v>64.422497343887173</v>
      </c>
      <c r="CB135">
        <f t="shared" si="230"/>
        <v>63.244107622922357</v>
      </c>
      <c r="CC135">
        <f t="shared" si="231"/>
        <v>95.049488927561541</v>
      </c>
      <c r="CD135">
        <f t="shared" si="232"/>
        <v>30.631323481660335</v>
      </c>
      <c r="CE135">
        <f t="shared" si="233"/>
        <v>5.2637876475975789</v>
      </c>
      <c r="CF135">
        <f t="shared" si="234"/>
        <v>7.2729676663885074</v>
      </c>
      <c r="CG135">
        <f t="shared" si="235"/>
        <v>66.266136427436081</v>
      </c>
      <c r="CH135">
        <f t="shared" si="236"/>
        <v>34.321212604400785</v>
      </c>
      <c r="CI135">
        <f t="shared" si="237"/>
        <v>47.560499766697397</v>
      </c>
      <c r="CJ135" s="7">
        <v>123</v>
      </c>
      <c r="CK135" s="13">
        <f t="shared" si="178"/>
        <v>37.990633986675476</v>
      </c>
      <c r="CL135">
        <f t="shared" si="179"/>
        <v>4.8590438488878265</v>
      </c>
      <c r="CM135">
        <f t="shared" si="180"/>
        <v>33.131590137787647</v>
      </c>
      <c r="CN135">
        <f t="shared" si="181"/>
        <v>42.849677835563305</v>
      </c>
      <c r="CO135">
        <f t="shared" si="182"/>
        <v>9.718087697775653</v>
      </c>
      <c r="CP135">
        <f t="shared" si="183"/>
        <v>28.272546288899825</v>
      </c>
      <c r="CQ135">
        <f t="shared" si="184"/>
        <v>47.708721684451127</v>
      </c>
      <c r="CR135">
        <f t="shared" si="185"/>
        <v>14.57713154666348</v>
      </c>
      <c r="CS135">
        <f t="shared" si="186"/>
        <v>23.413502440011996</v>
      </c>
      <c r="CT135">
        <f t="shared" si="187"/>
        <v>52.567765533338957</v>
      </c>
    </row>
    <row r="136" spans="1:98" x14ac:dyDescent="0.25">
      <c r="A136" s="7">
        <v>125</v>
      </c>
      <c r="B136" s="9">
        <f t="shared" si="146"/>
        <v>39.210991121697589</v>
      </c>
      <c r="C136">
        <v>6.399731437116607E-2</v>
      </c>
      <c r="D136">
        <v>5.1362651448103369E-2</v>
      </c>
      <c r="E136">
        <v>0.88329721976378672</v>
      </c>
      <c r="F136">
        <v>-0.46397289956358534</v>
      </c>
      <c r="G136">
        <v>0.54148991363261811</v>
      </c>
      <c r="H136">
        <v>0.40653706472975859</v>
      </c>
      <c r="I136">
        <v>-0.14993743705557416</v>
      </c>
      <c r="J136">
        <v>0.3553270058290352</v>
      </c>
      <c r="K136">
        <v>-0.52482680745872368</v>
      </c>
      <c r="L136">
        <v>-0.2219611194189276</v>
      </c>
      <c r="M136">
        <v>0.1742301705984679</v>
      </c>
      <c r="N136">
        <v>-0.80462050233466598</v>
      </c>
      <c r="O136">
        <v>0.13052766502884006</v>
      </c>
      <c r="P136">
        <v>0.44523453474532304</v>
      </c>
      <c r="Q136">
        <v>-0.20761741996520888</v>
      </c>
      <c r="R136">
        <v>0.92303231910153505</v>
      </c>
      <c r="S136">
        <v>0.87713248084963524</v>
      </c>
      <c r="T136">
        <v>-0.60985137485885188</v>
      </c>
      <c r="U136">
        <v>0.48594622638630325</v>
      </c>
      <c r="V136">
        <v>-0.98840296639912106</v>
      </c>
      <c r="W136">
        <v>-0.15775017548142944</v>
      </c>
      <c r="X136">
        <v>-0.41300698873867003</v>
      </c>
      <c r="Y136">
        <v>0.26273384807885991</v>
      </c>
      <c r="Z136">
        <v>-0.35483870967741937</v>
      </c>
      <c r="AA136">
        <v>0.85003204443494984</v>
      </c>
      <c r="AC136" s="7">
        <v>125</v>
      </c>
      <c r="AD136">
        <f t="shared" si="188"/>
        <v>40.095354546722668</v>
      </c>
      <c r="AE136">
        <f t="shared" si="189"/>
        <v>39.920759192425869</v>
      </c>
      <c r="AF136">
        <f t="shared" si="190"/>
        <v>51.417061989842942</v>
      </c>
      <c r="AG136">
        <f t="shared" si="191"/>
        <v>32.799461722243009</v>
      </c>
      <c r="AH136">
        <f t="shared" si="192"/>
        <v>46.693709409832991</v>
      </c>
      <c r="AI136">
        <f t="shared" si="193"/>
        <v>44.82882859654692</v>
      </c>
      <c r="AJ136">
        <f t="shared" si="194"/>
        <v>37.139041905127151</v>
      </c>
      <c r="AK136">
        <f t="shared" si="195"/>
        <v>44.121169165363284</v>
      </c>
      <c r="AL136">
        <f t="shared" si="196"/>
        <v>31.958536271837673</v>
      </c>
      <c r="AM136">
        <f t="shared" si="197"/>
        <v>36.143764040053625</v>
      </c>
      <c r="AN136">
        <f t="shared" si="198"/>
        <v>41.618635753775877</v>
      </c>
      <c r="AO136">
        <f t="shared" si="199"/>
        <v>28.092134802772385</v>
      </c>
      <c r="AP136">
        <f t="shared" si="200"/>
        <v>41.014721388188889</v>
      </c>
      <c r="AQ136">
        <f t="shared" si="201"/>
        <v>45.363579585069473</v>
      </c>
      <c r="AR136">
        <f t="shared" si="202"/>
        <v>36.341976157250471</v>
      </c>
      <c r="AS136">
        <f t="shared" si="203"/>
        <v>51.966151727269093</v>
      </c>
      <c r="AT136">
        <f t="shared" si="204"/>
        <v>51.331872952239188</v>
      </c>
      <c r="AU136">
        <f t="shared" si="205"/>
        <v>30.783602317560195</v>
      </c>
      <c r="AV136">
        <f t="shared" si="206"/>
        <v>45.926164615581378</v>
      </c>
      <c r="AW136">
        <f t="shared" si="207"/>
        <v>25.552489335199176</v>
      </c>
      <c r="AX136">
        <f t="shared" si="208"/>
        <v>37.031079560441214</v>
      </c>
      <c r="AY136">
        <f t="shared" si="209"/>
        <v>33.503747330155207</v>
      </c>
      <c r="AZ136">
        <f t="shared" si="210"/>
        <v>42.841646689671308</v>
      </c>
      <c r="BA136">
        <f t="shared" si="211"/>
        <v>34.307560724574763</v>
      </c>
      <c r="BB136">
        <f t="shared" si="212"/>
        <v>50.957378569109828</v>
      </c>
      <c r="BC136" s="2">
        <f t="shared" si="147"/>
        <v>40.070017133954174</v>
      </c>
      <c r="BD136">
        <f t="shared" si="148"/>
        <v>56.436037163115238</v>
      </c>
      <c r="BE136">
        <f t="shared" si="149"/>
        <v>7.5123922397006959</v>
      </c>
      <c r="BF136" s="12">
        <f t="shared" si="150"/>
        <v>38.874774052427014</v>
      </c>
      <c r="BG136">
        <f t="shared" si="151"/>
        <v>1.1952430815271597</v>
      </c>
      <c r="BH136">
        <f t="shared" si="152"/>
        <v>1.4286060239385407</v>
      </c>
      <c r="BJ136" s="7">
        <v>124</v>
      </c>
      <c r="BK136">
        <f t="shared" si="213"/>
        <v>52.474273207927908</v>
      </c>
      <c r="BL136">
        <f t="shared" si="214"/>
        <v>59.875912850345607</v>
      </c>
      <c r="BM136">
        <f t="shared" si="215"/>
        <v>22.317194113409382</v>
      </c>
      <c r="BN136">
        <f t="shared" si="216"/>
        <v>475.05827206894895</v>
      </c>
      <c r="BO136">
        <f t="shared" si="217"/>
        <v>26.507346887496343</v>
      </c>
      <c r="BP136">
        <f t="shared" si="218"/>
        <v>5.3558620282322691</v>
      </c>
      <c r="BQ136">
        <f t="shared" si="219"/>
        <v>41.914966381827107</v>
      </c>
      <c r="BR136">
        <f t="shared" si="220"/>
        <v>77.87736077512082</v>
      </c>
      <c r="BS136">
        <f t="shared" si="221"/>
        <v>0.10806307939820659</v>
      </c>
      <c r="BT136">
        <f t="shared" si="222"/>
        <v>325.62640724413353</v>
      </c>
      <c r="BU136">
        <f t="shared" si="223"/>
        <v>161.83857422455043</v>
      </c>
      <c r="BV136">
        <f t="shared" si="224"/>
        <v>0.44180087648369648</v>
      </c>
      <c r="BW136">
        <f t="shared" si="225"/>
        <v>148.39730718257726</v>
      </c>
      <c r="BX136">
        <f t="shared" si="226"/>
        <v>146.7650286536915</v>
      </c>
      <c r="BY136">
        <f t="shared" si="227"/>
        <v>60.984434192084194</v>
      </c>
      <c r="BZ136">
        <f t="shared" si="228"/>
        <v>100.2672077186152</v>
      </c>
      <c r="CA136">
        <f t="shared" si="229"/>
        <v>195.34963967372826</v>
      </c>
      <c r="CB136">
        <f t="shared" si="230"/>
        <v>3.0174502386788382</v>
      </c>
      <c r="CC136">
        <f t="shared" si="231"/>
        <v>32.368272703015421</v>
      </c>
      <c r="CD136">
        <f t="shared" si="232"/>
        <v>22.375161314985871</v>
      </c>
      <c r="CE136">
        <f t="shared" si="233"/>
        <v>4.7963974799214286</v>
      </c>
      <c r="CF136">
        <f t="shared" si="234"/>
        <v>42.874986401362314</v>
      </c>
      <c r="CG136">
        <f t="shared" si="235"/>
        <v>58.41452887526615</v>
      </c>
      <c r="CH136">
        <f t="shared" si="236"/>
        <v>5.7048720779587576</v>
      </c>
      <c r="CI136">
        <f t="shared" si="237"/>
        <v>97.196564932058521</v>
      </c>
      <c r="CJ136" s="7">
        <v>124</v>
      </c>
      <c r="CK136" s="13">
        <f t="shared" si="178"/>
        <v>38.275240600297337</v>
      </c>
      <c r="CL136">
        <f t="shared" si="179"/>
        <v>4.909144172196064</v>
      </c>
      <c r="CM136">
        <f t="shared" si="180"/>
        <v>33.366096428101272</v>
      </c>
      <c r="CN136">
        <f t="shared" si="181"/>
        <v>43.184384772493402</v>
      </c>
      <c r="CO136">
        <f t="shared" si="182"/>
        <v>9.8182883443921281</v>
      </c>
      <c r="CP136">
        <f t="shared" si="183"/>
        <v>28.456952255905207</v>
      </c>
      <c r="CQ136">
        <f t="shared" si="184"/>
        <v>48.093528944689467</v>
      </c>
      <c r="CR136">
        <f t="shared" si="185"/>
        <v>14.727432516588191</v>
      </c>
      <c r="CS136">
        <f t="shared" si="186"/>
        <v>23.547808083709146</v>
      </c>
      <c r="CT136">
        <f t="shared" si="187"/>
        <v>53.002673116885532</v>
      </c>
    </row>
    <row r="137" spans="1:98" x14ac:dyDescent="0.25">
      <c r="A137" s="7">
        <v>126</v>
      </c>
      <c r="B137" s="9">
        <f t="shared" si="146"/>
        <v>39.502575521747346</v>
      </c>
      <c r="C137">
        <v>-0.56401257362590407</v>
      </c>
      <c r="D137">
        <v>-0.6938993499557482</v>
      </c>
      <c r="E137">
        <v>-0.87719351786858724</v>
      </c>
      <c r="F137">
        <v>-0.54283272804956206</v>
      </c>
      <c r="G137">
        <v>-9.5736564226203247E-2</v>
      </c>
      <c r="H137">
        <v>0.80175176244392232</v>
      </c>
      <c r="I137">
        <v>0.62657551805169831</v>
      </c>
      <c r="J137">
        <v>0.90014343699453714</v>
      </c>
      <c r="K137">
        <v>-6.4058351390118062E-2</v>
      </c>
      <c r="L137">
        <v>0.95684682760093986</v>
      </c>
      <c r="M137">
        <v>-0.58531449324015017</v>
      </c>
      <c r="N137">
        <v>0.76390881069368577</v>
      </c>
      <c r="O137">
        <v>-0.30484939115573595</v>
      </c>
      <c r="P137">
        <v>-0.47752311777092804</v>
      </c>
      <c r="Q137">
        <v>0.50419629505294972</v>
      </c>
      <c r="R137">
        <v>0.18637653736991489</v>
      </c>
      <c r="S137">
        <v>0.2024292733542894</v>
      </c>
      <c r="T137">
        <v>-0.86675618762779627</v>
      </c>
      <c r="U137">
        <v>-9.7140415662099078E-2</v>
      </c>
      <c r="V137">
        <v>0.41062654499954232</v>
      </c>
      <c r="W137">
        <v>0.92907498397778254</v>
      </c>
      <c r="X137">
        <v>0.77477340006714068</v>
      </c>
      <c r="Y137">
        <v>-0.54441969054231398</v>
      </c>
      <c r="Z137">
        <v>0.49674977874080639</v>
      </c>
      <c r="AA137">
        <v>-8.9510788293099774E-2</v>
      </c>
      <c r="AC137" s="7">
        <v>126</v>
      </c>
      <c r="AD137">
        <f t="shared" si="188"/>
        <v>31.708622036822</v>
      </c>
      <c r="AE137">
        <f t="shared" si="189"/>
        <v>29.913748056418221</v>
      </c>
      <c r="AF137">
        <f t="shared" si="190"/>
        <v>27.380850235387886</v>
      </c>
      <c r="AG137">
        <f t="shared" si="191"/>
        <v>32.001301205619043</v>
      </c>
      <c r="AH137">
        <f t="shared" si="192"/>
        <v>38.179615071435627</v>
      </c>
      <c r="AI137">
        <f t="shared" si="193"/>
        <v>50.581789417233182</v>
      </c>
      <c r="AJ137">
        <f t="shared" si="194"/>
        <v>48.161071219978083</v>
      </c>
      <c r="AK137">
        <f t="shared" si="195"/>
        <v>51.941440195621759</v>
      </c>
      <c r="AL137">
        <f t="shared" si="196"/>
        <v>38.617368640904409</v>
      </c>
      <c r="AM137">
        <f t="shared" si="197"/>
        <v>52.725010650412699</v>
      </c>
      <c r="AN137">
        <f t="shared" si="198"/>
        <v>31.414255956389241</v>
      </c>
      <c r="AO137">
        <f t="shared" si="199"/>
        <v>50.058846810160652</v>
      </c>
      <c r="AP137">
        <f t="shared" si="200"/>
        <v>35.289935439450971</v>
      </c>
      <c r="AQ137">
        <f t="shared" si="201"/>
        <v>32.903798930728087</v>
      </c>
      <c r="AR137">
        <f t="shared" si="202"/>
        <v>46.469942305170953</v>
      </c>
      <c r="AS137">
        <f t="shared" si="203"/>
        <v>42.078067861579555</v>
      </c>
      <c r="AT137">
        <f t="shared" si="204"/>
        <v>42.299896741676456</v>
      </c>
      <c r="AU137">
        <f t="shared" si="205"/>
        <v>27.525081180241763</v>
      </c>
      <c r="AV137">
        <f t="shared" si="206"/>
        <v>38.160215587624876</v>
      </c>
      <c r="AW137">
        <f t="shared" si="207"/>
        <v>45.17692453639323</v>
      </c>
      <c r="AX137">
        <f t="shared" si="208"/>
        <v>52.341238253286889</v>
      </c>
      <c r="AY137">
        <f t="shared" si="209"/>
        <v>50.208981945739538</v>
      </c>
      <c r="AZ137">
        <f t="shared" si="210"/>
        <v>31.979371354354711</v>
      </c>
      <c r="BA137">
        <f t="shared" si="211"/>
        <v>46.367040695392163</v>
      </c>
      <c r="BB137">
        <f t="shared" si="212"/>
        <v>38.26564756485724</v>
      </c>
      <c r="BC137" s="2">
        <f t="shared" si="147"/>
        <v>40.470002475715162</v>
      </c>
      <c r="BD137">
        <f t="shared" si="148"/>
        <v>71.901084285310091</v>
      </c>
      <c r="BE137">
        <f t="shared" si="149"/>
        <v>8.4794507065794118</v>
      </c>
      <c r="BF137" s="12">
        <f t="shared" si="150"/>
        <v>39.162876270724418</v>
      </c>
      <c r="BG137">
        <f t="shared" si="151"/>
        <v>1.3071262049907446</v>
      </c>
      <c r="BH137">
        <f t="shared" si="152"/>
        <v>1.7085789157735061</v>
      </c>
      <c r="BJ137" s="7">
        <v>125</v>
      </c>
      <c r="BK137">
        <f t="shared" si="213"/>
        <v>4.2459606879289202</v>
      </c>
      <c r="BL137">
        <f t="shared" si="214"/>
        <v>2.5224939440069054</v>
      </c>
      <c r="BM137">
        <f t="shared" si="215"/>
        <v>186.6471974123038</v>
      </c>
      <c r="BN137">
        <f t="shared" si="216"/>
        <v>87.030458173713015</v>
      </c>
      <c r="BO137">
        <f t="shared" si="217"/>
        <v>149.88815312770151</v>
      </c>
      <c r="BP137">
        <f t="shared" si="218"/>
        <v>76.69560207767924</v>
      </c>
      <c r="BQ137">
        <f t="shared" si="219"/>
        <v>1.8932710543180196</v>
      </c>
      <c r="BR137">
        <f t="shared" si="220"/>
        <v>61.742322689637028</v>
      </c>
      <c r="BS137">
        <f t="shared" si="221"/>
        <v>157.65045966938445</v>
      </c>
      <c r="BT137">
        <f t="shared" si="222"/>
        <v>5.7786331920135741</v>
      </c>
      <c r="BU137">
        <f t="shared" si="223"/>
        <v>4.2058889956574658E-3</v>
      </c>
      <c r="BV137">
        <f t="shared" si="224"/>
        <v>140.05179712986552</v>
      </c>
      <c r="BW137">
        <f t="shared" si="225"/>
        <v>1.1790825124965674</v>
      </c>
      <c r="BX137">
        <f t="shared" si="226"/>
        <v>14.833023869975465</v>
      </c>
      <c r="BY137">
        <f t="shared" si="227"/>
        <v>7.5692564172899699</v>
      </c>
      <c r="BZ137">
        <f t="shared" si="228"/>
        <v>514.01783073212039</v>
      </c>
      <c r="CA137">
        <f t="shared" si="229"/>
        <v>303.61965436233487</v>
      </c>
      <c r="CB137">
        <f t="shared" si="230"/>
        <v>191.31138973819247</v>
      </c>
      <c r="CC137">
        <f t="shared" si="231"/>
        <v>21.24172732204903</v>
      </c>
      <c r="CD137">
        <f t="shared" si="232"/>
        <v>191.58954326270583</v>
      </c>
      <c r="CE137">
        <f t="shared" si="233"/>
        <v>50.111676755438161</v>
      </c>
      <c r="CF137">
        <f t="shared" si="234"/>
        <v>78.807955633546868</v>
      </c>
      <c r="CG137">
        <f t="shared" si="235"/>
        <v>15.252774065696613</v>
      </c>
      <c r="CH137">
        <f t="shared" si="236"/>
        <v>64.907905070193578</v>
      </c>
      <c r="CI137">
        <f t="shared" si="237"/>
        <v>173.19404337071896</v>
      </c>
      <c r="CJ137" s="7">
        <v>125</v>
      </c>
      <c r="CK137" s="13">
        <f t="shared" si="178"/>
        <v>38.559847213919198</v>
      </c>
      <c r="CL137">
        <f t="shared" si="179"/>
        <v>4.959272969591499</v>
      </c>
      <c r="CM137">
        <f t="shared" si="180"/>
        <v>33.600574244327703</v>
      </c>
      <c r="CN137">
        <f t="shared" si="181"/>
        <v>43.519120183510694</v>
      </c>
      <c r="CO137">
        <f t="shared" si="182"/>
        <v>9.918545939182998</v>
      </c>
      <c r="CP137">
        <f t="shared" si="183"/>
        <v>28.6413012747362</v>
      </c>
      <c r="CQ137">
        <f t="shared" si="184"/>
        <v>48.478393153102196</v>
      </c>
      <c r="CR137">
        <f t="shared" si="185"/>
        <v>14.877818908774497</v>
      </c>
      <c r="CS137">
        <f t="shared" si="186"/>
        <v>23.682028305144701</v>
      </c>
      <c r="CT137">
        <f t="shared" si="187"/>
        <v>53.437666122693699</v>
      </c>
    </row>
    <row r="138" spans="1:98" x14ac:dyDescent="0.25">
      <c r="BJ138" s="7">
        <v>126</v>
      </c>
      <c r="BK138">
        <f t="shared" si="213"/>
        <v>116.11103447023977</v>
      </c>
      <c r="BL138">
        <f t="shared" si="214"/>
        <v>141.67610104192184</v>
      </c>
      <c r="BM138">
        <f t="shared" si="215"/>
        <v>113.80818007810896</v>
      </c>
      <c r="BN138">
        <f t="shared" si="216"/>
        <v>70.656264436742646</v>
      </c>
      <c r="BO138">
        <f t="shared" si="217"/>
        <v>12.177950908281678</v>
      </c>
      <c r="BP138">
        <f t="shared" si="218"/>
        <v>203.04863087466825</v>
      </c>
      <c r="BQ138">
        <f t="shared" si="219"/>
        <v>147.06716356218374</v>
      </c>
      <c r="BR138">
        <f t="shared" si="220"/>
        <v>237.55191164350131</v>
      </c>
      <c r="BS138">
        <f t="shared" si="221"/>
        <v>39.102216243612155</v>
      </c>
      <c r="BT138">
        <f t="shared" si="222"/>
        <v>351.43054048986016</v>
      </c>
      <c r="BU138">
        <f t="shared" si="223"/>
        <v>108.90356204481955</v>
      </c>
      <c r="BV138">
        <f t="shared" si="224"/>
        <v>96.661222573158241</v>
      </c>
      <c r="BW138">
        <f t="shared" si="225"/>
        <v>51.08598752870693</v>
      </c>
      <c r="BX138">
        <f t="shared" si="226"/>
        <v>79.220484121947607</v>
      </c>
      <c r="BY138">
        <f t="shared" si="227"/>
        <v>50.062150193237031</v>
      </c>
      <c r="BZ138">
        <f t="shared" si="228"/>
        <v>158.87336072767803</v>
      </c>
      <c r="CA138">
        <f t="shared" si="229"/>
        <v>66.201558354125169</v>
      </c>
      <c r="CB138">
        <f t="shared" si="230"/>
        <v>304.00476063218616</v>
      </c>
      <c r="CC138">
        <f t="shared" si="231"/>
        <v>11.962954710636582</v>
      </c>
      <c r="CD138">
        <f t="shared" si="232"/>
        <v>30.076197625727144</v>
      </c>
      <c r="CE138">
        <f t="shared" si="233"/>
        <v>62.31169087693597</v>
      </c>
      <c r="CF138">
        <f t="shared" si="234"/>
        <v>56.310773828691829</v>
      </c>
      <c r="CG138">
        <f t="shared" si="235"/>
        <v>52.163204016637366</v>
      </c>
      <c r="CH138">
        <f t="shared" si="236"/>
        <v>13.592917299328867</v>
      </c>
      <c r="CI138">
        <f t="shared" si="237"/>
        <v>3.6367855225590717E-2</v>
      </c>
      <c r="CJ138" s="7">
        <v>126</v>
      </c>
      <c r="CK138" s="13">
        <f t="shared" si="178"/>
        <v>38.844453827541059</v>
      </c>
      <c r="CL138">
        <f t="shared" si="179"/>
        <v>5.009429386263224</v>
      </c>
      <c r="CM138">
        <f t="shared" si="180"/>
        <v>33.835024441277838</v>
      </c>
      <c r="CN138">
        <f t="shared" si="181"/>
        <v>43.853883213804281</v>
      </c>
      <c r="CO138">
        <f t="shared" si="182"/>
        <v>10.018858772526448</v>
      </c>
      <c r="CP138">
        <f t="shared" si="183"/>
        <v>28.82559505501461</v>
      </c>
      <c r="CQ138">
        <f t="shared" si="184"/>
        <v>48.863312600067509</v>
      </c>
      <c r="CR138">
        <f t="shared" si="185"/>
        <v>15.028288158789671</v>
      </c>
      <c r="CS138">
        <f t="shared" si="186"/>
        <v>23.816165668751388</v>
      </c>
      <c r="CT138">
        <f t="shared" si="187"/>
        <v>53.87274198633073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1. Точечный прогноз СП</vt:lpstr>
      <vt:lpstr>2. Интервальный прогноз СП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 ouda</dc:creator>
  <cp:lastModifiedBy>Sos ouda</cp:lastModifiedBy>
  <dcterms:created xsi:type="dcterms:W3CDTF">2025-09-22T10:09:16Z</dcterms:created>
  <dcterms:modified xsi:type="dcterms:W3CDTF">2025-10-14T21:19:39Z</dcterms:modified>
</cp:coreProperties>
</file>