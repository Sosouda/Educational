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ran\Downloads\Вилисов\Zadanie2\"/>
    </mc:Choice>
  </mc:AlternateContent>
  <xr:revisionPtr revIDLastSave="0" documentId="13_ncr:1_{FDBA43CD-0FAF-466E-B8AB-A26241A63D09}" xr6:coauthVersionLast="47" xr6:coauthVersionMax="47" xr10:uidLastSave="{00000000-0000-0000-0000-000000000000}"/>
  <bookViews>
    <workbookView xWindow="28680" yWindow="10515" windowWidth="29040" windowHeight="15840" xr2:uid="{EE1AAD57-A1DF-4551-9DB7-50FC0659E0DA}"/>
  </bookViews>
  <sheets>
    <sheet name="1.2.1 Равномерное" sheetId="1" r:id="rId1"/>
    <sheet name="1.2.2 Нормальное" sheetId="2" r:id="rId2"/>
    <sheet name="1.2.3 Гамма-распределение" sheetId="3" r:id="rId3"/>
    <sheet name="1.2.4 Бета-распределение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5" i="4" l="1"/>
  <c r="BH7" i="4"/>
  <c r="B12" i="3"/>
  <c r="K29" i="3"/>
  <c r="K29" i="2"/>
  <c r="J29" i="2"/>
  <c r="E29" i="2"/>
  <c r="K29" i="1"/>
  <c r="J29" i="1"/>
  <c r="H29" i="1"/>
  <c r="BJ32" i="4"/>
  <c r="BL28" i="4" s="1"/>
  <c r="BK28" i="4"/>
  <c r="BK29" i="4" s="1"/>
  <c r="BK30" i="4" s="1"/>
  <c r="BK31" i="4" s="1"/>
  <c r="BJ28" i="4"/>
  <c r="BJ29" i="4"/>
  <c r="BJ30" i="4"/>
  <c r="BJ31" i="4"/>
  <c r="BH28" i="4"/>
  <c r="BH29" i="4"/>
  <c r="BH30" i="4"/>
  <c r="BH31" i="4"/>
  <c r="AP32" i="4"/>
  <c r="AT28" i="4"/>
  <c r="AT29" i="4"/>
  <c r="AT30" i="4"/>
  <c r="AR28" i="4"/>
  <c r="AR29" i="4"/>
  <c r="AR30" i="4"/>
  <c r="AN28" i="4"/>
  <c r="AN29" i="4" s="1"/>
  <c r="AN30" i="4" s="1"/>
  <c r="I31" i="4"/>
  <c r="O31" i="4"/>
  <c r="M31" i="4"/>
  <c r="AD32" i="4"/>
  <c r="AF30" i="4" s="1"/>
  <c r="AF28" i="4"/>
  <c r="AF29" i="4"/>
  <c r="AE28" i="4"/>
  <c r="AE29" i="4"/>
  <c r="AE30" i="4" s="1"/>
  <c r="AD28" i="4"/>
  <c r="AD29" i="4"/>
  <c r="AD30" i="4"/>
  <c r="AB28" i="4"/>
  <c r="AB29" i="4"/>
  <c r="AB30" i="4"/>
  <c r="Z32" i="4"/>
  <c r="X30" i="4"/>
  <c r="M28" i="4"/>
  <c r="M29" i="4"/>
  <c r="K29" i="4"/>
  <c r="K28" i="4"/>
  <c r="BL31" i="4" l="1"/>
  <c r="BL30" i="4"/>
  <c r="BL29" i="4"/>
  <c r="G28" i="4" l="1"/>
  <c r="G29" i="4" s="1"/>
  <c r="AL6" i="4"/>
  <c r="AK288" i="4" s="1"/>
  <c r="U200" i="4"/>
  <c r="U184" i="4"/>
  <c r="U143" i="4"/>
  <c r="U131" i="4"/>
  <c r="U119" i="4"/>
  <c r="AK109" i="4"/>
  <c r="U109" i="4"/>
  <c r="U95" i="4"/>
  <c r="AK91" i="4"/>
  <c r="U91" i="4"/>
  <c r="U86" i="4"/>
  <c r="U79" i="4"/>
  <c r="AK75" i="4"/>
  <c r="AK73" i="4"/>
  <c r="U73" i="4"/>
  <c r="AK67" i="4"/>
  <c r="U67" i="4"/>
  <c r="U61" i="4"/>
  <c r="AK57" i="4"/>
  <c r="AK55" i="4"/>
  <c r="U55" i="4"/>
  <c r="AK49" i="4"/>
  <c r="U49" i="4"/>
  <c r="U43" i="4"/>
  <c r="AK39" i="4"/>
  <c r="AK37" i="4"/>
  <c r="U37" i="4"/>
  <c r="AK31" i="4"/>
  <c r="U31" i="4"/>
  <c r="C29" i="4"/>
  <c r="BH27" i="4"/>
  <c r="AR27" i="4"/>
  <c r="AB27" i="4"/>
  <c r="K27" i="4"/>
  <c r="BH26" i="4"/>
  <c r="AR26" i="4"/>
  <c r="AB26" i="4"/>
  <c r="K26" i="4"/>
  <c r="BH25" i="4"/>
  <c r="AR25" i="4"/>
  <c r="AB25" i="4"/>
  <c r="K25" i="4"/>
  <c r="BH24" i="4"/>
  <c r="AR24" i="4"/>
  <c r="AB24" i="4"/>
  <c r="U24" i="4"/>
  <c r="K24" i="4"/>
  <c r="BH23" i="4"/>
  <c r="AR23" i="4"/>
  <c r="AD23" i="4"/>
  <c r="AB23" i="4"/>
  <c r="K23" i="4"/>
  <c r="BH22" i="4"/>
  <c r="AR22" i="4"/>
  <c r="AK22" i="4"/>
  <c r="AB22" i="4"/>
  <c r="M22" i="4"/>
  <c r="K22" i="4"/>
  <c r="BH21" i="4"/>
  <c r="AR21" i="4"/>
  <c r="AB21" i="4"/>
  <c r="U21" i="4"/>
  <c r="K21" i="4"/>
  <c r="BH20" i="4"/>
  <c r="AR20" i="4"/>
  <c r="AB20" i="4"/>
  <c r="K20" i="4"/>
  <c r="BH19" i="4"/>
  <c r="AR19" i="4"/>
  <c r="AB19" i="4"/>
  <c r="K19" i="4"/>
  <c r="BH18" i="4"/>
  <c r="AR18" i="4"/>
  <c r="AK18" i="4"/>
  <c r="AB18" i="4"/>
  <c r="U18" i="4"/>
  <c r="K18" i="4"/>
  <c r="BH17" i="4"/>
  <c r="AT17" i="4"/>
  <c r="AR17" i="4"/>
  <c r="AB17" i="4"/>
  <c r="K17" i="4"/>
  <c r="BH16" i="4"/>
  <c r="AT16" i="4"/>
  <c r="AR16" i="4"/>
  <c r="AB16" i="4"/>
  <c r="M16" i="4"/>
  <c r="K16" i="4"/>
  <c r="BH15" i="4"/>
  <c r="BK15" i="4" s="1"/>
  <c r="AR15" i="4"/>
  <c r="AU15" i="4" s="1"/>
  <c r="AB15" i="4"/>
  <c r="AE15" i="4" s="1"/>
  <c r="AE16" i="4" s="1"/>
  <c r="AE17" i="4" s="1"/>
  <c r="U15" i="4"/>
  <c r="K15" i="4"/>
  <c r="N15" i="4" s="1"/>
  <c r="AY14" i="4"/>
  <c r="AY15" i="4" s="1"/>
  <c r="AY16" i="4" s="1"/>
  <c r="AY17" i="4" s="1"/>
  <c r="AY18" i="4" s="1"/>
  <c r="AY19" i="4" s="1"/>
  <c r="AY20" i="4" s="1"/>
  <c r="AY21" i="4" s="1"/>
  <c r="AY22" i="4" s="1"/>
  <c r="AY23" i="4" s="1"/>
  <c r="AY24" i="4" s="1"/>
  <c r="AY25" i="4" s="1"/>
  <c r="AY26" i="4" s="1"/>
  <c r="AY27" i="4" s="1"/>
  <c r="AY28" i="4" s="1"/>
  <c r="AY29" i="4" s="1"/>
  <c r="AY30" i="4" s="1"/>
  <c r="AY31" i="4" s="1"/>
  <c r="AY32" i="4" s="1"/>
  <c r="AY33" i="4" s="1"/>
  <c r="AY34" i="4" s="1"/>
  <c r="AY35" i="4" s="1"/>
  <c r="AY36" i="4" s="1"/>
  <c r="AY37" i="4" s="1"/>
  <c r="AY38" i="4" s="1"/>
  <c r="AY39" i="4" s="1"/>
  <c r="AY40" i="4" s="1"/>
  <c r="AY41" i="4" s="1"/>
  <c r="AY42" i="4" s="1"/>
  <c r="AY43" i="4" s="1"/>
  <c r="AY44" i="4" s="1"/>
  <c r="AY45" i="4" s="1"/>
  <c r="AY46" i="4" s="1"/>
  <c r="AY47" i="4" s="1"/>
  <c r="AY48" i="4" s="1"/>
  <c r="AY49" i="4" s="1"/>
  <c r="AY50" i="4" s="1"/>
  <c r="AY51" i="4" s="1"/>
  <c r="AY52" i="4" s="1"/>
  <c r="AY53" i="4" s="1"/>
  <c r="AY54" i="4" s="1"/>
  <c r="AY55" i="4" s="1"/>
  <c r="AY56" i="4" s="1"/>
  <c r="AY57" i="4" s="1"/>
  <c r="AY58" i="4" s="1"/>
  <c r="AY59" i="4" s="1"/>
  <c r="AY60" i="4" s="1"/>
  <c r="AY61" i="4" s="1"/>
  <c r="AY62" i="4" s="1"/>
  <c r="AY63" i="4" s="1"/>
  <c r="AY64" i="4" s="1"/>
  <c r="AY65" i="4" s="1"/>
  <c r="AY66" i="4" s="1"/>
  <c r="AY67" i="4" s="1"/>
  <c r="AY68" i="4" s="1"/>
  <c r="AY69" i="4" s="1"/>
  <c r="AY70" i="4" s="1"/>
  <c r="AY71" i="4" s="1"/>
  <c r="AY72" i="4" s="1"/>
  <c r="AY73" i="4" s="1"/>
  <c r="AY74" i="4" s="1"/>
  <c r="AY75" i="4" s="1"/>
  <c r="AY76" i="4" s="1"/>
  <c r="AY77" i="4" s="1"/>
  <c r="AY78" i="4" s="1"/>
  <c r="AY79" i="4" s="1"/>
  <c r="AY80" i="4" s="1"/>
  <c r="AY81" i="4" s="1"/>
  <c r="AY82" i="4" s="1"/>
  <c r="AY83" i="4" s="1"/>
  <c r="AY84" i="4" s="1"/>
  <c r="AY85" i="4" s="1"/>
  <c r="AY86" i="4" s="1"/>
  <c r="AY87" i="4" s="1"/>
  <c r="AY88" i="4" s="1"/>
  <c r="AY89" i="4" s="1"/>
  <c r="AY90" i="4" s="1"/>
  <c r="AY91" i="4" s="1"/>
  <c r="AY92" i="4" s="1"/>
  <c r="AY93" i="4" s="1"/>
  <c r="AY94" i="4" s="1"/>
  <c r="AY95" i="4" s="1"/>
  <c r="AY96" i="4" s="1"/>
  <c r="AY97" i="4" s="1"/>
  <c r="AY98" i="4" s="1"/>
  <c r="AY99" i="4" s="1"/>
  <c r="AY100" i="4" s="1"/>
  <c r="AY101" i="4" s="1"/>
  <c r="AY102" i="4" s="1"/>
  <c r="AY103" i="4" s="1"/>
  <c r="AY104" i="4" s="1"/>
  <c r="AY105" i="4" s="1"/>
  <c r="AY106" i="4" s="1"/>
  <c r="AY107" i="4" s="1"/>
  <c r="AY108" i="4" s="1"/>
  <c r="AY109" i="4" s="1"/>
  <c r="AY110" i="4" s="1"/>
  <c r="AY111" i="4" s="1"/>
  <c r="AY112" i="4" s="1"/>
  <c r="AY113" i="4" s="1"/>
  <c r="AY114" i="4" s="1"/>
  <c r="AY115" i="4" s="1"/>
  <c r="AY116" i="4" s="1"/>
  <c r="AY117" i="4" s="1"/>
  <c r="AY118" i="4" s="1"/>
  <c r="AY119" i="4" s="1"/>
  <c r="AY120" i="4" s="1"/>
  <c r="AY121" i="4" s="1"/>
  <c r="AY122" i="4" s="1"/>
  <c r="AY123" i="4" s="1"/>
  <c r="AY124" i="4" s="1"/>
  <c r="AY125" i="4" s="1"/>
  <c r="AY126" i="4" s="1"/>
  <c r="AY127" i="4" s="1"/>
  <c r="AY128" i="4" s="1"/>
  <c r="AY129" i="4" s="1"/>
  <c r="AY130" i="4" s="1"/>
  <c r="AY131" i="4" s="1"/>
  <c r="AY132" i="4" s="1"/>
  <c r="AY133" i="4" s="1"/>
  <c r="AY134" i="4" s="1"/>
  <c r="AY135" i="4" s="1"/>
  <c r="AY136" i="4" s="1"/>
  <c r="AY137" i="4" s="1"/>
  <c r="AY138" i="4" s="1"/>
  <c r="AY139" i="4" s="1"/>
  <c r="AY140" i="4" s="1"/>
  <c r="AY141" i="4" s="1"/>
  <c r="AY142" i="4" s="1"/>
  <c r="AY143" i="4" s="1"/>
  <c r="AY144" i="4" s="1"/>
  <c r="AY145" i="4" s="1"/>
  <c r="AY146" i="4" s="1"/>
  <c r="AY147" i="4" s="1"/>
  <c r="AY148" i="4" s="1"/>
  <c r="AY149" i="4" s="1"/>
  <c r="AY150" i="4" s="1"/>
  <c r="AY151" i="4" s="1"/>
  <c r="AY152" i="4" s="1"/>
  <c r="AY153" i="4" s="1"/>
  <c r="AY154" i="4" s="1"/>
  <c r="AY155" i="4" s="1"/>
  <c r="AY156" i="4" s="1"/>
  <c r="AY157" i="4" s="1"/>
  <c r="AY158" i="4" s="1"/>
  <c r="AY159" i="4" s="1"/>
  <c r="AY160" i="4" s="1"/>
  <c r="AY161" i="4" s="1"/>
  <c r="AY162" i="4" s="1"/>
  <c r="AY163" i="4" s="1"/>
  <c r="AY164" i="4" s="1"/>
  <c r="AY165" i="4" s="1"/>
  <c r="AY166" i="4" s="1"/>
  <c r="AY167" i="4" s="1"/>
  <c r="AY168" i="4" s="1"/>
  <c r="AY169" i="4" s="1"/>
  <c r="AY170" i="4" s="1"/>
  <c r="AY171" i="4" s="1"/>
  <c r="AY172" i="4" s="1"/>
  <c r="AY173" i="4" s="1"/>
  <c r="AY174" i="4" s="1"/>
  <c r="AY175" i="4" s="1"/>
  <c r="AY176" i="4" s="1"/>
  <c r="AY177" i="4" s="1"/>
  <c r="AY178" i="4" s="1"/>
  <c r="AY179" i="4" s="1"/>
  <c r="AY180" i="4" s="1"/>
  <c r="AY181" i="4" s="1"/>
  <c r="AY182" i="4" s="1"/>
  <c r="AY183" i="4" s="1"/>
  <c r="AY184" i="4" s="1"/>
  <c r="AY185" i="4" s="1"/>
  <c r="AY186" i="4" s="1"/>
  <c r="AY187" i="4" s="1"/>
  <c r="AY188" i="4" s="1"/>
  <c r="AY189" i="4" s="1"/>
  <c r="AY190" i="4" s="1"/>
  <c r="AY191" i="4" s="1"/>
  <c r="AY192" i="4" s="1"/>
  <c r="AY193" i="4" s="1"/>
  <c r="AY194" i="4" s="1"/>
  <c r="AY195" i="4" s="1"/>
  <c r="AY196" i="4" s="1"/>
  <c r="AY197" i="4" s="1"/>
  <c r="AY198" i="4" s="1"/>
  <c r="AY199" i="4" s="1"/>
  <c r="AY200" i="4" s="1"/>
  <c r="AY201" i="4" s="1"/>
  <c r="AY202" i="4" s="1"/>
  <c r="AY203" i="4" s="1"/>
  <c r="AY204" i="4" s="1"/>
  <c r="AY205" i="4" s="1"/>
  <c r="AY206" i="4" s="1"/>
  <c r="AY207" i="4" s="1"/>
  <c r="AY208" i="4" s="1"/>
  <c r="AY209" i="4" s="1"/>
  <c r="AY210" i="4" s="1"/>
  <c r="AY211" i="4" s="1"/>
  <c r="AY212" i="4" s="1"/>
  <c r="AY213" i="4" s="1"/>
  <c r="AY214" i="4" s="1"/>
  <c r="AY215" i="4" s="1"/>
  <c r="AY216" i="4" s="1"/>
  <c r="AY217" i="4" s="1"/>
  <c r="AY218" i="4" s="1"/>
  <c r="AY219" i="4" s="1"/>
  <c r="AY220" i="4" s="1"/>
  <c r="AY221" i="4" s="1"/>
  <c r="AY222" i="4" s="1"/>
  <c r="AY223" i="4" s="1"/>
  <c r="AY224" i="4" s="1"/>
  <c r="AY225" i="4" s="1"/>
  <c r="AY226" i="4" s="1"/>
  <c r="AY227" i="4" s="1"/>
  <c r="AY228" i="4" s="1"/>
  <c r="AY229" i="4" s="1"/>
  <c r="AY230" i="4" s="1"/>
  <c r="AY231" i="4" s="1"/>
  <c r="AY232" i="4" s="1"/>
  <c r="AY233" i="4" s="1"/>
  <c r="AY234" i="4" s="1"/>
  <c r="AY235" i="4" s="1"/>
  <c r="AY236" i="4" s="1"/>
  <c r="AY237" i="4" s="1"/>
  <c r="AY238" i="4" s="1"/>
  <c r="AY239" i="4" s="1"/>
  <c r="AY240" i="4" s="1"/>
  <c r="AY241" i="4" s="1"/>
  <c r="AY242" i="4" s="1"/>
  <c r="AY243" i="4" s="1"/>
  <c r="AY244" i="4" s="1"/>
  <c r="AY245" i="4" s="1"/>
  <c r="AY246" i="4" s="1"/>
  <c r="AY247" i="4" s="1"/>
  <c r="AY248" i="4" s="1"/>
  <c r="AY249" i="4" s="1"/>
  <c r="AY250" i="4" s="1"/>
  <c r="AY251" i="4" s="1"/>
  <c r="AY252" i="4" s="1"/>
  <c r="AY253" i="4" s="1"/>
  <c r="AY254" i="4" s="1"/>
  <c r="AY255" i="4" s="1"/>
  <c r="AY256" i="4" s="1"/>
  <c r="AY257" i="4" s="1"/>
  <c r="AY258" i="4" s="1"/>
  <c r="AY259" i="4" s="1"/>
  <c r="AY260" i="4" s="1"/>
  <c r="AY261" i="4" s="1"/>
  <c r="AY262" i="4" s="1"/>
  <c r="AY263" i="4" s="1"/>
  <c r="AY264" i="4" s="1"/>
  <c r="AY265" i="4" s="1"/>
  <c r="AY266" i="4" s="1"/>
  <c r="AY267" i="4" s="1"/>
  <c r="AY268" i="4" s="1"/>
  <c r="AY269" i="4" s="1"/>
  <c r="AY270" i="4" s="1"/>
  <c r="AY271" i="4" s="1"/>
  <c r="AY272" i="4" s="1"/>
  <c r="AY273" i="4" s="1"/>
  <c r="AY274" i="4" s="1"/>
  <c r="AY275" i="4" s="1"/>
  <c r="AY276" i="4" s="1"/>
  <c r="AY277" i="4" s="1"/>
  <c r="AY278" i="4" s="1"/>
  <c r="AY279" i="4" s="1"/>
  <c r="AY280" i="4" s="1"/>
  <c r="AY281" i="4" s="1"/>
  <c r="AY282" i="4" s="1"/>
  <c r="AY283" i="4" s="1"/>
  <c r="AY284" i="4" s="1"/>
  <c r="AY285" i="4" s="1"/>
  <c r="AY286" i="4" s="1"/>
  <c r="AY287" i="4" s="1"/>
  <c r="AY288" i="4" s="1"/>
  <c r="AY289" i="4" s="1"/>
  <c r="AY290" i="4" s="1"/>
  <c r="AY291" i="4" s="1"/>
  <c r="AY292" i="4" s="1"/>
  <c r="AY293" i="4" s="1"/>
  <c r="AY294" i="4" s="1"/>
  <c r="AY295" i="4" s="1"/>
  <c r="AY296" i="4" s="1"/>
  <c r="AY297" i="4" s="1"/>
  <c r="AY298" i="4" s="1"/>
  <c r="AY299" i="4" s="1"/>
  <c r="AY300" i="4" s="1"/>
  <c r="AY301" i="4" s="1"/>
  <c r="AY302" i="4" s="1"/>
  <c r="AY303" i="4" s="1"/>
  <c r="AY304" i="4" s="1"/>
  <c r="AY305" i="4" s="1"/>
  <c r="AY306" i="4" s="1"/>
  <c r="AY307" i="4" s="1"/>
  <c r="AY308" i="4" s="1"/>
  <c r="AY309" i="4" s="1"/>
  <c r="AY310" i="4" s="1"/>
  <c r="AY311" i="4" s="1"/>
  <c r="AY312" i="4" s="1"/>
  <c r="AY313" i="4" s="1"/>
  <c r="AY314" i="4" s="1"/>
  <c r="AY315" i="4" s="1"/>
  <c r="AY316" i="4" s="1"/>
  <c r="AY317" i="4" s="1"/>
  <c r="AY318" i="4" s="1"/>
  <c r="AY319" i="4" s="1"/>
  <c r="AY320" i="4" s="1"/>
  <c r="AY321" i="4" s="1"/>
  <c r="AY322" i="4" s="1"/>
  <c r="AY323" i="4" s="1"/>
  <c r="AY324" i="4" s="1"/>
  <c r="AY325" i="4" s="1"/>
  <c r="AY326" i="4" s="1"/>
  <c r="AY327" i="4" s="1"/>
  <c r="AY328" i="4" s="1"/>
  <c r="AY329" i="4" s="1"/>
  <c r="AY330" i="4" s="1"/>
  <c r="AY331" i="4" s="1"/>
  <c r="AY332" i="4" s="1"/>
  <c r="AY333" i="4" s="1"/>
  <c r="AY334" i="4" s="1"/>
  <c r="AY335" i="4" s="1"/>
  <c r="AY336" i="4" s="1"/>
  <c r="AY337" i="4" s="1"/>
  <c r="AY338" i="4" s="1"/>
  <c r="AY339" i="4" s="1"/>
  <c r="AY340" i="4" s="1"/>
  <c r="AY341" i="4" s="1"/>
  <c r="AY342" i="4" s="1"/>
  <c r="AY343" i="4" s="1"/>
  <c r="AY344" i="4" s="1"/>
  <c r="AY345" i="4" s="1"/>
  <c r="AY346" i="4" s="1"/>
  <c r="AY347" i="4" s="1"/>
  <c r="AY348" i="4" s="1"/>
  <c r="AY349" i="4" s="1"/>
  <c r="AY350" i="4" s="1"/>
  <c r="AY351" i="4" s="1"/>
  <c r="AY352" i="4" s="1"/>
  <c r="AY353" i="4" s="1"/>
  <c r="AY354" i="4" s="1"/>
  <c r="AY355" i="4" s="1"/>
  <c r="AY356" i="4" s="1"/>
  <c r="AY357" i="4" s="1"/>
  <c r="AY358" i="4" s="1"/>
  <c r="AY359" i="4" s="1"/>
  <c r="AY360" i="4" s="1"/>
  <c r="AY361" i="4" s="1"/>
  <c r="AY362" i="4" s="1"/>
  <c r="AY363" i="4" s="1"/>
  <c r="AY364" i="4" s="1"/>
  <c r="AY365" i="4" s="1"/>
  <c r="AY366" i="4" s="1"/>
  <c r="AY367" i="4" s="1"/>
  <c r="AY368" i="4" s="1"/>
  <c r="AY369" i="4" s="1"/>
  <c r="AY370" i="4" s="1"/>
  <c r="AY371" i="4" s="1"/>
  <c r="AY372" i="4" s="1"/>
  <c r="AY373" i="4" s="1"/>
  <c r="AY374" i="4" s="1"/>
  <c r="AY375" i="4" s="1"/>
  <c r="AY376" i="4" s="1"/>
  <c r="AY377" i="4" s="1"/>
  <c r="AY378" i="4" s="1"/>
  <c r="AY379" i="4" s="1"/>
  <c r="AY380" i="4" s="1"/>
  <c r="AY381" i="4" s="1"/>
  <c r="AY382" i="4" s="1"/>
  <c r="AY383" i="4" s="1"/>
  <c r="AY384" i="4" s="1"/>
  <c r="AY385" i="4" s="1"/>
  <c r="AY386" i="4" s="1"/>
  <c r="AY387" i="4" s="1"/>
  <c r="AY388" i="4" s="1"/>
  <c r="AY389" i="4" s="1"/>
  <c r="AY390" i="4" s="1"/>
  <c r="AY391" i="4" s="1"/>
  <c r="AY392" i="4" s="1"/>
  <c r="AY393" i="4" s="1"/>
  <c r="AY394" i="4" s="1"/>
  <c r="AY395" i="4" s="1"/>
  <c r="AY396" i="4" s="1"/>
  <c r="AY397" i="4" s="1"/>
  <c r="AY398" i="4" s="1"/>
  <c r="AY399" i="4" s="1"/>
  <c r="AY400" i="4" s="1"/>
  <c r="AY401" i="4" s="1"/>
  <c r="AY402" i="4" s="1"/>
  <c r="AY403" i="4" s="1"/>
  <c r="AY404" i="4" s="1"/>
  <c r="AY405" i="4" s="1"/>
  <c r="AY406" i="4" s="1"/>
  <c r="AY407" i="4" s="1"/>
  <c r="AY408" i="4" s="1"/>
  <c r="AY409" i="4" s="1"/>
  <c r="AY410" i="4" s="1"/>
  <c r="AY411" i="4" s="1"/>
  <c r="AY412" i="4" s="1"/>
  <c r="AY413" i="4" s="1"/>
  <c r="AY414" i="4" s="1"/>
  <c r="AY415" i="4" s="1"/>
  <c r="AY416" i="4" s="1"/>
  <c r="AY417" i="4" s="1"/>
  <c r="AY418" i="4" s="1"/>
  <c r="AY419" i="4" s="1"/>
  <c r="AY420" i="4" s="1"/>
  <c r="AY421" i="4" s="1"/>
  <c r="AY422" i="4" s="1"/>
  <c r="AY423" i="4" s="1"/>
  <c r="AY424" i="4" s="1"/>
  <c r="AY425" i="4" s="1"/>
  <c r="AY426" i="4" s="1"/>
  <c r="AY427" i="4" s="1"/>
  <c r="AY428" i="4" s="1"/>
  <c r="AY429" i="4" s="1"/>
  <c r="AY430" i="4" s="1"/>
  <c r="AY431" i="4" s="1"/>
  <c r="AY432" i="4" s="1"/>
  <c r="AY433" i="4" s="1"/>
  <c r="AY434" i="4" s="1"/>
  <c r="AY435" i="4" s="1"/>
  <c r="AY436" i="4" s="1"/>
  <c r="AY437" i="4" s="1"/>
  <c r="AY438" i="4" s="1"/>
  <c r="AY439" i="4" s="1"/>
  <c r="AY440" i="4" s="1"/>
  <c r="AY441" i="4" s="1"/>
  <c r="AY442" i="4" s="1"/>
  <c r="AY443" i="4" s="1"/>
  <c r="AY444" i="4" s="1"/>
  <c r="AY445" i="4" s="1"/>
  <c r="AY446" i="4" s="1"/>
  <c r="AY447" i="4" s="1"/>
  <c r="AY448" i="4" s="1"/>
  <c r="AY449" i="4" s="1"/>
  <c r="AY450" i="4" s="1"/>
  <c r="AY451" i="4" s="1"/>
  <c r="AY452" i="4" s="1"/>
  <c r="AY453" i="4" s="1"/>
  <c r="AY454" i="4" s="1"/>
  <c r="AY455" i="4" s="1"/>
  <c r="AY456" i="4" s="1"/>
  <c r="AY457" i="4" s="1"/>
  <c r="AY458" i="4" s="1"/>
  <c r="AY459" i="4" s="1"/>
  <c r="AY460" i="4" s="1"/>
  <c r="AY461" i="4" s="1"/>
  <c r="AY462" i="4" s="1"/>
  <c r="AY463" i="4" s="1"/>
  <c r="AY464" i="4" s="1"/>
  <c r="AY465" i="4" s="1"/>
  <c r="AY466" i="4" s="1"/>
  <c r="AY467" i="4" s="1"/>
  <c r="AY468" i="4" s="1"/>
  <c r="AY469" i="4" s="1"/>
  <c r="AY470" i="4" s="1"/>
  <c r="AY471" i="4" s="1"/>
  <c r="AY472" i="4" s="1"/>
  <c r="AY473" i="4" s="1"/>
  <c r="AY474" i="4" s="1"/>
  <c r="AY475" i="4" s="1"/>
  <c r="AY476" i="4" s="1"/>
  <c r="AY477" i="4" s="1"/>
  <c r="AY478" i="4" s="1"/>
  <c r="AY479" i="4" s="1"/>
  <c r="AY480" i="4" s="1"/>
  <c r="AY481" i="4" s="1"/>
  <c r="AY482" i="4" s="1"/>
  <c r="AY483" i="4" s="1"/>
  <c r="AY484" i="4" s="1"/>
  <c r="AY485" i="4" s="1"/>
  <c r="AY486" i="4" s="1"/>
  <c r="AY487" i="4" s="1"/>
  <c r="AY488" i="4" s="1"/>
  <c r="AY489" i="4" s="1"/>
  <c r="AY490" i="4" s="1"/>
  <c r="AY491" i="4" s="1"/>
  <c r="AY492" i="4" s="1"/>
  <c r="AY493" i="4" s="1"/>
  <c r="AY494" i="4" s="1"/>
  <c r="AY495" i="4" s="1"/>
  <c r="AY496" i="4" s="1"/>
  <c r="AY497" i="4" s="1"/>
  <c r="AY498" i="4" s="1"/>
  <c r="AY499" i="4" s="1"/>
  <c r="AY500" i="4" s="1"/>
  <c r="AY501" i="4" s="1"/>
  <c r="AY502" i="4" s="1"/>
  <c r="AY503" i="4" s="1"/>
  <c r="AY504" i="4" s="1"/>
  <c r="AY505" i="4" s="1"/>
  <c r="AY506" i="4" s="1"/>
  <c r="AY507" i="4" s="1"/>
  <c r="AY508" i="4" s="1"/>
  <c r="AY509" i="4" s="1"/>
  <c r="AY510" i="4" s="1"/>
  <c r="AY511" i="4" s="1"/>
  <c r="AY512" i="4" s="1"/>
  <c r="AY513" i="4" s="1"/>
  <c r="AY514" i="4" s="1"/>
  <c r="AY515" i="4" s="1"/>
  <c r="AY516" i="4" s="1"/>
  <c r="AY517" i="4" s="1"/>
  <c r="AY518" i="4" s="1"/>
  <c r="AY519" i="4" s="1"/>
  <c r="AY520" i="4" s="1"/>
  <c r="AY521" i="4" s="1"/>
  <c r="AY522" i="4" s="1"/>
  <c r="AY523" i="4" s="1"/>
  <c r="AY524" i="4" s="1"/>
  <c r="AY525" i="4" s="1"/>
  <c r="AY526" i="4" s="1"/>
  <c r="AY527" i="4" s="1"/>
  <c r="AY528" i="4" s="1"/>
  <c r="AY529" i="4" s="1"/>
  <c r="AY530" i="4" s="1"/>
  <c r="AY531" i="4" s="1"/>
  <c r="AY532" i="4" s="1"/>
  <c r="AY533" i="4" s="1"/>
  <c r="AY534" i="4" s="1"/>
  <c r="AY535" i="4" s="1"/>
  <c r="AY536" i="4" s="1"/>
  <c r="AY537" i="4" s="1"/>
  <c r="AY538" i="4" s="1"/>
  <c r="AY539" i="4" s="1"/>
  <c r="AY540" i="4" s="1"/>
  <c r="AY541" i="4" s="1"/>
  <c r="AY542" i="4" s="1"/>
  <c r="AY543" i="4" s="1"/>
  <c r="AY544" i="4" s="1"/>
  <c r="AY545" i="4" s="1"/>
  <c r="AY546" i="4" s="1"/>
  <c r="AY547" i="4" s="1"/>
  <c r="AY548" i="4" s="1"/>
  <c r="AY549" i="4" s="1"/>
  <c r="AY550" i="4" s="1"/>
  <c r="AY551" i="4" s="1"/>
  <c r="AY552" i="4" s="1"/>
  <c r="AY553" i="4" s="1"/>
  <c r="AY554" i="4" s="1"/>
  <c r="AY555" i="4" s="1"/>
  <c r="AY556" i="4" s="1"/>
  <c r="AY557" i="4" s="1"/>
  <c r="AY558" i="4" s="1"/>
  <c r="AY559" i="4" s="1"/>
  <c r="AY560" i="4" s="1"/>
  <c r="AY561" i="4" s="1"/>
  <c r="AY562" i="4" s="1"/>
  <c r="AY563" i="4" s="1"/>
  <c r="AY564" i="4" s="1"/>
  <c r="AY565" i="4" s="1"/>
  <c r="AY566" i="4" s="1"/>
  <c r="AY567" i="4" s="1"/>
  <c r="AY568" i="4" s="1"/>
  <c r="AY569" i="4" s="1"/>
  <c r="AY570" i="4" s="1"/>
  <c r="AY571" i="4" s="1"/>
  <c r="AY572" i="4" s="1"/>
  <c r="AY573" i="4" s="1"/>
  <c r="AY574" i="4" s="1"/>
  <c r="AY575" i="4" s="1"/>
  <c r="AY576" i="4" s="1"/>
  <c r="AY577" i="4" s="1"/>
  <c r="AY578" i="4" s="1"/>
  <c r="AY579" i="4" s="1"/>
  <c r="AY580" i="4" s="1"/>
  <c r="AY581" i="4" s="1"/>
  <c r="AY582" i="4" s="1"/>
  <c r="AY583" i="4" s="1"/>
  <c r="AY584" i="4" s="1"/>
  <c r="AY585" i="4" s="1"/>
  <c r="AY586" i="4" s="1"/>
  <c r="AY587" i="4" s="1"/>
  <c r="AY588" i="4" s="1"/>
  <c r="AY589" i="4" s="1"/>
  <c r="AY590" i="4" s="1"/>
  <c r="AY591" i="4" s="1"/>
  <c r="AY592" i="4" s="1"/>
  <c r="AY593" i="4" s="1"/>
  <c r="AY594" i="4" s="1"/>
  <c r="AY595" i="4" s="1"/>
  <c r="AY596" i="4" s="1"/>
  <c r="AY597" i="4" s="1"/>
  <c r="AY598" i="4" s="1"/>
  <c r="AY599" i="4" s="1"/>
  <c r="AY600" i="4" s="1"/>
  <c r="AY601" i="4" s="1"/>
  <c r="AY602" i="4" s="1"/>
  <c r="AY603" i="4" s="1"/>
  <c r="AY604" i="4" s="1"/>
  <c r="AY605" i="4" s="1"/>
  <c r="AY606" i="4" s="1"/>
  <c r="AY607" i="4" s="1"/>
  <c r="AY608" i="4" s="1"/>
  <c r="AY609" i="4" s="1"/>
  <c r="AY610" i="4" s="1"/>
  <c r="AY611" i="4" s="1"/>
  <c r="AY612" i="4" s="1"/>
  <c r="AY613" i="4" s="1"/>
  <c r="AY614" i="4" s="1"/>
  <c r="AY615" i="4" s="1"/>
  <c r="AY616" i="4" s="1"/>
  <c r="AY617" i="4" s="1"/>
  <c r="AY618" i="4" s="1"/>
  <c r="AY619" i="4" s="1"/>
  <c r="AY620" i="4" s="1"/>
  <c r="AY621" i="4" s="1"/>
  <c r="AY622" i="4" s="1"/>
  <c r="AY623" i="4" s="1"/>
  <c r="AY624" i="4" s="1"/>
  <c r="AY625" i="4" s="1"/>
  <c r="AY626" i="4" s="1"/>
  <c r="AY627" i="4" s="1"/>
  <c r="AY628" i="4" s="1"/>
  <c r="AY629" i="4" s="1"/>
  <c r="AY630" i="4" s="1"/>
  <c r="AY631" i="4" s="1"/>
  <c r="AY632" i="4" s="1"/>
  <c r="AY633" i="4" s="1"/>
  <c r="AY634" i="4" s="1"/>
  <c r="AY635" i="4" s="1"/>
  <c r="AY636" i="4" s="1"/>
  <c r="AY637" i="4" s="1"/>
  <c r="AY638" i="4" s="1"/>
  <c r="AY639" i="4" s="1"/>
  <c r="AY640" i="4" s="1"/>
  <c r="AY641" i="4" s="1"/>
  <c r="AY642" i="4" s="1"/>
  <c r="AY643" i="4" s="1"/>
  <c r="AY644" i="4" s="1"/>
  <c r="AY645" i="4" s="1"/>
  <c r="AY646" i="4" s="1"/>
  <c r="AY647" i="4" s="1"/>
  <c r="AY648" i="4" s="1"/>
  <c r="AY649" i="4" s="1"/>
  <c r="AY650" i="4" s="1"/>
  <c r="AY651" i="4" s="1"/>
  <c r="AY652" i="4" s="1"/>
  <c r="AY653" i="4" s="1"/>
  <c r="AY654" i="4" s="1"/>
  <c r="AY655" i="4" s="1"/>
  <c r="AY656" i="4" s="1"/>
  <c r="AY657" i="4" s="1"/>
  <c r="AY658" i="4" s="1"/>
  <c r="AY659" i="4" s="1"/>
  <c r="AY660" i="4" s="1"/>
  <c r="AY661" i="4" s="1"/>
  <c r="AY662" i="4" s="1"/>
  <c r="AY663" i="4" s="1"/>
  <c r="AY664" i="4" s="1"/>
  <c r="AY665" i="4" s="1"/>
  <c r="AY666" i="4" s="1"/>
  <c r="AY667" i="4" s="1"/>
  <c r="AY668" i="4" s="1"/>
  <c r="AY669" i="4" s="1"/>
  <c r="AY670" i="4" s="1"/>
  <c r="AY671" i="4" s="1"/>
  <c r="AY672" i="4" s="1"/>
  <c r="AY673" i="4" s="1"/>
  <c r="AY674" i="4" s="1"/>
  <c r="AY675" i="4" s="1"/>
  <c r="AY676" i="4" s="1"/>
  <c r="AY677" i="4" s="1"/>
  <c r="AY678" i="4" s="1"/>
  <c r="AY679" i="4" s="1"/>
  <c r="AY680" i="4" s="1"/>
  <c r="AY681" i="4" s="1"/>
  <c r="AY682" i="4" s="1"/>
  <c r="AY683" i="4" s="1"/>
  <c r="AY684" i="4" s="1"/>
  <c r="AY685" i="4" s="1"/>
  <c r="AY686" i="4" s="1"/>
  <c r="AY687" i="4" s="1"/>
  <c r="AY688" i="4" s="1"/>
  <c r="AY689" i="4" s="1"/>
  <c r="AY690" i="4" s="1"/>
  <c r="AY691" i="4" s="1"/>
  <c r="AY692" i="4" s="1"/>
  <c r="AY693" i="4" s="1"/>
  <c r="AY694" i="4" s="1"/>
  <c r="AY695" i="4" s="1"/>
  <c r="AY696" i="4" s="1"/>
  <c r="AY697" i="4" s="1"/>
  <c r="AY698" i="4" s="1"/>
  <c r="AY699" i="4" s="1"/>
  <c r="AY700" i="4" s="1"/>
  <c r="AY701" i="4" s="1"/>
  <c r="AY702" i="4" s="1"/>
  <c r="AY703" i="4" s="1"/>
  <c r="AY704" i="4" s="1"/>
  <c r="AY705" i="4" s="1"/>
  <c r="AY706" i="4" s="1"/>
  <c r="AY707" i="4" s="1"/>
  <c r="AY708" i="4" s="1"/>
  <c r="AY709" i="4" s="1"/>
  <c r="AY710" i="4" s="1"/>
  <c r="AY711" i="4" s="1"/>
  <c r="AY712" i="4" s="1"/>
  <c r="AY713" i="4" s="1"/>
  <c r="AY714" i="4" s="1"/>
  <c r="AY715" i="4" s="1"/>
  <c r="AY716" i="4" s="1"/>
  <c r="AY717" i="4" s="1"/>
  <c r="AY718" i="4" s="1"/>
  <c r="AY719" i="4" s="1"/>
  <c r="AY720" i="4" s="1"/>
  <c r="AY721" i="4" s="1"/>
  <c r="AY722" i="4" s="1"/>
  <c r="AY723" i="4" s="1"/>
  <c r="AY724" i="4" s="1"/>
  <c r="AY725" i="4" s="1"/>
  <c r="AY726" i="4" s="1"/>
  <c r="AY727" i="4" s="1"/>
  <c r="AY728" i="4" s="1"/>
  <c r="AY729" i="4" s="1"/>
  <c r="AY730" i="4" s="1"/>
  <c r="AY731" i="4" s="1"/>
  <c r="AY732" i="4" s="1"/>
  <c r="AY733" i="4" s="1"/>
  <c r="AY734" i="4" s="1"/>
  <c r="AY735" i="4" s="1"/>
  <c r="AY736" i="4" s="1"/>
  <c r="AY737" i="4" s="1"/>
  <c r="AY738" i="4" s="1"/>
  <c r="AY739" i="4" s="1"/>
  <c r="AY740" i="4" s="1"/>
  <c r="AY741" i="4" s="1"/>
  <c r="AY742" i="4" s="1"/>
  <c r="AY743" i="4" s="1"/>
  <c r="AY744" i="4" s="1"/>
  <c r="AY745" i="4" s="1"/>
  <c r="AY746" i="4" s="1"/>
  <c r="AY747" i="4" s="1"/>
  <c r="AY748" i="4" s="1"/>
  <c r="AY749" i="4" s="1"/>
  <c r="AY750" i="4" s="1"/>
  <c r="AY751" i="4" s="1"/>
  <c r="AY752" i="4" s="1"/>
  <c r="AY753" i="4" s="1"/>
  <c r="AY754" i="4" s="1"/>
  <c r="AY755" i="4" s="1"/>
  <c r="AY756" i="4" s="1"/>
  <c r="AY757" i="4" s="1"/>
  <c r="AY758" i="4" s="1"/>
  <c r="AY759" i="4" s="1"/>
  <c r="AY760" i="4" s="1"/>
  <c r="AY761" i="4" s="1"/>
  <c r="AY762" i="4" s="1"/>
  <c r="AY763" i="4" s="1"/>
  <c r="AY764" i="4" s="1"/>
  <c r="AY765" i="4" s="1"/>
  <c r="AY766" i="4" s="1"/>
  <c r="AY767" i="4" s="1"/>
  <c r="AY768" i="4" s="1"/>
  <c r="AY769" i="4" s="1"/>
  <c r="AY770" i="4" s="1"/>
  <c r="AY771" i="4" s="1"/>
  <c r="AY772" i="4" s="1"/>
  <c r="AY773" i="4" s="1"/>
  <c r="AY774" i="4" s="1"/>
  <c r="AY775" i="4" s="1"/>
  <c r="AY776" i="4" s="1"/>
  <c r="AY777" i="4" s="1"/>
  <c r="AY778" i="4" s="1"/>
  <c r="AY779" i="4" s="1"/>
  <c r="AY780" i="4" s="1"/>
  <c r="AY781" i="4" s="1"/>
  <c r="AY782" i="4" s="1"/>
  <c r="AY783" i="4" s="1"/>
  <c r="AY784" i="4" s="1"/>
  <c r="AY785" i="4" s="1"/>
  <c r="AY786" i="4" s="1"/>
  <c r="AY787" i="4" s="1"/>
  <c r="AY788" i="4" s="1"/>
  <c r="AY789" i="4" s="1"/>
  <c r="AY790" i="4" s="1"/>
  <c r="AY791" i="4" s="1"/>
  <c r="AY792" i="4" s="1"/>
  <c r="AY793" i="4" s="1"/>
  <c r="AY794" i="4" s="1"/>
  <c r="AY795" i="4" s="1"/>
  <c r="AY796" i="4" s="1"/>
  <c r="AY797" i="4" s="1"/>
  <c r="AY798" i="4" s="1"/>
  <c r="AY799" i="4" s="1"/>
  <c r="AY800" i="4" s="1"/>
  <c r="AY801" i="4" s="1"/>
  <c r="AY802" i="4" s="1"/>
  <c r="AY803" i="4" s="1"/>
  <c r="AY804" i="4" s="1"/>
  <c r="AY805" i="4" s="1"/>
  <c r="AY806" i="4" s="1"/>
  <c r="AY807" i="4" s="1"/>
  <c r="AY808" i="4" s="1"/>
  <c r="AY809" i="4" s="1"/>
  <c r="AY810" i="4" s="1"/>
  <c r="AY811" i="4" s="1"/>
  <c r="AY812" i="4" s="1"/>
  <c r="AY813" i="4" s="1"/>
  <c r="AY814" i="4" s="1"/>
  <c r="AY815" i="4" s="1"/>
  <c r="AY816" i="4" s="1"/>
  <c r="AY817" i="4" s="1"/>
  <c r="AY818" i="4" s="1"/>
  <c r="AY819" i="4" s="1"/>
  <c r="AY820" i="4" s="1"/>
  <c r="AY821" i="4" s="1"/>
  <c r="AY822" i="4" s="1"/>
  <c r="AY823" i="4" s="1"/>
  <c r="AY824" i="4" s="1"/>
  <c r="AY825" i="4" s="1"/>
  <c r="AY826" i="4" s="1"/>
  <c r="AY827" i="4" s="1"/>
  <c r="AY828" i="4" s="1"/>
  <c r="AY829" i="4" s="1"/>
  <c r="AY830" i="4" s="1"/>
  <c r="AY831" i="4" s="1"/>
  <c r="AY832" i="4" s="1"/>
  <c r="AY833" i="4" s="1"/>
  <c r="AY834" i="4" s="1"/>
  <c r="AY835" i="4" s="1"/>
  <c r="AY836" i="4" s="1"/>
  <c r="AY837" i="4" s="1"/>
  <c r="AY838" i="4" s="1"/>
  <c r="AY839" i="4" s="1"/>
  <c r="AY840" i="4" s="1"/>
  <c r="AY841" i="4" s="1"/>
  <c r="AY842" i="4" s="1"/>
  <c r="AY843" i="4" s="1"/>
  <c r="AY844" i="4" s="1"/>
  <c r="AY845" i="4" s="1"/>
  <c r="AY846" i="4" s="1"/>
  <c r="AY847" i="4" s="1"/>
  <c r="AY848" i="4" s="1"/>
  <c r="AY849" i="4" s="1"/>
  <c r="AY850" i="4" s="1"/>
  <c r="AY851" i="4" s="1"/>
  <c r="AY852" i="4" s="1"/>
  <c r="AY853" i="4" s="1"/>
  <c r="AY854" i="4" s="1"/>
  <c r="AY855" i="4" s="1"/>
  <c r="AY856" i="4" s="1"/>
  <c r="AY857" i="4" s="1"/>
  <c r="AY858" i="4" s="1"/>
  <c r="AY859" i="4" s="1"/>
  <c r="AY860" i="4" s="1"/>
  <c r="AY861" i="4" s="1"/>
  <c r="AY862" i="4" s="1"/>
  <c r="AY863" i="4" s="1"/>
  <c r="AY864" i="4" s="1"/>
  <c r="AY865" i="4" s="1"/>
  <c r="AY866" i="4" s="1"/>
  <c r="AY867" i="4" s="1"/>
  <c r="AY868" i="4" s="1"/>
  <c r="AY869" i="4" s="1"/>
  <c r="AY870" i="4" s="1"/>
  <c r="AY871" i="4" s="1"/>
  <c r="AY872" i="4" s="1"/>
  <c r="AY873" i="4" s="1"/>
  <c r="AY874" i="4" s="1"/>
  <c r="AY875" i="4" s="1"/>
  <c r="AY876" i="4" s="1"/>
  <c r="AY877" i="4" s="1"/>
  <c r="AY878" i="4" s="1"/>
  <c r="AY879" i="4" s="1"/>
  <c r="AY880" i="4" s="1"/>
  <c r="AY881" i="4" s="1"/>
  <c r="AY882" i="4" s="1"/>
  <c r="AY883" i="4" s="1"/>
  <c r="AY884" i="4" s="1"/>
  <c r="AY885" i="4" s="1"/>
  <c r="AY886" i="4" s="1"/>
  <c r="AY887" i="4" s="1"/>
  <c r="AY888" i="4" s="1"/>
  <c r="AY889" i="4" s="1"/>
  <c r="AY890" i="4" s="1"/>
  <c r="AY891" i="4" s="1"/>
  <c r="AY892" i="4" s="1"/>
  <c r="AY893" i="4" s="1"/>
  <c r="AY894" i="4" s="1"/>
  <c r="AY895" i="4" s="1"/>
  <c r="AY896" i="4" s="1"/>
  <c r="AY897" i="4" s="1"/>
  <c r="AY898" i="4" s="1"/>
  <c r="AY899" i="4" s="1"/>
  <c r="AY900" i="4" s="1"/>
  <c r="AY901" i="4" s="1"/>
  <c r="AY902" i="4" s="1"/>
  <c r="AY903" i="4" s="1"/>
  <c r="AY904" i="4" s="1"/>
  <c r="AY905" i="4" s="1"/>
  <c r="AY906" i="4" s="1"/>
  <c r="AY907" i="4" s="1"/>
  <c r="AY908" i="4" s="1"/>
  <c r="AY909" i="4" s="1"/>
  <c r="AY910" i="4" s="1"/>
  <c r="AY911" i="4" s="1"/>
  <c r="AY912" i="4" s="1"/>
  <c r="AY913" i="4" s="1"/>
  <c r="AY914" i="4" s="1"/>
  <c r="AY915" i="4" s="1"/>
  <c r="AY916" i="4" s="1"/>
  <c r="AY917" i="4" s="1"/>
  <c r="AY918" i="4" s="1"/>
  <c r="AY919" i="4" s="1"/>
  <c r="AY920" i="4" s="1"/>
  <c r="AY921" i="4" s="1"/>
  <c r="AY922" i="4" s="1"/>
  <c r="AY923" i="4" s="1"/>
  <c r="AY924" i="4" s="1"/>
  <c r="AY925" i="4" s="1"/>
  <c r="AY926" i="4" s="1"/>
  <c r="AY927" i="4" s="1"/>
  <c r="AY928" i="4" s="1"/>
  <c r="AY929" i="4" s="1"/>
  <c r="AY930" i="4" s="1"/>
  <c r="AY931" i="4" s="1"/>
  <c r="AY932" i="4" s="1"/>
  <c r="AY933" i="4" s="1"/>
  <c r="AY934" i="4" s="1"/>
  <c r="AY935" i="4" s="1"/>
  <c r="AY936" i="4" s="1"/>
  <c r="AY937" i="4" s="1"/>
  <c r="AY938" i="4" s="1"/>
  <c r="AY939" i="4" s="1"/>
  <c r="AY940" i="4" s="1"/>
  <c r="AY941" i="4" s="1"/>
  <c r="AY942" i="4" s="1"/>
  <c r="AY943" i="4" s="1"/>
  <c r="AY944" i="4" s="1"/>
  <c r="AY945" i="4" s="1"/>
  <c r="AY946" i="4" s="1"/>
  <c r="AY947" i="4" s="1"/>
  <c r="AY948" i="4" s="1"/>
  <c r="AY949" i="4" s="1"/>
  <c r="AY950" i="4" s="1"/>
  <c r="AY951" i="4" s="1"/>
  <c r="AY952" i="4" s="1"/>
  <c r="AY953" i="4" s="1"/>
  <c r="AY954" i="4" s="1"/>
  <c r="AY955" i="4" s="1"/>
  <c r="AY956" i="4" s="1"/>
  <c r="AY957" i="4" s="1"/>
  <c r="AY958" i="4" s="1"/>
  <c r="AY959" i="4" s="1"/>
  <c r="AY960" i="4" s="1"/>
  <c r="AY961" i="4" s="1"/>
  <c r="AY962" i="4" s="1"/>
  <c r="AY963" i="4" s="1"/>
  <c r="AY964" i="4" s="1"/>
  <c r="AY965" i="4" s="1"/>
  <c r="AY966" i="4" s="1"/>
  <c r="AY967" i="4" s="1"/>
  <c r="AY968" i="4" s="1"/>
  <c r="AY969" i="4" s="1"/>
  <c r="AY970" i="4" s="1"/>
  <c r="AY971" i="4" s="1"/>
  <c r="AY972" i="4" s="1"/>
  <c r="AY973" i="4" s="1"/>
  <c r="AY974" i="4" s="1"/>
  <c r="AY975" i="4" s="1"/>
  <c r="AY976" i="4" s="1"/>
  <c r="AY977" i="4" s="1"/>
  <c r="AY978" i="4" s="1"/>
  <c r="AY979" i="4" s="1"/>
  <c r="AY980" i="4" s="1"/>
  <c r="AY981" i="4" s="1"/>
  <c r="AY982" i="4" s="1"/>
  <c r="AY983" i="4" s="1"/>
  <c r="AY984" i="4" s="1"/>
  <c r="AY985" i="4" s="1"/>
  <c r="AY986" i="4" s="1"/>
  <c r="AY987" i="4" s="1"/>
  <c r="AY988" i="4" s="1"/>
  <c r="AY989" i="4" s="1"/>
  <c r="AY990" i="4" s="1"/>
  <c r="AY991" i="4" s="1"/>
  <c r="AY992" i="4" s="1"/>
  <c r="AY993" i="4" s="1"/>
  <c r="AY994" i="4" s="1"/>
  <c r="AY995" i="4" s="1"/>
  <c r="AY996" i="4" s="1"/>
  <c r="AY997" i="4" s="1"/>
  <c r="AY998" i="4" s="1"/>
  <c r="AY999" i="4" s="1"/>
  <c r="AY1000" i="4" s="1"/>
  <c r="AY1001" i="4" s="1"/>
  <c r="AY1002" i="4" s="1"/>
  <c r="AY1003" i="4" s="1"/>
  <c r="AY1004" i="4" s="1"/>
  <c r="AY1005" i="4" s="1"/>
  <c r="AY1006" i="4" s="1"/>
  <c r="AY1007" i="4" s="1"/>
  <c r="AY1008" i="4" s="1"/>
  <c r="AY1009" i="4" s="1"/>
  <c r="AY1010" i="4" s="1"/>
  <c r="AY1011" i="4" s="1"/>
  <c r="AY1012" i="4" s="1"/>
  <c r="AY1013" i="4" s="1"/>
  <c r="AY1014" i="4" s="1"/>
  <c r="AY1015" i="4" s="1"/>
  <c r="AY1016" i="4" s="1"/>
  <c r="AY1017" i="4" s="1"/>
  <c r="AY1018" i="4" s="1"/>
  <c r="AY1019" i="4" s="1"/>
  <c r="AY1020" i="4" s="1"/>
  <c r="AY1021" i="4" s="1"/>
  <c r="AY1022" i="4" s="1"/>
  <c r="AY1023" i="4" s="1"/>
  <c r="AY1024" i="4" s="1"/>
  <c r="AY1025" i="4" s="1"/>
  <c r="AY1026" i="4" s="1"/>
  <c r="AY1027" i="4" s="1"/>
  <c r="AY1028" i="4" s="1"/>
  <c r="AY1029" i="4" s="1"/>
  <c r="AY1030" i="4" s="1"/>
  <c r="AY1031" i="4" s="1"/>
  <c r="AY1032" i="4" s="1"/>
  <c r="AY1033" i="4" s="1"/>
  <c r="AY1034" i="4" s="1"/>
  <c r="AY1035" i="4" s="1"/>
  <c r="AY1036" i="4" s="1"/>
  <c r="AY1037" i="4" s="1"/>
  <c r="AY1038" i="4" s="1"/>
  <c r="AY1039" i="4" s="1"/>
  <c r="AY1040" i="4" s="1"/>
  <c r="AY1041" i="4" s="1"/>
  <c r="AY1042" i="4" s="1"/>
  <c r="AY1043" i="4" s="1"/>
  <c r="AY1044" i="4" s="1"/>
  <c r="AY1045" i="4" s="1"/>
  <c r="AY1046" i="4" s="1"/>
  <c r="AY1047" i="4" s="1"/>
  <c r="AY1048" i="4" s="1"/>
  <c r="AY1049" i="4" s="1"/>
  <c r="AY1050" i="4" s="1"/>
  <c r="AY1051" i="4" s="1"/>
  <c r="AY1052" i="4" s="1"/>
  <c r="AY1053" i="4" s="1"/>
  <c r="AY1054" i="4" s="1"/>
  <c r="AY1055" i="4" s="1"/>
  <c r="AY1056" i="4" s="1"/>
  <c r="AY1057" i="4" s="1"/>
  <c r="AY1058" i="4" s="1"/>
  <c r="AY1059" i="4" s="1"/>
  <c r="AY1060" i="4" s="1"/>
  <c r="AY1061" i="4" s="1"/>
  <c r="AK14" i="4"/>
  <c r="AI14" i="4"/>
  <c r="AI15" i="4" s="1"/>
  <c r="AI16" i="4" s="1"/>
  <c r="AI17" i="4" s="1"/>
  <c r="AI18" i="4" s="1"/>
  <c r="AI19" i="4" s="1"/>
  <c r="AI20" i="4" s="1"/>
  <c r="AI21" i="4" s="1"/>
  <c r="AI22" i="4" s="1"/>
  <c r="AI23" i="4" s="1"/>
  <c r="AI24" i="4" s="1"/>
  <c r="AI25" i="4" s="1"/>
  <c r="AI26" i="4" s="1"/>
  <c r="AI27" i="4" s="1"/>
  <c r="AI28" i="4" s="1"/>
  <c r="AI29" i="4" s="1"/>
  <c r="AI30" i="4" s="1"/>
  <c r="AI31" i="4" s="1"/>
  <c r="AI32" i="4" s="1"/>
  <c r="AI33" i="4" s="1"/>
  <c r="AI34" i="4" s="1"/>
  <c r="AI35" i="4" s="1"/>
  <c r="AI36" i="4" s="1"/>
  <c r="AI37" i="4" s="1"/>
  <c r="AI38" i="4" s="1"/>
  <c r="AI39" i="4" s="1"/>
  <c r="AI40" i="4" s="1"/>
  <c r="AI41" i="4" s="1"/>
  <c r="AI42" i="4" s="1"/>
  <c r="AI43" i="4" s="1"/>
  <c r="AI44" i="4" s="1"/>
  <c r="AI45" i="4" s="1"/>
  <c r="AI46" i="4" s="1"/>
  <c r="AI47" i="4" s="1"/>
  <c r="AI48" i="4" s="1"/>
  <c r="AI49" i="4" s="1"/>
  <c r="AI50" i="4" s="1"/>
  <c r="AI51" i="4" s="1"/>
  <c r="AI52" i="4" s="1"/>
  <c r="AI53" i="4" s="1"/>
  <c r="AI54" i="4" s="1"/>
  <c r="AI55" i="4" s="1"/>
  <c r="AI56" i="4" s="1"/>
  <c r="AI57" i="4" s="1"/>
  <c r="AI58" i="4" s="1"/>
  <c r="AI59" i="4" s="1"/>
  <c r="AI60" i="4" s="1"/>
  <c r="AI61" i="4" s="1"/>
  <c r="AI62" i="4" s="1"/>
  <c r="AI63" i="4" s="1"/>
  <c r="AI64" i="4" s="1"/>
  <c r="AI65" i="4" s="1"/>
  <c r="AI66" i="4" s="1"/>
  <c r="AI67" i="4" s="1"/>
  <c r="AI68" i="4" s="1"/>
  <c r="AI69" i="4" s="1"/>
  <c r="AI70" i="4" s="1"/>
  <c r="AI71" i="4" s="1"/>
  <c r="AI72" i="4" s="1"/>
  <c r="AI73" i="4" s="1"/>
  <c r="AI74" i="4" s="1"/>
  <c r="AI75" i="4" s="1"/>
  <c r="AI76" i="4" s="1"/>
  <c r="AI77" i="4" s="1"/>
  <c r="AI78" i="4" s="1"/>
  <c r="AI79" i="4" s="1"/>
  <c r="AI80" i="4" s="1"/>
  <c r="AI81" i="4" s="1"/>
  <c r="AI82" i="4" s="1"/>
  <c r="AI83" i="4" s="1"/>
  <c r="AI84" i="4" s="1"/>
  <c r="AI85" i="4" s="1"/>
  <c r="AI86" i="4" s="1"/>
  <c r="AI87" i="4" s="1"/>
  <c r="AI88" i="4" s="1"/>
  <c r="AI89" i="4" s="1"/>
  <c r="AI90" i="4" s="1"/>
  <c r="AI91" i="4" s="1"/>
  <c r="AI92" i="4" s="1"/>
  <c r="AI93" i="4" s="1"/>
  <c r="AI94" i="4" s="1"/>
  <c r="AI95" i="4" s="1"/>
  <c r="AI96" i="4" s="1"/>
  <c r="AI97" i="4" s="1"/>
  <c r="AI98" i="4" s="1"/>
  <c r="AI99" i="4" s="1"/>
  <c r="AI100" i="4" s="1"/>
  <c r="AI101" i="4" s="1"/>
  <c r="AI102" i="4" s="1"/>
  <c r="AI103" i="4" s="1"/>
  <c r="AI104" i="4" s="1"/>
  <c r="AI105" i="4" s="1"/>
  <c r="AI106" i="4" s="1"/>
  <c r="AI107" i="4" s="1"/>
  <c r="AI108" i="4" s="1"/>
  <c r="AI109" i="4" s="1"/>
  <c r="AI110" i="4" s="1"/>
  <c r="AI111" i="4" s="1"/>
  <c r="AI112" i="4" s="1"/>
  <c r="AI113" i="4" s="1"/>
  <c r="AI114" i="4" s="1"/>
  <c r="AI115" i="4" s="1"/>
  <c r="AI116" i="4" s="1"/>
  <c r="AI117" i="4" s="1"/>
  <c r="AI118" i="4" s="1"/>
  <c r="AI119" i="4" s="1"/>
  <c r="AI120" i="4" s="1"/>
  <c r="AI121" i="4" s="1"/>
  <c r="AI122" i="4" s="1"/>
  <c r="AI123" i="4" s="1"/>
  <c r="AI124" i="4" s="1"/>
  <c r="AI125" i="4" s="1"/>
  <c r="AI126" i="4" s="1"/>
  <c r="AI127" i="4" s="1"/>
  <c r="AI128" i="4" s="1"/>
  <c r="AI129" i="4" s="1"/>
  <c r="AI130" i="4" s="1"/>
  <c r="AI131" i="4" s="1"/>
  <c r="AI132" i="4" s="1"/>
  <c r="AI133" i="4" s="1"/>
  <c r="AI134" i="4" s="1"/>
  <c r="AI135" i="4" s="1"/>
  <c r="AI136" i="4" s="1"/>
  <c r="AI137" i="4" s="1"/>
  <c r="AI138" i="4" s="1"/>
  <c r="AI139" i="4" s="1"/>
  <c r="AI140" i="4" s="1"/>
  <c r="AI141" i="4" s="1"/>
  <c r="AI142" i="4" s="1"/>
  <c r="AI143" i="4" s="1"/>
  <c r="AI144" i="4" s="1"/>
  <c r="AI145" i="4" s="1"/>
  <c r="AI146" i="4" s="1"/>
  <c r="AI147" i="4" s="1"/>
  <c r="AI148" i="4" s="1"/>
  <c r="AI149" i="4" s="1"/>
  <c r="AI150" i="4" s="1"/>
  <c r="AI151" i="4" s="1"/>
  <c r="AI152" i="4" s="1"/>
  <c r="AI153" i="4" s="1"/>
  <c r="AI154" i="4" s="1"/>
  <c r="AI155" i="4" s="1"/>
  <c r="AI156" i="4" s="1"/>
  <c r="AI157" i="4" s="1"/>
  <c r="AI158" i="4" s="1"/>
  <c r="AI159" i="4" s="1"/>
  <c r="AI160" i="4" s="1"/>
  <c r="AI161" i="4" s="1"/>
  <c r="AI162" i="4" s="1"/>
  <c r="AI163" i="4" s="1"/>
  <c r="AI164" i="4" s="1"/>
  <c r="AI165" i="4" s="1"/>
  <c r="AI166" i="4" s="1"/>
  <c r="AI167" i="4" s="1"/>
  <c r="AI168" i="4" s="1"/>
  <c r="AI169" i="4" s="1"/>
  <c r="AI170" i="4" s="1"/>
  <c r="AI171" i="4" s="1"/>
  <c r="AI172" i="4" s="1"/>
  <c r="AI173" i="4" s="1"/>
  <c r="AI174" i="4" s="1"/>
  <c r="AI175" i="4" s="1"/>
  <c r="AI176" i="4" s="1"/>
  <c r="AI177" i="4" s="1"/>
  <c r="AI178" i="4" s="1"/>
  <c r="AI179" i="4" s="1"/>
  <c r="AI180" i="4" s="1"/>
  <c r="AI181" i="4" s="1"/>
  <c r="AI182" i="4" s="1"/>
  <c r="AI183" i="4" s="1"/>
  <c r="AI184" i="4" s="1"/>
  <c r="AI185" i="4" s="1"/>
  <c r="AI186" i="4" s="1"/>
  <c r="AI187" i="4" s="1"/>
  <c r="AI188" i="4" s="1"/>
  <c r="AI189" i="4" s="1"/>
  <c r="AI190" i="4" s="1"/>
  <c r="AI191" i="4" s="1"/>
  <c r="AI192" i="4" s="1"/>
  <c r="AI193" i="4" s="1"/>
  <c r="AI194" i="4" s="1"/>
  <c r="AI195" i="4" s="1"/>
  <c r="AI196" i="4" s="1"/>
  <c r="AI197" i="4" s="1"/>
  <c r="AI198" i="4" s="1"/>
  <c r="AI199" i="4" s="1"/>
  <c r="AI200" i="4" s="1"/>
  <c r="AI201" i="4" s="1"/>
  <c r="AI202" i="4" s="1"/>
  <c r="AI203" i="4" s="1"/>
  <c r="AI204" i="4" s="1"/>
  <c r="AI205" i="4" s="1"/>
  <c r="AI206" i="4" s="1"/>
  <c r="AI207" i="4" s="1"/>
  <c r="AI208" i="4" s="1"/>
  <c r="AI209" i="4" s="1"/>
  <c r="AI210" i="4" s="1"/>
  <c r="AI211" i="4" s="1"/>
  <c r="AI212" i="4" s="1"/>
  <c r="AI213" i="4" s="1"/>
  <c r="AI214" i="4" s="1"/>
  <c r="AI215" i="4" s="1"/>
  <c r="AI216" i="4" s="1"/>
  <c r="AI217" i="4" s="1"/>
  <c r="AI218" i="4" s="1"/>
  <c r="AI219" i="4" s="1"/>
  <c r="AI220" i="4" s="1"/>
  <c r="AI221" i="4" s="1"/>
  <c r="AI222" i="4" s="1"/>
  <c r="AI223" i="4" s="1"/>
  <c r="AI224" i="4" s="1"/>
  <c r="AI225" i="4" s="1"/>
  <c r="AI226" i="4" s="1"/>
  <c r="AI227" i="4" s="1"/>
  <c r="AI228" i="4" s="1"/>
  <c r="AI229" i="4" s="1"/>
  <c r="AI230" i="4" s="1"/>
  <c r="AI231" i="4" s="1"/>
  <c r="AI232" i="4" s="1"/>
  <c r="AI233" i="4" s="1"/>
  <c r="AI234" i="4" s="1"/>
  <c r="AI235" i="4" s="1"/>
  <c r="AI236" i="4" s="1"/>
  <c r="AI237" i="4" s="1"/>
  <c r="AI238" i="4" s="1"/>
  <c r="AI239" i="4" s="1"/>
  <c r="AI240" i="4" s="1"/>
  <c r="AI241" i="4" s="1"/>
  <c r="AI242" i="4" s="1"/>
  <c r="AI243" i="4" s="1"/>
  <c r="AI244" i="4" s="1"/>
  <c r="AI245" i="4" s="1"/>
  <c r="AI246" i="4" s="1"/>
  <c r="AI247" i="4" s="1"/>
  <c r="AI248" i="4" s="1"/>
  <c r="AI249" i="4" s="1"/>
  <c r="AI250" i="4" s="1"/>
  <c r="AI251" i="4" s="1"/>
  <c r="AI252" i="4" s="1"/>
  <c r="AI253" i="4" s="1"/>
  <c r="AI254" i="4" s="1"/>
  <c r="AI255" i="4" s="1"/>
  <c r="AI256" i="4" s="1"/>
  <c r="AI257" i="4" s="1"/>
  <c r="AI258" i="4" s="1"/>
  <c r="AI259" i="4" s="1"/>
  <c r="AI260" i="4" s="1"/>
  <c r="AI261" i="4" s="1"/>
  <c r="AI262" i="4" s="1"/>
  <c r="AI263" i="4" s="1"/>
  <c r="AI264" i="4" s="1"/>
  <c r="AI265" i="4" s="1"/>
  <c r="AI266" i="4" s="1"/>
  <c r="AI267" i="4" s="1"/>
  <c r="AI268" i="4" s="1"/>
  <c r="AI269" i="4" s="1"/>
  <c r="AI270" i="4" s="1"/>
  <c r="AI271" i="4" s="1"/>
  <c r="AI272" i="4" s="1"/>
  <c r="AI273" i="4" s="1"/>
  <c r="AI274" i="4" s="1"/>
  <c r="AI275" i="4" s="1"/>
  <c r="AI276" i="4" s="1"/>
  <c r="AI277" i="4" s="1"/>
  <c r="AI278" i="4" s="1"/>
  <c r="AI279" i="4" s="1"/>
  <c r="AI280" i="4" s="1"/>
  <c r="AI281" i="4" s="1"/>
  <c r="AI282" i="4" s="1"/>
  <c r="AI283" i="4" s="1"/>
  <c r="AI284" i="4" s="1"/>
  <c r="AI285" i="4" s="1"/>
  <c r="AI286" i="4" s="1"/>
  <c r="AI287" i="4" s="1"/>
  <c r="AI288" i="4" s="1"/>
  <c r="AI289" i="4" s="1"/>
  <c r="AI290" i="4" s="1"/>
  <c r="AI291" i="4" s="1"/>
  <c r="AI292" i="4" s="1"/>
  <c r="AI293" i="4" s="1"/>
  <c r="AI294" i="4" s="1"/>
  <c r="AI295" i="4" s="1"/>
  <c r="AI296" i="4" s="1"/>
  <c r="AI297" i="4" s="1"/>
  <c r="AI298" i="4" s="1"/>
  <c r="AI299" i="4" s="1"/>
  <c r="AI300" i="4" s="1"/>
  <c r="AI301" i="4" s="1"/>
  <c r="AI302" i="4" s="1"/>
  <c r="AI303" i="4" s="1"/>
  <c r="AI304" i="4" s="1"/>
  <c r="AI305" i="4" s="1"/>
  <c r="AI306" i="4" s="1"/>
  <c r="AI307" i="4" s="1"/>
  <c r="AI308" i="4" s="1"/>
  <c r="AI309" i="4" s="1"/>
  <c r="AI310" i="4" s="1"/>
  <c r="AI311" i="4" s="1"/>
  <c r="AI312" i="4" s="1"/>
  <c r="AI313" i="4" s="1"/>
  <c r="AI314" i="4" s="1"/>
  <c r="AI315" i="4" s="1"/>
  <c r="AI316" i="4" s="1"/>
  <c r="AI317" i="4" s="1"/>
  <c r="AI318" i="4" s="1"/>
  <c r="AI319" i="4" s="1"/>
  <c r="AI320" i="4" s="1"/>
  <c r="AI321" i="4" s="1"/>
  <c r="AI322" i="4" s="1"/>
  <c r="AI323" i="4" s="1"/>
  <c r="AI324" i="4" s="1"/>
  <c r="AI325" i="4" s="1"/>
  <c r="AI326" i="4" s="1"/>
  <c r="AI327" i="4" s="1"/>
  <c r="AI328" i="4" s="1"/>
  <c r="AI329" i="4" s="1"/>
  <c r="AI330" i="4" s="1"/>
  <c r="AI331" i="4" s="1"/>
  <c r="AI332" i="4" s="1"/>
  <c r="AI333" i="4" s="1"/>
  <c r="AI334" i="4" s="1"/>
  <c r="AI335" i="4" s="1"/>
  <c r="AI336" i="4" s="1"/>
  <c r="AI337" i="4" s="1"/>
  <c r="AI338" i="4" s="1"/>
  <c r="AI339" i="4" s="1"/>
  <c r="AI340" i="4" s="1"/>
  <c r="AI341" i="4" s="1"/>
  <c r="AI342" i="4" s="1"/>
  <c r="AI343" i="4" s="1"/>
  <c r="AI344" i="4" s="1"/>
  <c r="AI345" i="4" s="1"/>
  <c r="AI346" i="4" s="1"/>
  <c r="AI347" i="4" s="1"/>
  <c r="AI348" i="4" s="1"/>
  <c r="AI349" i="4" s="1"/>
  <c r="AI350" i="4" s="1"/>
  <c r="AI351" i="4" s="1"/>
  <c r="AI352" i="4" s="1"/>
  <c r="AI353" i="4" s="1"/>
  <c r="AI354" i="4" s="1"/>
  <c r="AI355" i="4" s="1"/>
  <c r="AI356" i="4" s="1"/>
  <c r="AI357" i="4" s="1"/>
  <c r="AI358" i="4" s="1"/>
  <c r="AI359" i="4" s="1"/>
  <c r="AI360" i="4" s="1"/>
  <c r="AI361" i="4" s="1"/>
  <c r="AI362" i="4" s="1"/>
  <c r="AI363" i="4" s="1"/>
  <c r="AI364" i="4" s="1"/>
  <c r="AI365" i="4" s="1"/>
  <c r="AI366" i="4" s="1"/>
  <c r="AI367" i="4" s="1"/>
  <c r="AI368" i="4" s="1"/>
  <c r="AI369" i="4" s="1"/>
  <c r="AI370" i="4" s="1"/>
  <c r="AI371" i="4" s="1"/>
  <c r="AI372" i="4" s="1"/>
  <c r="AI373" i="4" s="1"/>
  <c r="AI374" i="4" s="1"/>
  <c r="AI375" i="4" s="1"/>
  <c r="AI376" i="4" s="1"/>
  <c r="AI377" i="4" s="1"/>
  <c r="AI378" i="4" s="1"/>
  <c r="AI379" i="4" s="1"/>
  <c r="AI380" i="4" s="1"/>
  <c r="AI381" i="4" s="1"/>
  <c r="AI382" i="4" s="1"/>
  <c r="AI383" i="4" s="1"/>
  <c r="AI384" i="4" s="1"/>
  <c r="AI385" i="4" s="1"/>
  <c r="AI386" i="4" s="1"/>
  <c r="AI387" i="4" s="1"/>
  <c r="AI388" i="4" s="1"/>
  <c r="AI389" i="4" s="1"/>
  <c r="AI390" i="4" s="1"/>
  <c r="AI391" i="4" s="1"/>
  <c r="AI392" i="4" s="1"/>
  <c r="AI393" i="4" s="1"/>
  <c r="AI394" i="4" s="1"/>
  <c r="AI395" i="4" s="1"/>
  <c r="AI396" i="4" s="1"/>
  <c r="AI397" i="4" s="1"/>
  <c r="AI398" i="4" s="1"/>
  <c r="AI399" i="4" s="1"/>
  <c r="AI400" i="4" s="1"/>
  <c r="AI401" i="4" s="1"/>
  <c r="AI402" i="4" s="1"/>
  <c r="AI403" i="4" s="1"/>
  <c r="AI404" i="4" s="1"/>
  <c r="AI405" i="4" s="1"/>
  <c r="AI406" i="4" s="1"/>
  <c r="AI407" i="4" s="1"/>
  <c r="AI408" i="4" s="1"/>
  <c r="AI409" i="4" s="1"/>
  <c r="AI410" i="4" s="1"/>
  <c r="AI411" i="4" s="1"/>
  <c r="AI412" i="4" s="1"/>
  <c r="AI413" i="4" s="1"/>
  <c r="AI414" i="4" s="1"/>
  <c r="AI415" i="4" s="1"/>
  <c r="AI416" i="4" s="1"/>
  <c r="AI417" i="4" s="1"/>
  <c r="AI418" i="4" s="1"/>
  <c r="AI419" i="4" s="1"/>
  <c r="AI420" i="4" s="1"/>
  <c r="AI421" i="4" s="1"/>
  <c r="AI422" i="4" s="1"/>
  <c r="AI423" i="4" s="1"/>
  <c r="AI424" i="4" s="1"/>
  <c r="AI425" i="4" s="1"/>
  <c r="AI426" i="4" s="1"/>
  <c r="AI427" i="4" s="1"/>
  <c r="AI428" i="4" s="1"/>
  <c r="AI429" i="4" s="1"/>
  <c r="AI430" i="4" s="1"/>
  <c r="AI431" i="4" s="1"/>
  <c r="AI432" i="4" s="1"/>
  <c r="AI433" i="4" s="1"/>
  <c r="AI434" i="4" s="1"/>
  <c r="AI435" i="4" s="1"/>
  <c r="AI436" i="4" s="1"/>
  <c r="AI437" i="4" s="1"/>
  <c r="AI438" i="4" s="1"/>
  <c r="AI439" i="4" s="1"/>
  <c r="AI440" i="4" s="1"/>
  <c r="AI441" i="4" s="1"/>
  <c r="AI442" i="4" s="1"/>
  <c r="AI443" i="4" s="1"/>
  <c r="AI444" i="4" s="1"/>
  <c r="AI445" i="4" s="1"/>
  <c r="AI446" i="4" s="1"/>
  <c r="AI447" i="4" s="1"/>
  <c r="AI448" i="4" s="1"/>
  <c r="AI449" i="4" s="1"/>
  <c r="AI450" i="4" s="1"/>
  <c r="AI451" i="4" s="1"/>
  <c r="AI452" i="4" s="1"/>
  <c r="AI453" i="4" s="1"/>
  <c r="AI454" i="4" s="1"/>
  <c r="AI455" i="4" s="1"/>
  <c r="AI456" i="4" s="1"/>
  <c r="AI457" i="4" s="1"/>
  <c r="AI458" i="4" s="1"/>
  <c r="AI459" i="4" s="1"/>
  <c r="AI460" i="4" s="1"/>
  <c r="AI461" i="4" s="1"/>
  <c r="AI462" i="4" s="1"/>
  <c r="AI463" i="4" s="1"/>
  <c r="AI464" i="4" s="1"/>
  <c r="AI465" i="4" s="1"/>
  <c r="AI466" i="4" s="1"/>
  <c r="AI467" i="4" s="1"/>
  <c r="AI468" i="4" s="1"/>
  <c r="AI469" i="4" s="1"/>
  <c r="AI470" i="4" s="1"/>
  <c r="AI471" i="4" s="1"/>
  <c r="AI472" i="4" s="1"/>
  <c r="AI473" i="4" s="1"/>
  <c r="AI474" i="4" s="1"/>
  <c r="AI475" i="4" s="1"/>
  <c r="AI476" i="4" s="1"/>
  <c r="AI477" i="4" s="1"/>
  <c r="AI478" i="4" s="1"/>
  <c r="AI479" i="4" s="1"/>
  <c r="AI480" i="4" s="1"/>
  <c r="AI481" i="4" s="1"/>
  <c r="AI482" i="4" s="1"/>
  <c r="AI483" i="4" s="1"/>
  <c r="AI484" i="4" s="1"/>
  <c r="AI485" i="4" s="1"/>
  <c r="AI486" i="4" s="1"/>
  <c r="AI487" i="4" s="1"/>
  <c r="AI488" i="4" s="1"/>
  <c r="AI489" i="4" s="1"/>
  <c r="AI490" i="4" s="1"/>
  <c r="AI491" i="4" s="1"/>
  <c r="AI492" i="4" s="1"/>
  <c r="AI493" i="4" s="1"/>
  <c r="AI494" i="4" s="1"/>
  <c r="AI495" i="4" s="1"/>
  <c r="AI496" i="4" s="1"/>
  <c r="AI497" i="4" s="1"/>
  <c r="AI498" i="4" s="1"/>
  <c r="AI499" i="4" s="1"/>
  <c r="AI500" i="4" s="1"/>
  <c r="AI501" i="4" s="1"/>
  <c r="AI502" i="4" s="1"/>
  <c r="AI503" i="4" s="1"/>
  <c r="AI504" i="4" s="1"/>
  <c r="AI505" i="4" s="1"/>
  <c r="AI506" i="4" s="1"/>
  <c r="AI507" i="4" s="1"/>
  <c r="AI508" i="4" s="1"/>
  <c r="AI509" i="4" s="1"/>
  <c r="AI510" i="4" s="1"/>
  <c r="AI511" i="4" s="1"/>
  <c r="AI512" i="4" s="1"/>
  <c r="AI513" i="4" s="1"/>
  <c r="AI514" i="4" s="1"/>
  <c r="AI515" i="4" s="1"/>
  <c r="AI516" i="4" s="1"/>
  <c r="AI517" i="4" s="1"/>
  <c r="AI518" i="4" s="1"/>
  <c r="AI519" i="4" s="1"/>
  <c r="AI520" i="4" s="1"/>
  <c r="AI521" i="4" s="1"/>
  <c r="AI522" i="4" s="1"/>
  <c r="AI523" i="4" s="1"/>
  <c r="AI524" i="4" s="1"/>
  <c r="AI525" i="4" s="1"/>
  <c r="AI526" i="4" s="1"/>
  <c r="AI527" i="4" s="1"/>
  <c r="AI528" i="4" s="1"/>
  <c r="AI529" i="4" s="1"/>
  <c r="AI530" i="4" s="1"/>
  <c r="AI531" i="4" s="1"/>
  <c r="AI532" i="4" s="1"/>
  <c r="AI533" i="4" s="1"/>
  <c r="AI534" i="4" s="1"/>
  <c r="AI535" i="4" s="1"/>
  <c r="AI536" i="4" s="1"/>
  <c r="AI537" i="4" s="1"/>
  <c r="AI538" i="4" s="1"/>
  <c r="AI539" i="4" s="1"/>
  <c r="AI540" i="4" s="1"/>
  <c r="AI541" i="4" s="1"/>
  <c r="AI542" i="4" s="1"/>
  <c r="AI543" i="4" s="1"/>
  <c r="AI544" i="4" s="1"/>
  <c r="AI545" i="4" s="1"/>
  <c r="AI546" i="4" s="1"/>
  <c r="AI547" i="4" s="1"/>
  <c r="AI548" i="4" s="1"/>
  <c r="AI549" i="4" s="1"/>
  <c r="AI550" i="4" s="1"/>
  <c r="AI551" i="4" s="1"/>
  <c r="AI552" i="4" s="1"/>
  <c r="AI553" i="4" s="1"/>
  <c r="AI554" i="4" s="1"/>
  <c r="AI555" i="4" s="1"/>
  <c r="AI556" i="4" s="1"/>
  <c r="AI557" i="4" s="1"/>
  <c r="AI558" i="4" s="1"/>
  <c r="AI559" i="4" s="1"/>
  <c r="AI560" i="4" s="1"/>
  <c r="AI561" i="4" s="1"/>
  <c r="AI562" i="4" s="1"/>
  <c r="AI563" i="4" s="1"/>
  <c r="AI564" i="4" s="1"/>
  <c r="AI565" i="4" s="1"/>
  <c r="AI566" i="4" s="1"/>
  <c r="AI567" i="4" s="1"/>
  <c r="AI568" i="4" s="1"/>
  <c r="AI569" i="4" s="1"/>
  <c r="AI570" i="4" s="1"/>
  <c r="AI571" i="4" s="1"/>
  <c r="AI572" i="4" s="1"/>
  <c r="AI573" i="4" s="1"/>
  <c r="AI574" i="4" s="1"/>
  <c r="AI575" i="4" s="1"/>
  <c r="AI576" i="4" s="1"/>
  <c r="AI577" i="4" s="1"/>
  <c r="AI578" i="4" s="1"/>
  <c r="AI579" i="4" s="1"/>
  <c r="AI580" i="4" s="1"/>
  <c r="AI581" i="4" s="1"/>
  <c r="AI582" i="4" s="1"/>
  <c r="AI583" i="4" s="1"/>
  <c r="AI584" i="4" s="1"/>
  <c r="AI585" i="4" s="1"/>
  <c r="AI586" i="4" s="1"/>
  <c r="AI587" i="4" s="1"/>
  <c r="AI588" i="4" s="1"/>
  <c r="AI589" i="4" s="1"/>
  <c r="AI590" i="4" s="1"/>
  <c r="AI591" i="4" s="1"/>
  <c r="AI592" i="4" s="1"/>
  <c r="AI593" i="4" s="1"/>
  <c r="AI594" i="4" s="1"/>
  <c r="AI595" i="4" s="1"/>
  <c r="AI596" i="4" s="1"/>
  <c r="AI597" i="4" s="1"/>
  <c r="AI598" i="4" s="1"/>
  <c r="AI599" i="4" s="1"/>
  <c r="AI600" i="4" s="1"/>
  <c r="AI601" i="4" s="1"/>
  <c r="AI602" i="4" s="1"/>
  <c r="AI603" i="4" s="1"/>
  <c r="AI604" i="4" s="1"/>
  <c r="AI605" i="4" s="1"/>
  <c r="AI606" i="4" s="1"/>
  <c r="AI607" i="4" s="1"/>
  <c r="AI608" i="4" s="1"/>
  <c r="AI609" i="4" s="1"/>
  <c r="AI610" i="4" s="1"/>
  <c r="AI611" i="4" s="1"/>
  <c r="AI612" i="4" s="1"/>
  <c r="AI613" i="4" s="1"/>
  <c r="AI614" i="4" s="1"/>
  <c r="AI615" i="4" s="1"/>
  <c r="AI616" i="4" s="1"/>
  <c r="AI617" i="4" s="1"/>
  <c r="AI618" i="4" s="1"/>
  <c r="AI619" i="4" s="1"/>
  <c r="AI620" i="4" s="1"/>
  <c r="AI621" i="4" s="1"/>
  <c r="AI622" i="4" s="1"/>
  <c r="AI623" i="4" s="1"/>
  <c r="AI624" i="4" s="1"/>
  <c r="AI625" i="4" s="1"/>
  <c r="AI626" i="4" s="1"/>
  <c r="AI627" i="4" s="1"/>
  <c r="AI628" i="4" s="1"/>
  <c r="AI629" i="4" s="1"/>
  <c r="AI630" i="4" s="1"/>
  <c r="AI631" i="4" s="1"/>
  <c r="AI632" i="4" s="1"/>
  <c r="AI633" i="4" s="1"/>
  <c r="AI634" i="4" s="1"/>
  <c r="AI635" i="4" s="1"/>
  <c r="AI636" i="4" s="1"/>
  <c r="AI637" i="4" s="1"/>
  <c r="AI638" i="4" s="1"/>
  <c r="AI639" i="4" s="1"/>
  <c r="AI640" i="4" s="1"/>
  <c r="AI641" i="4" s="1"/>
  <c r="AI642" i="4" s="1"/>
  <c r="AI643" i="4" s="1"/>
  <c r="AI644" i="4" s="1"/>
  <c r="AI645" i="4" s="1"/>
  <c r="AI646" i="4" s="1"/>
  <c r="AI647" i="4" s="1"/>
  <c r="AI648" i="4" s="1"/>
  <c r="AI649" i="4" s="1"/>
  <c r="AI650" i="4" s="1"/>
  <c r="AI651" i="4" s="1"/>
  <c r="AI652" i="4" s="1"/>
  <c r="AI653" i="4" s="1"/>
  <c r="AI654" i="4" s="1"/>
  <c r="AI655" i="4" s="1"/>
  <c r="AI656" i="4" s="1"/>
  <c r="AI657" i="4" s="1"/>
  <c r="AI658" i="4" s="1"/>
  <c r="AI659" i="4" s="1"/>
  <c r="AI660" i="4" s="1"/>
  <c r="AI661" i="4" s="1"/>
  <c r="AI662" i="4" s="1"/>
  <c r="AI663" i="4" s="1"/>
  <c r="AI664" i="4" s="1"/>
  <c r="AI665" i="4" s="1"/>
  <c r="AI666" i="4" s="1"/>
  <c r="AI667" i="4" s="1"/>
  <c r="AI668" i="4" s="1"/>
  <c r="AI669" i="4" s="1"/>
  <c r="AI670" i="4" s="1"/>
  <c r="AI671" i="4" s="1"/>
  <c r="AI672" i="4" s="1"/>
  <c r="AI673" i="4" s="1"/>
  <c r="AI674" i="4" s="1"/>
  <c r="AI675" i="4" s="1"/>
  <c r="AI676" i="4" s="1"/>
  <c r="AI677" i="4" s="1"/>
  <c r="AI678" i="4" s="1"/>
  <c r="AI679" i="4" s="1"/>
  <c r="AI680" i="4" s="1"/>
  <c r="AI681" i="4" s="1"/>
  <c r="AI682" i="4" s="1"/>
  <c r="AI683" i="4" s="1"/>
  <c r="AI684" i="4" s="1"/>
  <c r="AI685" i="4" s="1"/>
  <c r="AI686" i="4" s="1"/>
  <c r="AI687" i="4" s="1"/>
  <c r="AI688" i="4" s="1"/>
  <c r="AI689" i="4" s="1"/>
  <c r="AI690" i="4" s="1"/>
  <c r="AI691" i="4" s="1"/>
  <c r="AI692" i="4" s="1"/>
  <c r="AI693" i="4" s="1"/>
  <c r="AI694" i="4" s="1"/>
  <c r="AI695" i="4" s="1"/>
  <c r="AI696" i="4" s="1"/>
  <c r="AI697" i="4" s="1"/>
  <c r="AI698" i="4" s="1"/>
  <c r="AI699" i="4" s="1"/>
  <c r="AI700" i="4" s="1"/>
  <c r="AI701" i="4" s="1"/>
  <c r="AI702" i="4" s="1"/>
  <c r="AI703" i="4" s="1"/>
  <c r="AI704" i="4" s="1"/>
  <c r="AI705" i="4" s="1"/>
  <c r="AI706" i="4" s="1"/>
  <c r="AI707" i="4" s="1"/>
  <c r="AI708" i="4" s="1"/>
  <c r="AI709" i="4" s="1"/>
  <c r="AI710" i="4" s="1"/>
  <c r="AI711" i="4" s="1"/>
  <c r="AI712" i="4" s="1"/>
  <c r="AI713" i="4" s="1"/>
  <c r="AI714" i="4" s="1"/>
  <c r="AI715" i="4" s="1"/>
  <c r="AI716" i="4" s="1"/>
  <c r="AI717" i="4" s="1"/>
  <c r="AI718" i="4" s="1"/>
  <c r="AI719" i="4" s="1"/>
  <c r="AI720" i="4" s="1"/>
  <c r="AI721" i="4" s="1"/>
  <c r="AI722" i="4" s="1"/>
  <c r="AI723" i="4" s="1"/>
  <c r="AI724" i="4" s="1"/>
  <c r="AI725" i="4" s="1"/>
  <c r="AI726" i="4" s="1"/>
  <c r="AI727" i="4" s="1"/>
  <c r="AI728" i="4" s="1"/>
  <c r="AI729" i="4" s="1"/>
  <c r="AI730" i="4" s="1"/>
  <c r="AI731" i="4" s="1"/>
  <c r="AI732" i="4" s="1"/>
  <c r="AI733" i="4" s="1"/>
  <c r="AI734" i="4" s="1"/>
  <c r="AI735" i="4" s="1"/>
  <c r="AI736" i="4" s="1"/>
  <c r="AI737" i="4" s="1"/>
  <c r="AI738" i="4" s="1"/>
  <c r="AI739" i="4" s="1"/>
  <c r="AI740" i="4" s="1"/>
  <c r="AI741" i="4" s="1"/>
  <c r="AI742" i="4" s="1"/>
  <c r="AI743" i="4" s="1"/>
  <c r="AI744" i="4" s="1"/>
  <c r="AI745" i="4" s="1"/>
  <c r="AI746" i="4" s="1"/>
  <c r="AI747" i="4" s="1"/>
  <c r="AI748" i="4" s="1"/>
  <c r="AI749" i="4" s="1"/>
  <c r="AI750" i="4" s="1"/>
  <c r="AI751" i="4" s="1"/>
  <c r="AI752" i="4" s="1"/>
  <c r="AI753" i="4" s="1"/>
  <c r="AI754" i="4" s="1"/>
  <c r="AI755" i="4" s="1"/>
  <c r="AI756" i="4" s="1"/>
  <c r="AI757" i="4" s="1"/>
  <c r="AI758" i="4" s="1"/>
  <c r="AI759" i="4" s="1"/>
  <c r="AI760" i="4" s="1"/>
  <c r="AI761" i="4" s="1"/>
  <c r="AI762" i="4" s="1"/>
  <c r="AI763" i="4" s="1"/>
  <c r="AI764" i="4" s="1"/>
  <c r="AI765" i="4" s="1"/>
  <c r="AI766" i="4" s="1"/>
  <c r="AI767" i="4" s="1"/>
  <c r="AI768" i="4" s="1"/>
  <c r="AI769" i="4" s="1"/>
  <c r="AI770" i="4" s="1"/>
  <c r="AI771" i="4" s="1"/>
  <c r="AI772" i="4" s="1"/>
  <c r="AI773" i="4" s="1"/>
  <c r="AI774" i="4" s="1"/>
  <c r="AI775" i="4" s="1"/>
  <c r="AI776" i="4" s="1"/>
  <c r="AI777" i="4" s="1"/>
  <c r="AI778" i="4" s="1"/>
  <c r="AI779" i="4" s="1"/>
  <c r="AI780" i="4" s="1"/>
  <c r="AI781" i="4" s="1"/>
  <c r="AI782" i="4" s="1"/>
  <c r="AI783" i="4" s="1"/>
  <c r="AI784" i="4" s="1"/>
  <c r="AI785" i="4" s="1"/>
  <c r="AI786" i="4" s="1"/>
  <c r="AI787" i="4" s="1"/>
  <c r="AI788" i="4" s="1"/>
  <c r="AI789" i="4" s="1"/>
  <c r="AI790" i="4" s="1"/>
  <c r="AI791" i="4" s="1"/>
  <c r="AI792" i="4" s="1"/>
  <c r="AI793" i="4" s="1"/>
  <c r="AI794" i="4" s="1"/>
  <c r="AI795" i="4" s="1"/>
  <c r="AI796" i="4" s="1"/>
  <c r="AI797" i="4" s="1"/>
  <c r="AI798" i="4" s="1"/>
  <c r="AI799" i="4" s="1"/>
  <c r="AI800" i="4" s="1"/>
  <c r="AI801" i="4" s="1"/>
  <c r="AI802" i="4" s="1"/>
  <c r="AI803" i="4" s="1"/>
  <c r="AI804" i="4" s="1"/>
  <c r="AI805" i="4" s="1"/>
  <c r="AI806" i="4" s="1"/>
  <c r="AI807" i="4" s="1"/>
  <c r="AI808" i="4" s="1"/>
  <c r="AI809" i="4" s="1"/>
  <c r="AI810" i="4" s="1"/>
  <c r="AI811" i="4" s="1"/>
  <c r="AI812" i="4" s="1"/>
  <c r="AI813" i="4" s="1"/>
  <c r="AI814" i="4" s="1"/>
  <c r="AI815" i="4" s="1"/>
  <c r="AI816" i="4" s="1"/>
  <c r="AI817" i="4" s="1"/>
  <c r="AI818" i="4" s="1"/>
  <c r="AI819" i="4" s="1"/>
  <c r="AI820" i="4" s="1"/>
  <c r="AI821" i="4" s="1"/>
  <c r="AI822" i="4" s="1"/>
  <c r="AI823" i="4" s="1"/>
  <c r="AI824" i="4" s="1"/>
  <c r="AI825" i="4" s="1"/>
  <c r="AI826" i="4" s="1"/>
  <c r="AI827" i="4" s="1"/>
  <c r="AI828" i="4" s="1"/>
  <c r="AI829" i="4" s="1"/>
  <c r="AI830" i="4" s="1"/>
  <c r="AI831" i="4" s="1"/>
  <c r="AI832" i="4" s="1"/>
  <c r="AI833" i="4" s="1"/>
  <c r="AI834" i="4" s="1"/>
  <c r="AI835" i="4" s="1"/>
  <c r="AI836" i="4" s="1"/>
  <c r="AI837" i="4" s="1"/>
  <c r="AI838" i="4" s="1"/>
  <c r="AI839" i="4" s="1"/>
  <c r="AI840" i="4" s="1"/>
  <c r="AI841" i="4" s="1"/>
  <c r="AI842" i="4" s="1"/>
  <c r="AI843" i="4" s="1"/>
  <c r="AI844" i="4" s="1"/>
  <c r="AI845" i="4" s="1"/>
  <c r="AI846" i="4" s="1"/>
  <c r="AI847" i="4" s="1"/>
  <c r="AI848" i="4" s="1"/>
  <c r="AI849" i="4" s="1"/>
  <c r="AI850" i="4" s="1"/>
  <c r="AI851" i="4" s="1"/>
  <c r="AI852" i="4" s="1"/>
  <c r="AI853" i="4" s="1"/>
  <c r="AI854" i="4" s="1"/>
  <c r="AI855" i="4" s="1"/>
  <c r="AI856" i="4" s="1"/>
  <c r="AI857" i="4" s="1"/>
  <c r="AI858" i="4" s="1"/>
  <c r="AI859" i="4" s="1"/>
  <c r="AI860" i="4" s="1"/>
  <c r="AI861" i="4" s="1"/>
  <c r="AI862" i="4" s="1"/>
  <c r="AI863" i="4" s="1"/>
  <c r="AI864" i="4" s="1"/>
  <c r="AI865" i="4" s="1"/>
  <c r="AI866" i="4" s="1"/>
  <c r="AI867" i="4" s="1"/>
  <c r="AI868" i="4" s="1"/>
  <c r="AI869" i="4" s="1"/>
  <c r="AI870" i="4" s="1"/>
  <c r="AI871" i="4" s="1"/>
  <c r="AI872" i="4" s="1"/>
  <c r="AI873" i="4" s="1"/>
  <c r="AI874" i="4" s="1"/>
  <c r="AI875" i="4" s="1"/>
  <c r="AI876" i="4" s="1"/>
  <c r="AI877" i="4" s="1"/>
  <c r="AI878" i="4" s="1"/>
  <c r="AI879" i="4" s="1"/>
  <c r="AI880" i="4" s="1"/>
  <c r="AI881" i="4" s="1"/>
  <c r="AI882" i="4" s="1"/>
  <c r="AI883" i="4" s="1"/>
  <c r="AI884" i="4" s="1"/>
  <c r="AI885" i="4" s="1"/>
  <c r="AI886" i="4" s="1"/>
  <c r="AI887" i="4" s="1"/>
  <c r="AI888" i="4" s="1"/>
  <c r="AI889" i="4" s="1"/>
  <c r="AI890" i="4" s="1"/>
  <c r="AI891" i="4" s="1"/>
  <c r="AI892" i="4" s="1"/>
  <c r="AI893" i="4" s="1"/>
  <c r="AI894" i="4" s="1"/>
  <c r="AI895" i="4" s="1"/>
  <c r="AI896" i="4" s="1"/>
  <c r="AI897" i="4" s="1"/>
  <c r="AI898" i="4" s="1"/>
  <c r="AI899" i="4" s="1"/>
  <c r="AI900" i="4" s="1"/>
  <c r="AI901" i="4" s="1"/>
  <c r="AI902" i="4" s="1"/>
  <c r="AI903" i="4" s="1"/>
  <c r="AI904" i="4" s="1"/>
  <c r="AI905" i="4" s="1"/>
  <c r="AI906" i="4" s="1"/>
  <c r="AI907" i="4" s="1"/>
  <c r="AI908" i="4" s="1"/>
  <c r="AI909" i="4" s="1"/>
  <c r="AI910" i="4" s="1"/>
  <c r="AI911" i="4" s="1"/>
  <c r="AI912" i="4" s="1"/>
  <c r="AI913" i="4" s="1"/>
  <c r="AI914" i="4" s="1"/>
  <c r="AI915" i="4" s="1"/>
  <c r="AI916" i="4" s="1"/>
  <c r="AI917" i="4" s="1"/>
  <c r="AI918" i="4" s="1"/>
  <c r="AI919" i="4" s="1"/>
  <c r="AI920" i="4" s="1"/>
  <c r="AI921" i="4" s="1"/>
  <c r="AI922" i="4" s="1"/>
  <c r="AI923" i="4" s="1"/>
  <c r="AI924" i="4" s="1"/>
  <c r="AI925" i="4" s="1"/>
  <c r="AI926" i="4" s="1"/>
  <c r="AI927" i="4" s="1"/>
  <c r="AI928" i="4" s="1"/>
  <c r="AI929" i="4" s="1"/>
  <c r="AI930" i="4" s="1"/>
  <c r="AI931" i="4" s="1"/>
  <c r="AI932" i="4" s="1"/>
  <c r="AI933" i="4" s="1"/>
  <c r="AI934" i="4" s="1"/>
  <c r="AI935" i="4" s="1"/>
  <c r="AI936" i="4" s="1"/>
  <c r="AI937" i="4" s="1"/>
  <c r="AI938" i="4" s="1"/>
  <c r="AI939" i="4" s="1"/>
  <c r="AI940" i="4" s="1"/>
  <c r="AI941" i="4" s="1"/>
  <c r="AI942" i="4" s="1"/>
  <c r="AI943" i="4" s="1"/>
  <c r="AI944" i="4" s="1"/>
  <c r="AI945" i="4" s="1"/>
  <c r="AI946" i="4" s="1"/>
  <c r="AI947" i="4" s="1"/>
  <c r="AI948" i="4" s="1"/>
  <c r="AI949" i="4" s="1"/>
  <c r="AI950" i="4" s="1"/>
  <c r="AI951" i="4" s="1"/>
  <c r="AI952" i="4" s="1"/>
  <c r="AI953" i="4" s="1"/>
  <c r="AI954" i="4" s="1"/>
  <c r="AI955" i="4" s="1"/>
  <c r="AI956" i="4" s="1"/>
  <c r="AI957" i="4" s="1"/>
  <c r="AI958" i="4" s="1"/>
  <c r="AI959" i="4" s="1"/>
  <c r="AI960" i="4" s="1"/>
  <c r="AI961" i="4" s="1"/>
  <c r="AI962" i="4" s="1"/>
  <c r="AI963" i="4" s="1"/>
  <c r="AI964" i="4" s="1"/>
  <c r="AI965" i="4" s="1"/>
  <c r="AI966" i="4" s="1"/>
  <c r="AI967" i="4" s="1"/>
  <c r="AI968" i="4" s="1"/>
  <c r="AI969" i="4" s="1"/>
  <c r="AI970" i="4" s="1"/>
  <c r="AI971" i="4" s="1"/>
  <c r="AI972" i="4" s="1"/>
  <c r="AI973" i="4" s="1"/>
  <c r="AI974" i="4" s="1"/>
  <c r="AI975" i="4" s="1"/>
  <c r="AI976" i="4" s="1"/>
  <c r="AI977" i="4" s="1"/>
  <c r="AI978" i="4" s="1"/>
  <c r="AI979" i="4" s="1"/>
  <c r="AI980" i="4" s="1"/>
  <c r="AI981" i="4" s="1"/>
  <c r="AI982" i="4" s="1"/>
  <c r="AI983" i="4" s="1"/>
  <c r="AI984" i="4" s="1"/>
  <c r="AI985" i="4" s="1"/>
  <c r="AI986" i="4" s="1"/>
  <c r="AI987" i="4" s="1"/>
  <c r="AI988" i="4" s="1"/>
  <c r="AI989" i="4" s="1"/>
  <c r="AI990" i="4" s="1"/>
  <c r="AI991" i="4" s="1"/>
  <c r="AI992" i="4" s="1"/>
  <c r="AI993" i="4" s="1"/>
  <c r="AI994" i="4" s="1"/>
  <c r="AI995" i="4" s="1"/>
  <c r="AI996" i="4" s="1"/>
  <c r="AI997" i="4" s="1"/>
  <c r="AI998" i="4" s="1"/>
  <c r="AI999" i="4" s="1"/>
  <c r="AI1000" i="4" s="1"/>
  <c r="AI1001" i="4" s="1"/>
  <c r="AI1002" i="4" s="1"/>
  <c r="AI1003" i="4" s="1"/>
  <c r="AI1004" i="4" s="1"/>
  <c r="AI1005" i="4" s="1"/>
  <c r="AI1006" i="4" s="1"/>
  <c r="AI1007" i="4" s="1"/>
  <c r="AI1008" i="4" s="1"/>
  <c r="AI1009" i="4" s="1"/>
  <c r="AI1010" i="4" s="1"/>
  <c r="AI1011" i="4" s="1"/>
  <c r="AI1012" i="4" s="1"/>
  <c r="AI1013" i="4" s="1"/>
  <c r="AI1014" i="4" s="1"/>
  <c r="AI1015" i="4" s="1"/>
  <c r="AI1016" i="4" s="1"/>
  <c r="AI1017" i="4" s="1"/>
  <c r="AI1018" i="4" s="1"/>
  <c r="AI1019" i="4" s="1"/>
  <c r="AI1020" i="4" s="1"/>
  <c r="AI1021" i="4" s="1"/>
  <c r="AI1022" i="4" s="1"/>
  <c r="AI1023" i="4" s="1"/>
  <c r="AI1024" i="4" s="1"/>
  <c r="AI1025" i="4" s="1"/>
  <c r="AI1026" i="4" s="1"/>
  <c r="AI1027" i="4" s="1"/>
  <c r="AI1028" i="4" s="1"/>
  <c r="AI1029" i="4" s="1"/>
  <c r="AI1030" i="4" s="1"/>
  <c r="AI1031" i="4" s="1"/>
  <c r="AI1032" i="4" s="1"/>
  <c r="AI1033" i="4" s="1"/>
  <c r="AI1034" i="4" s="1"/>
  <c r="AI1035" i="4" s="1"/>
  <c r="AI1036" i="4" s="1"/>
  <c r="AI1037" i="4" s="1"/>
  <c r="AI1038" i="4" s="1"/>
  <c r="AI1039" i="4" s="1"/>
  <c r="AI1040" i="4" s="1"/>
  <c r="AI1041" i="4" s="1"/>
  <c r="AI1042" i="4" s="1"/>
  <c r="AI1043" i="4" s="1"/>
  <c r="AI1044" i="4" s="1"/>
  <c r="AI1045" i="4" s="1"/>
  <c r="AI1046" i="4" s="1"/>
  <c r="AI1047" i="4" s="1"/>
  <c r="AI1048" i="4" s="1"/>
  <c r="AI1049" i="4" s="1"/>
  <c r="AI1050" i="4" s="1"/>
  <c r="AI1051" i="4" s="1"/>
  <c r="AI1052" i="4" s="1"/>
  <c r="AI1053" i="4" s="1"/>
  <c r="AI1054" i="4" s="1"/>
  <c r="AI1055" i="4" s="1"/>
  <c r="AI1056" i="4" s="1"/>
  <c r="AI1057" i="4" s="1"/>
  <c r="AI1058" i="4" s="1"/>
  <c r="AI1059" i="4" s="1"/>
  <c r="AI1060" i="4" s="1"/>
  <c r="AI1061" i="4" s="1"/>
  <c r="U14" i="4"/>
  <c r="AY13" i="4"/>
  <c r="AK13" i="4"/>
  <c r="AI13" i="4"/>
  <c r="U13" i="4"/>
  <c r="S13" i="4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S203" i="4" s="1"/>
  <c r="S204" i="4" s="1"/>
  <c r="S205" i="4" s="1"/>
  <c r="S206" i="4" s="1"/>
  <c r="S207" i="4" s="1"/>
  <c r="S208" i="4" s="1"/>
  <c r="S209" i="4" s="1"/>
  <c r="S210" i="4" s="1"/>
  <c r="S211" i="4" s="1"/>
  <c r="S212" i="4" s="1"/>
  <c r="S213" i="4" s="1"/>
  <c r="S214" i="4" s="1"/>
  <c r="S215" i="4" s="1"/>
  <c r="S216" i="4" s="1"/>
  <c r="S217" i="4" s="1"/>
  <c r="S218" i="4" s="1"/>
  <c r="S219" i="4" s="1"/>
  <c r="S220" i="4" s="1"/>
  <c r="S221" i="4" s="1"/>
  <c r="S222" i="4" s="1"/>
  <c r="S223" i="4" s="1"/>
  <c r="S224" i="4" s="1"/>
  <c r="S225" i="4" s="1"/>
  <c r="S226" i="4" s="1"/>
  <c r="S227" i="4" s="1"/>
  <c r="S228" i="4" s="1"/>
  <c r="S229" i="4" s="1"/>
  <c r="S230" i="4" s="1"/>
  <c r="S231" i="4" s="1"/>
  <c r="S232" i="4" s="1"/>
  <c r="S233" i="4" s="1"/>
  <c r="S234" i="4" s="1"/>
  <c r="S235" i="4" s="1"/>
  <c r="S236" i="4" s="1"/>
  <c r="S237" i="4" s="1"/>
  <c r="S238" i="4" s="1"/>
  <c r="S239" i="4" s="1"/>
  <c r="S240" i="4" s="1"/>
  <c r="S241" i="4" s="1"/>
  <c r="S242" i="4" s="1"/>
  <c r="S243" i="4" s="1"/>
  <c r="S244" i="4" s="1"/>
  <c r="S245" i="4" s="1"/>
  <c r="S246" i="4" s="1"/>
  <c r="S247" i="4" s="1"/>
  <c r="S248" i="4" s="1"/>
  <c r="S249" i="4" s="1"/>
  <c r="S250" i="4" s="1"/>
  <c r="S251" i="4" s="1"/>
  <c r="S252" i="4" s="1"/>
  <c r="S253" i="4" s="1"/>
  <c r="S254" i="4" s="1"/>
  <c r="S255" i="4" s="1"/>
  <c r="S256" i="4" s="1"/>
  <c r="S257" i="4" s="1"/>
  <c r="S258" i="4" s="1"/>
  <c r="S259" i="4" s="1"/>
  <c r="S260" i="4" s="1"/>
  <c r="S261" i="4" s="1"/>
  <c r="S262" i="4" s="1"/>
  <c r="S263" i="4" s="1"/>
  <c r="S264" i="4" s="1"/>
  <c r="S265" i="4" s="1"/>
  <c r="S266" i="4" s="1"/>
  <c r="S267" i="4" s="1"/>
  <c r="S268" i="4" s="1"/>
  <c r="S269" i="4" s="1"/>
  <c r="S270" i="4" s="1"/>
  <c r="S271" i="4" s="1"/>
  <c r="S272" i="4" s="1"/>
  <c r="S273" i="4" s="1"/>
  <c r="S274" i="4" s="1"/>
  <c r="S275" i="4" s="1"/>
  <c r="S276" i="4" s="1"/>
  <c r="S277" i="4" s="1"/>
  <c r="S278" i="4" s="1"/>
  <c r="S279" i="4" s="1"/>
  <c r="S280" i="4" s="1"/>
  <c r="S281" i="4" s="1"/>
  <c r="S282" i="4" s="1"/>
  <c r="S283" i="4" s="1"/>
  <c r="S284" i="4" s="1"/>
  <c r="S285" i="4" s="1"/>
  <c r="S286" i="4" s="1"/>
  <c r="S287" i="4" s="1"/>
  <c r="S288" i="4" s="1"/>
  <c r="S289" i="4" s="1"/>
  <c r="S290" i="4" s="1"/>
  <c r="S291" i="4" s="1"/>
  <c r="S292" i="4" s="1"/>
  <c r="S293" i="4" s="1"/>
  <c r="S294" i="4" s="1"/>
  <c r="S295" i="4" s="1"/>
  <c r="S296" i="4" s="1"/>
  <c r="S297" i="4" s="1"/>
  <c r="S298" i="4" s="1"/>
  <c r="S299" i="4" s="1"/>
  <c r="S300" i="4" s="1"/>
  <c r="S301" i="4" s="1"/>
  <c r="S302" i="4" s="1"/>
  <c r="S303" i="4" s="1"/>
  <c r="S304" i="4" s="1"/>
  <c r="S305" i="4" s="1"/>
  <c r="S306" i="4" s="1"/>
  <c r="S307" i="4" s="1"/>
  <c r="S308" i="4" s="1"/>
  <c r="S309" i="4" s="1"/>
  <c r="S310" i="4" s="1"/>
  <c r="S311" i="4" s="1"/>
  <c r="S312" i="4" s="1"/>
  <c r="S313" i="4" s="1"/>
  <c r="S314" i="4" s="1"/>
  <c r="S315" i="4" s="1"/>
  <c r="S316" i="4" s="1"/>
  <c r="S317" i="4" s="1"/>
  <c r="S318" i="4" s="1"/>
  <c r="S319" i="4" s="1"/>
  <c r="S320" i="4" s="1"/>
  <c r="S321" i="4" s="1"/>
  <c r="S322" i="4" s="1"/>
  <c r="S323" i="4" s="1"/>
  <c r="S324" i="4" s="1"/>
  <c r="S325" i="4" s="1"/>
  <c r="S326" i="4" s="1"/>
  <c r="S327" i="4" s="1"/>
  <c r="S328" i="4" s="1"/>
  <c r="S329" i="4" s="1"/>
  <c r="S330" i="4" s="1"/>
  <c r="S331" i="4" s="1"/>
  <c r="S332" i="4" s="1"/>
  <c r="S333" i="4" s="1"/>
  <c r="S334" i="4" s="1"/>
  <c r="S335" i="4" s="1"/>
  <c r="S336" i="4" s="1"/>
  <c r="S337" i="4" s="1"/>
  <c r="S338" i="4" s="1"/>
  <c r="S339" i="4" s="1"/>
  <c r="S340" i="4" s="1"/>
  <c r="S341" i="4" s="1"/>
  <c r="S342" i="4" s="1"/>
  <c r="S343" i="4" s="1"/>
  <c r="S344" i="4" s="1"/>
  <c r="S345" i="4" s="1"/>
  <c r="S346" i="4" s="1"/>
  <c r="S347" i="4" s="1"/>
  <c r="S348" i="4" s="1"/>
  <c r="S349" i="4" s="1"/>
  <c r="S350" i="4" s="1"/>
  <c r="S351" i="4" s="1"/>
  <c r="S352" i="4" s="1"/>
  <c r="S353" i="4" s="1"/>
  <c r="S354" i="4" s="1"/>
  <c r="S355" i="4" s="1"/>
  <c r="S356" i="4" s="1"/>
  <c r="S357" i="4" s="1"/>
  <c r="S358" i="4" s="1"/>
  <c r="S359" i="4" s="1"/>
  <c r="S360" i="4" s="1"/>
  <c r="S361" i="4" s="1"/>
  <c r="S362" i="4" s="1"/>
  <c r="S363" i="4" s="1"/>
  <c r="S364" i="4" s="1"/>
  <c r="S365" i="4" s="1"/>
  <c r="S366" i="4" s="1"/>
  <c r="S367" i="4" s="1"/>
  <c r="S368" i="4" s="1"/>
  <c r="S369" i="4" s="1"/>
  <c r="S370" i="4" s="1"/>
  <c r="S371" i="4" s="1"/>
  <c r="S372" i="4" s="1"/>
  <c r="S373" i="4" s="1"/>
  <c r="S374" i="4" s="1"/>
  <c r="S375" i="4" s="1"/>
  <c r="S376" i="4" s="1"/>
  <c r="S377" i="4" s="1"/>
  <c r="S378" i="4" s="1"/>
  <c r="S379" i="4" s="1"/>
  <c r="S380" i="4" s="1"/>
  <c r="S381" i="4" s="1"/>
  <c r="S382" i="4" s="1"/>
  <c r="S383" i="4" s="1"/>
  <c r="S384" i="4" s="1"/>
  <c r="S385" i="4" s="1"/>
  <c r="S386" i="4" s="1"/>
  <c r="S387" i="4" s="1"/>
  <c r="S388" i="4" s="1"/>
  <c r="S389" i="4" s="1"/>
  <c r="S390" i="4" s="1"/>
  <c r="S391" i="4" s="1"/>
  <c r="S392" i="4" s="1"/>
  <c r="S393" i="4" s="1"/>
  <c r="S394" i="4" s="1"/>
  <c r="S395" i="4" s="1"/>
  <c r="S396" i="4" s="1"/>
  <c r="S397" i="4" s="1"/>
  <c r="S398" i="4" s="1"/>
  <c r="S399" i="4" s="1"/>
  <c r="S400" i="4" s="1"/>
  <c r="S401" i="4" s="1"/>
  <c r="S402" i="4" s="1"/>
  <c r="S403" i="4" s="1"/>
  <c r="S404" i="4" s="1"/>
  <c r="S405" i="4" s="1"/>
  <c r="S406" i="4" s="1"/>
  <c r="S407" i="4" s="1"/>
  <c r="S408" i="4" s="1"/>
  <c r="S409" i="4" s="1"/>
  <c r="S410" i="4" s="1"/>
  <c r="S411" i="4" s="1"/>
  <c r="S412" i="4" s="1"/>
  <c r="S413" i="4" s="1"/>
  <c r="S414" i="4" s="1"/>
  <c r="S415" i="4" s="1"/>
  <c r="S416" i="4" s="1"/>
  <c r="S417" i="4" s="1"/>
  <c r="S418" i="4" s="1"/>
  <c r="S419" i="4" s="1"/>
  <c r="S420" i="4" s="1"/>
  <c r="S421" i="4" s="1"/>
  <c r="S422" i="4" s="1"/>
  <c r="S423" i="4" s="1"/>
  <c r="S424" i="4" s="1"/>
  <c r="S425" i="4" s="1"/>
  <c r="S426" i="4" s="1"/>
  <c r="S427" i="4" s="1"/>
  <c r="S428" i="4" s="1"/>
  <c r="S429" i="4" s="1"/>
  <c r="S430" i="4" s="1"/>
  <c r="S431" i="4" s="1"/>
  <c r="S432" i="4" s="1"/>
  <c r="S433" i="4" s="1"/>
  <c r="S434" i="4" s="1"/>
  <c r="S435" i="4" s="1"/>
  <c r="S436" i="4" s="1"/>
  <c r="S437" i="4" s="1"/>
  <c r="S438" i="4" s="1"/>
  <c r="S439" i="4" s="1"/>
  <c r="S440" i="4" s="1"/>
  <c r="S441" i="4" s="1"/>
  <c r="S442" i="4" s="1"/>
  <c r="S443" i="4" s="1"/>
  <c r="S444" i="4" s="1"/>
  <c r="S445" i="4" s="1"/>
  <c r="S446" i="4" s="1"/>
  <c r="S447" i="4" s="1"/>
  <c r="S448" i="4" s="1"/>
  <c r="S449" i="4" s="1"/>
  <c r="S450" i="4" s="1"/>
  <c r="S451" i="4" s="1"/>
  <c r="S452" i="4" s="1"/>
  <c r="S453" i="4" s="1"/>
  <c r="S454" i="4" s="1"/>
  <c r="S455" i="4" s="1"/>
  <c r="S456" i="4" s="1"/>
  <c r="S457" i="4" s="1"/>
  <c r="S458" i="4" s="1"/>
  <c r="S459" i="4" s="1"/>
  <c r="S460" i="4" s="1"/>
  <c r="S461" i="4" s="1"/>
  <c r="S462" i="4" s="1"/>
  <c r="S463" i="4" s="1"/>
  <c r="S464" i="4" s="1"/>
  <c r="S465" i="4" s="1"/>
  <c r="S466" i="4" s="1"/>
  <c r="S467" i="4" s="1"/>
  <c r="S468" i="4" s="1"/>
  <c r="S469" i="4" s="1"/>
  <c r="S470" i="4" s="1"/>
  <c r="S471" i="4" s="1"/>
  <c r="S472" i="4" s="1"/>
  <c r="S473" i="4" s="1"/>
  <c r="S474" i="4" s="1"/>
  <c r="S475" i="4" s="1"/>
  <c r="S476" i="4" s="1"/>
  <c r="S477" i="4" s="1"/>
  <c r="S478" i="4" s="1"/>
  <c r="S479" i="4" s="1"/>
  <c r="S480" i="4" s="1"/>
  <c r="S481" i="4" s="1"/>
  <c r="S482" i="4" s="1"/>
  <c r="S483" i="4" s="1"/>
  <c r="S484" i="4" s="1"/>
  <c r="S485" i="4" s="1"/>
  <c r="S486" i="4" s="1"/>
  <c r="S487" i="4" s="1"/>
  <c r="S488" i="4" s="1"/>
  <c r="S489" i="4" s="1"/>
  <c r="S490" i="4" s="1"/>
  <c r="S491" i="4" s="1"/>
  <c r="S492" i="4" s="1"/>
  <c r="S493" i="4" s="1"/>
  <c r="S494" i="4" s="1"/>
  <c r="S495" i="4" s="1"/>
  <c r="S496" i="4" s="1"/>
  <c r="S497" i="4" s="1"/>
  <c r="S498" i="4" s="1"/>
  <c r="S499" i="4" s="1"/>
  <c r="S500" i="4" s="1"/>
  <c r="S501" i="4" s="1"/>
  <c r="S502" i="4" s="1"/>
  <c r="S503" i="4" s="1"/>
  <c r="S504" i="4" s="1"/>
  <c r="S505" i="4" s="1"/>
  <c r="S506" i="4" s="1"/>
  <c r="S507" i="4" s="1"/>
  <c r="S508" i="4" s="1"/>
  <c r="S509" i="4" s="1"/>
  <c r="S510" i="4" s="1"/>
  <c r="S511" i="4" s="1"/>
  <c r="S512" i="4" s="1"/>
  <c r="S513" i="4" s="1"/>
  <c r="S514" i="4" s="1"/>
  <c r="S515" i="4" s="1"/>
  <c r="S516" i="4" s="1"/>
  <c r="S517" i="4" s="1"/>
  <c r="S518" i="4" s="1"/>
  <c r="S519" i="4" s="1"/>
  <c r="S520" i="4" s="1"/>
  <c r="S521" i="4" s="1"/>
  <c r="S522" i="4" s="1"/>
  <c r="S523" i="4" s="1"/>
  <c r="S524" i="4" s="1"/>
  <c r="S525" i="4" s="1"/>
  <c r="S526" i="4" s="1"/>
  <c r="S527" i="4" s="1"/>
  <c r="S528" i="4" s="1"/>
  <c r="S529" i="4" s="1"/>
  <c r="S530" i="4" s="1"/>
  <c r="S531" i="4" s="1"/>
  <c r="S532" i="4" s="1"/>
  <c r="S533" i="4" s="1"/>
  <c r="S534" i="4" s="1"/>
  <c r="S535" i="4" s="1"/>
  <c r="S536" i="4" s="1"/>
  <c r="S537" i="4" s="1"/>
  <c r="S538" i="4" s="1"/>
  <c r="S539" i="4" s="1"/>
  <c r="S540" i="4" s="1"/>
  <c r="S541" i="4" s="1"/>
  <c r="S542" i="4" s="1"/>
  <c r="S543" i="4" s="1"/>
  <c r="S544" i="4" s="1"/>
  <c r="S545" i="4" s="1"/>
  <c r="S546" i="4" s="1"/>
  <c r="S547" i="4" s="1"/>
  <c r="S548" i="4" s="1"/>
  <c r="S549" i="4" s="1"/>
  <c r="S550" i="4" s="1"/>
  <c r="S551" i="4" s="1"/>
  <c r="S552" i="4" s="1"/>
  <c r="S553" i="4" s="1"/>
  <c r="S554" i="4" s="1"/>
  <c r="S555" i="4" s="1"/>
  <c r="S556" i="4" s="1"/>
  <c r="S557" i="4" s="1"/>
  <c r="S558" i="4" s="1"/>
  <c r="S559" i="4" s="1"/>
  <c r="S560" i="4" s="1"/>
  <c r="S561" i="4" s="1"/>
  <c r="S562" i="4" s="1"/>
  <c r="S563" i="4" s="1"/>
  <c r="S564" i="4" s="1"/>
  <c r="S565" i="4" s="1"/>
  <c r="S566" i="4" s="1"/>
  <c r="S567" i="4" s="1"/>
  <c r="S568" i="4" s="1"/>
  <c r="S569" i="4" s="1"/>
  <c r="S570" i="4" s="1"/>
  <c r="S571" i="4" s="1"/>
  <c r="S572" i="4" s="1"/>
  <c r="S573" i="4" s="1"/>
  <c r="S574" i="4" s="1"/>
  <c r="S575" i="4" s="1"/>
  <c r="S576" i="4" s="1"/>
  <c r="S577" i="4" s="1"/>
  <c r="S578" i="4" s="1"/>
  <c r="S579" i="4" s="1"/>
  <c r="S580" i="4" s="1"/>
  <c r="S581" i="4" s="1"/>
  <c r="S582" i="4" s="1"/>
  <c r="S583" i="4" s="1"/>
  <c r="S584" i="4" s="1"/>
  <c r="S585" i="4" s="1"/>
  <c r="S586" i="4" s="1"/>
  <c r="S587" i="4" s="1"/>
  <c r="S588" i="4" s="1"/>
  <c r="S589" i="4" s="1"/>
  <c r="S590" i="4" s="1"/>
  <c r="S591" i="4" s="1"/>
  <c r="S592" i="4" s="1"/>
  <c r="S593" i="4" s="1"/>
  <c r="S594" i="4" s="1"/>
  <c r="S595" i="4" s="1"/>
  <c r="S596" i="4" s="1"/>
  <c r="S597" i="4" s="1"/>
  <c r="S598" i="4" s="1"/>
  <c r="S599" i="4" s="1"/>
  <c r="S600" i="4" s="1"/>
  <c r="S601" i="4" s="1"/>
  <c r="S602" i="4" s="1"/>
  <c r="S603" i="4" s="1"/>
  <c r="S604" i="4" s="1"/>
  <c r="S605" i="4" s="1"/>
  <c r="S606" i="4" s="1"/>
  <c r="S607" i="4" s="1"/>
  <c r="S608" i="4" s="1"/>
  <c r="S609" i="4" s="1"/>
  <c r="S610" i="4" s="1"/>
  <c r="S611" i="4" s="1"/>
  <c r="S612" i="4" s="1"/>
  <c r="S613" i="4" s="1"/>
  <c r="S614" i="4" s="1"/>
  <c r="S615" i="4" s="1"/>
  <c r="S616" i="4" s="1"/>
  <c r="S617" i="4" s="1"/>
  <c r="S618" i="4" s="1"/>
  <c r="S619" i="4" s="1"/>
  <c r="S620" i="4" s="1"/>
  <c r="S621" i="4" s="1"/>
  <c r="S622" i="4" s="1"/>
  <c r="S623" i="4" s="1"/>
  <c r="S624" i="4" s="1"/>
  <c r="S625" i="4" s="1"/>
  <c r="S626" i="4" s="1"/>
  <c r="S627" i="4" s="1"/>
  <c r="S628" i="4" s="1"/>
  <c r="S629" i="4" s="1"/>
  <c r="S630" i="4" s="1"/>
  <c r="S631" i="4" s="1"/>
  <c r="S632" i="4" s="1"/>
  <c r="S633" i="4" s="1"/>
  <c r="S634" i="4" s="1"/>
  <c r="S635" i="4" s="1"/>
  <c r="S636" i="4" s="1"/>
  <c r="S637" i="4" s="1"/>
  <c r="S638" i="4" s="1"/>
  <c r="S639" i="4" s="1"/>
  <c r="S640" i="4" s="1"/>
  <c r="S641" i="4" s="1"/>
  <c r="S642" i="4" s="1"/>
  <c r="S643" i="4" s="1"/>
  <c r="S644" i="4" s="1"/>
  <c r="S645" i="4" s="1"/>
  <c r="S646" i="4" s="1"/>
  <c r="S647" i="4" s="1"/>
  <c r="S648" i="4" s="1"/>
  <c r="S649" i="4" s="1"/>
  <c r="S650" i="4" s="1"/>
  <c r="S651" i="4" s="1"/>
  <c r="S652" i="4" s="1"/>
  <c r="S653" i="4" s="1"/>
  <c r="S654" i="4" s="1"/>
  <c r="S655" i="4" s="1"/>
  <c r="S656" i="4" s="1"/>
  <c r="S657" i="4" s="1"/>
  <c r="S658" i="4" s="1"/>
  <c r="S659" i="4" s="1"/>
  <c r="S660" i="4" s="1"/>
  <c r="S661" i="4" s="1"/>
  <c r="S662" i="4" s="1"/>
  <c r="S663" i="4" s="1"/>
  <c r="S664" i="4" s="1"/>
  <c r="S665" i="4" s="1"/>
  <c r="S666" i="4" s="1"/>
  <c r="S667" i="4" s="1"/>
  <c r="S668" i="4" s="1"/>
  <c r="S669" i="4" s="1"/>
  <c r="S670" i="4" s="1"/>
  <c r="S671" i="4" s="1"/>
  <c r="S672" i="4" s="1"/>
  <c r="S673" i="4" s="1"/>
  <c r="S674" i="4" s="1"/>
  <c r="S675" i="4" s="1"/>
  <c r="S676" i="4" s="1"/>
  <c r="S677" i="4" s="1"/>
  <c r="S678" i="4" s="1"/>
  <c r="S679" i="4" s="1"/>
  <c r="S680" i="4" s="1"/>
  <c r="S681" i="4" s="1"/>
  <c r="S682" i="4" s="1"/>
  <c r="S683" i="4" s="1"/>
  <c r="S684" i="4" s="1"/>
  <c r="S685" i="4" s="1"/>
  <c r="S686" i="4" s="1"/>
  <c r="S687" i="4" s="1"/>
  <c r="S688" i="4" s="1"/>
  <c r="S689" i="4" s="1"/>
  <c r="S690" i="4" s="1"/>
  <c r="S691" i="4" s="1"/>
  <c r="S692" i="4" s="1"/>
  <c r="S693" i="4" s="1"/>
  <c r="S694" i="4" s="1"/>
  <c r="S695" i="4" s="1"/>
  <c r="S696" i="4" s="1"/>
  <c r="S697" i="4" s="1"/>
  <c r="S698" i="4" s="1"/>
  <c r="S699" i="4" s="1"/>
  <c r="S700" i="4" s="1"/>
  <c r="S701" i="4" s="1"/>
  <c r="S702" i="4" s="1"/>
  <c r="S703" i="4" s="1"/>
  <c r="S704" i="4" s="1"/>
  <c r="S705" i="4" s="1"/>
  <c r="S706" i="4" s="1"/>
  <c r="S707" i="4" s="1"/>
  <c r="S708" i="4" s="1"/>
  <c r="S709" i="4" s="1"/>
  <c r="S710" i="4" s="1"/>
  <c r="S711" i="4" s="1"/>
  <c r="S712" i="4" s="1"/>
  <c r="S713" i="4" s="1"/>
  <c r="S714" i="4" s="1"/>
  <c r="S715" i="4" s="1"/>
  <c r="S716" i="4" s="1"/>
  <c r="S717" i="4" s="1"/>
  <c r="S718" i="4" s="1"/>
  <c r="S719" i="4" s="1"/>
  <c r="S720" i="4" s="1"/>
  <c r="S721" i="4" s="1"/>
  <c r="S722" i="4" s="1"/>
  <c r="S723" i="4" s="1"/>
  <c r="S724" i="4" s="1"/>
  <c r="S725" i="4" s="1"/>
  <c r="S726" i="4" s="1"/>
  <c r="S727" i="4" s="1"/>
  <c r="S728" i="4" s="1"/>
  <c r="S729" i="4" s="1"/>
  <c r="S730" i="4" s="1"/>
  <c r="S731" i="4" s="1"/>
  <c r="S732" i="4" s="1"/>
  <c r="S733" i="4" s="1"/>
  <c r="S734" i="4" s="1"/>
  <c r="S735" i="4" s="1"/>
  <c r="S736" i="4" s="1"/>
  <c r="S737" i="4" s="1"/>
  <c r="S738" i="4" s="1"/>
  <c r="S739" i="4" s="1"/>
  <c r="S740" i="4" s="1"/>
  <c r="S741" i="4" s="1"/>
  <c r="S742" i="4" s="1"/>
  <c r="S743" i="4" s="1"/>
  <c r="S744" i="4" s="1"/>
  <c r="S745" i="4" s="1"/>
  <c r="S746" i="4" s="1"/>
  <c r="S747" i="4" s="1"/>
  <c r="S748" i="4" s="1"/>
  <c r="S749" i="4" s="1"/>
  <c r="S750" i="4" s="1"/>
  <c r="S751" i="4" s="1"/>
  <c r="S752" i="4" s="1"/>
  <c r="S753" i="4" s="1"/>
  <c r="S754" i="4" s="1"/>
  <c r="S755" i="4" s="1"/>
  <c r="S756" i="4" s="1"/>
  <c r="S757" i="4" s="1"/>
  <c r="S758" i="4" s="1"/>
  <c r="S759" i="4" s="1"/>
  <c r="S760" i="4" s="1"/>
  <c r="S761" i="4" s="1"/>
  <c r="S762" i="4" s="1"/>
  <c r="S763" i="4" s="1"/>
  <c r="S764" i="4" s="1"/>
  <c r="S765" i="4" s="1"/>
  <c r="S766" i="4" s="1"/>
  <c r="S767" i="4" s="1"/>
  <c r="S768" i="4" s="1"/>
  <c r="S769" i="4" s="1"/>
  <c r="S770" i="4" s="1"/>
  <c r="S771" i="4" s="1"/>
  <c r="S772" i="4" s="1"/>
  <c r="S773" i="4" s="1"/>
  <c r="S774" i="4" s="1"/>
  <c r="S775" i="4" s="1"/>
  <c r="S776" i="4" s="1"/>
  <c r="S777" i="4" s="1"/>
  <c r="S778" i="4" s="1"/>
  <c r="S779" i="4" s="1"/>
  <c r="S780" i="4" s="1"/>
  <c r="S781" i="4" s="1"/>
  <c r="S782" i="4" s="1"/>
  <c r="S783" i="4" s="1"/>
  <c r="S784" i="4" s="1"/>
  <c r="S785" i="4" s="1"/>
  <c r="S786" i="4" s="1"/>
  <c r="S787" i="4" s="1"/>
  <c r="S788" i="4" s="1"/>
  <c r="S789" i="4" s="1"/>
  <c r="S790" i="4" s="1"/>
  <c r="S791" i="4" s="1"/>
  <c r="S792" i="4" s="1"/>
  <c r="S793" i="4" s="1"/>
  <c r="S794" i="4" s="1"/>
  <c r="S795" i="4" s="1"/>
  <c r="S796" i="4" s="1"/>
  <c r="S797" i="4" s="1"/>
  <c r="S798" i="4" s="1"/>
  <c r="S799" i="4" s="1"/>
  <c r="S800" i="4" s="1"/>
  <c r="S801" i="4" s="1"/>
  <c r="S802" i="4" s="1"/>
  <c r="S803" i="4" s="1"/>
  <c r="S804" i="4" s="1"/>
  <c r="S805" i="4" s="1"/>
  <c r="S806" i="4" s="1"/>
  <c r="S807" i="4" s="1"/>
  <c r="S808" i="4" s="1"/>
  <c r="S809" i="4" s="1"/>
  <c r="S810" i="4" s="1"/>
  <c r="S811" i="4" s="1"/>
  <c r="S812" i="4" s="1"/>
  <c r="S813" i="4" s="1"/>
  <c r="S814" i="4" s="1"/>
  <c r="S815" i="4" s="1"/>
  <c r="S816" i="4" s="1"/>
  <c r="S817" i="4" s="1"/>
  <c r="S818" i="4" s="1"/>
  <c r="S819" i="4" s="1"/>
  <c r="S820" i="4" s="1"/>
  <c r="S821" i="4" s="1"/>
  <c r="S822" i="4" s="1"/>
  <c r="S823" i="4" s="1"/>
  <c r="S824" i="4" s="1"/>
  <c r="S825" i="4" s="1"/>
  <c r="S826" i="4" s="1"/>
  <c r="S827" i="4" s="1"/>
  <c r="S828" i="4" s="1"/>
  <c r="S829" i="4" s="1"/>
  <c r="S830" i="4" s="1"/>
  <c r="S831" i="4" s="1"/>
  <c r="S832" i="4" s="1"/>
  <c r="S833" i="4" s="1"/>
  <c r="S834" i="4" s="1"/>
  <c r="S835" i="4" s="1"/>
  <c r="S836" i="4" s="1"/>
  <c r="S837" i="4" s="1"/>
  <c r="S838" i="4" s="1"/>
  <c r="S839" i="4" s="1"/>
  <c r="S840" i="4" s="1"/>
  <c r="S841" i="4" s="1"/>
  <c r="S842" i="4" s="1"/>
  <c r="S843" i="4" s="1"/>
  <c r="S844" i="4" s="1"/>
  <c r="S845" i="4" s="1"/>
  <c r="S846" i="4" s="1"/>
  <c r="S847" i="4" s="1"/>
  <c r="S848" i="4" s="1"/>
  <c r="S849" i="4" s="1"/>
  <c r="S850" i="4" s="1"/>
  <c r="S851" i="4" s="1"/>
  <c r="S852" i="4" s="1"/>
  <c r="S853" i="4" s="1"/>
  <c r="S854" i="4" s="1"/>
  <c r="S855" i="4" s="1"/>
  <c r="S856" i="4" s="1"/>
  <c r="S857" i="4" s="1"/>
  <c r="S858" i="4" s="1"/>
  <c r="S859" i="4" s="1"/>
  <c r="S860" i="4" s="1"/>
  <c r="S861" i="4" s="1"/>
  <c r="S862" i="4" s="1"/>
  <c r="S863" i="4" s="1"/>
  <c r="S864" i="4" s="1"/>
  <c r="S865" i="4" s="1"/>
  <c r="S866" i="4" s="1"/>
  <c r="S867" i="4" s="1"/>
  <c r="S868" i="4" s="1"/>
  <c r="S869" i="4" s="1"/>
  <c r="S870" i="4" s="1"/>
  <c r="S871" i="4" s="1"/>
  <c r="S872" i="4" s="1"/>
  <c r="S873" i="4" s="1"/>
  <c r="S874" i="4" s="1"/>
  <c r="S875" i="4" s="1"/>
  <c r="S876" i="4" s="1"/>
  <c r="S877" i="4" s="1"/>
  <c r="S878" i="4" s="1"/>
  <c r="S879" i="4" s="1"/>
  <c r="S880" i="4" s="1"/>
  <c r="S881" i="4" s="1"/>
  <c r="S882" i="4" s="1"/>
  <c r="S883" i="4" s="1"/>
  <c r="S884" i="4" s="1"/>
  <c r="S885" i="4" s="1"/>
  <c r="S886" i="4" s="1"/>
  <c r="S887" i="4" s="1"/>
  <c r="S888" i="4" s="1"/>
  <c r="S889" i="4" s="1"/>
  <c r="S890" i="4" s="1"/>
  <c r="S891" i="4" s="1"/>
  <c r="S892" i="4" s="1"/>
  <c r="S893" i="4" s="1"/>
  <c r="S894" i="4" s="1"/>
  <c r="S895" i="4" s="1"/>
  <c r="S896" i="4" s="1"/>
  <c r="S897" i="4" s="1"/>
  <c r="S898" i="4" s="1"/>
  <c r="S899" i="4" s="1"/>
  <c r="S900" i="4" s="1"/>
  <c r="S901" i="4" s="1"/>
  <c r="S902" i="4" s="1"/>
  <c r="S903" i="4" s="1"/>
  <c r="S904" i="4" s="1"/>
  <c r="S905" i="4" s="1"/>
  <c r="S906" i="4" s="1"/>
  <c r="S907" i="4" s="1"/>
  <c r="S908" i="4" s="1"/>
  <c r="S909" i="4" s="1"/>
  <c r="S910" i="4" s="1"/>
  <c r="S911" i="4" s="1"/>
  <c r="S912" i="4" s="1"/>
  <c r="S913" i="4" s="1"/>
  <c r="S914" i="4" s="1"/>
  <c r="S915" i="4" s="1"/>
  <c r="S916" i="4" s="1"/>
  <c r="S917" i="4" s="1"/>
  <c r="S918" i="4" s="1"/>
  <c r="S919" i="4" s="1"/>
  <c r="S920" i="4" s="1"/>
  <c r="S921" i="4" s="1"/>
  <c r="S922" i="4" s="1"/>
  <c r="S923" i="4" s="1"/>
  <c r="S924" i="4" s="1"/>
  <c r="S925" i="4" s="1"/>
  <c r="S926" i="4" s="1"/>
  <c r="S927" i="4" s="1"/>
  <c r="S928" i="4" s="1"/>
  <c r="S929" i="4" s="1"/>
  <c r="S930" i="4" s="1"/>
  <c r="S931" i="4" s="1"/>
  <c r="S932" i="4" s="1"/>
  <c r="S933" i="4" s="1"/>
  <c r="S934" i="4" s="1"/>
  <c r="S935" i="4" s="1"/>
  <c r="S936" i="4" s="1"/>
  <c r="S937" i="4" s="1"/>
  <c r="S938" i="4" s="1"/>
  <c r="S939" i="4" s="1"/>
  <c r="S940" i="4" s="1"/>
  <c r="S941" i="4" s="1"/>
  <c r="S942" i="4" s="1"/>
  <c r="S943" i="4" s="1"/>
  <c r="S944" i="4" s="1"/>
  <c r="S945" i="4" s="1"/>
  <c r="S946" i="4" s="1"/>
  <c r="S947" i="4" s="1"/>
  <c r="S948" i="4" s="1"/>
  <c r="S949" i="4" s="1"/>
  <c r="S950" i="4" s="1"/>
  <c r="S951" i="4" s="1"/>
  <c r="S952" i="4" s="1"/>
  <c r="S953" i="4" s="1"/>
  <c r="S954" i="4" s="1"/>
  <c r="S955" i="4" s="1"/>
  <c r="S956" i="4" s="1"/>
  <c r="S957" i="4" s="1"/>
  <c r="S958" i="4" s="1"/>
  <c r="S959" i="4" s="1"/>
  <c r="S960" i="4" s="1"/>
  <c r="S961" i="4" s="1"/>
  <c r="S962" i="4" s="1"/>
  <c r="S963" i="4" s="1"/>
  <c r="S964" i="4" s="1"/>
  <c r="S965" i="4" s="1"/>
  <c r="S966" i="4" s="1"/>
  <c r="S967" i="4" s="1"/>
  <c r="S968" i="4" s="1"/>
  <c r="S969" i="4" s="1"/>
  <c r="S970" i="4" s="1"/>
  <c r="S971" i="4" s="1"/>
  <c r="S972" i="4" s="1"/>
  <c r="S973" i="4" s="1"/>
  <c r="S974" i="4" s="1"/>
  <c r="S975" i="4" s="1"/>
  <c r="S976" i="4" s="1"/>
  <c r="S977" i="4" s="1"/>
  <c r="S978" i="4" s="1"/>
  <c r="S979" i="4" s="1"/>
  <c r="S980" i="4" s="1"/>
  <c r="S981" i="4" s="1"/>
  <c r="S982" i="4" s="1"/>
  <c r="S983" i="4" s="1"/>
  <c r="S984" i="4" s="1"/>
  <c r="S985" i="4" s="1"/>
  <c r="S986" i="4" s="1"/>
  <c r="S987" i="4" s="1"/>
  <c r="S988" i="4" s="1"/>
  <c r="S989" i="4" s="1"/>
  <c r="S990" i="4" s="1"/>
  <c r="S991" i="4" s="1"/>
  <c r="S992" i="4" s="1"/>
  <c r="S993" i="4" s="1"/>
  <c r="S994" i="4" s="1"/>
  <c r="S995" i="4" s="1"/>
  <c r="S996" i="4" s="1"/>
  <c r="S997" i="4" s="1"/>
  <c r="S998" i="4" s="1"/>
  <c r="S999" i="4" s="1"/>
  <c r="S1000" i="4" s="1"/>
  <c r="S1001" i="4" s="1"/>
  <c r="S1002" i="4" s="1"/>
  <c r="S1003" i="4" s="1"/>
  <c r="S1004" i="4" s="1"/>
  <c r="S1005" i="4" s="1"/>
  <c r="S1006" i="4" s="1"/>
  <c r="S1007" i="4" s="1"/>
  <c r="S1008" i="4" s="1"/>
  <c r="S1009" i="4" s="1"/>
  <c r="S1010" i="4" s="1"/>
  <c r="S1011" i="4" s="1"/>
  <c r="S1012" i="4" s="1"/>
  <c r="S1013" i="4" s="1"/>
  <c r="S1014" i="4" s="1"/>
  <c r="S1015" i="4" s="1"/>
  <c r="S1016" i="4" s="1"/>
  <c r="S1017" i="4" s="1"/>
  <c r="S1018" i="4" s="1"/>
  <c r="S1019" i="4" s="1"/>
  <c r="S1020" i="4" s="1"/>
  <c r="S1021" i="4" s="1"/>
  <c r="S1022" i="4" s="1"/>
  <c r="S1023" i="4" s="1"/>
  <c r="S1024" i="4" s="1"/>
  <c r="S1025" i="4" s="1"/>
  <c r="S1026" i="4" s="1"/>
  <c r="S1027" i="4" s="1"/>
  <c r="S1028" i="4" s="1"/>
  <c r="S1029" i="4" s="1"/>
  <c r="S1030" i="4" s="1"/>
  <c r="S1031" i="4" s="1"/>
  <c r="S1032" i="4" s="1"/>
  <c r="S1033" i="4" s="1"/>
  <c r="S1034" i="4" s="1"/>
  <c r="S1035" i="4" s="1"/>
  <c r="S1036" i="4" s="1"/>
  <c r="S1037" i="4" s="1"/>
  <c r="S1038" i="4" s="1"/>
  <c r="S1039" i="4" s="1"/>
  <c r="S1040" i="4" s="1"/>
  <c r="S1041" i="4" s="1"/>
  <c r="S1042" i="4" s="1"/>
  <c r="S1043" i="4" s="1"/>
  <c r="S1044" i="4" s="1"/>
  <c r="S1045" i="4" s="1"/>
  <c r="S1046" i="4" s="1"/>
  <c r="S1047" i="4" s="1"/>
  <c r="S1048" i="4" s="1"/>
  <c r="S1049" i="4" s="1"/>
  <c r="S1050" i="4" s="1"/>
  <c r="S1051" i="4" s="1"/>
  <c r="S1052" i="4" s="1"/>
  <c r="S1053" i="4" s="1"/>
  <c r="S1054" i="4" s="1"/>
  <c r="S1055" i="4" s="1"/>
  <c r="S1056" i="4" s="1"/>
  <c r="S1057" i="4" s="1"/>
  <c r="S1058" i="4" s="1"/>
  <c r="S1059" i="4" s="1"/>
  <c r="S1060" i="4" s="1"/>
  <c r="S1061" i="4" s="1"/>
  <c r="C13" i="4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B9" i="4"/>
  <c r="AQ9" i="4" s="1"/>
  <c r="BH9" i="4" s="1"/>
  <c r="BB6" i="4"/>
  <c r="AK254" i="4"/>
  <c r="V6" i="4"/>
  <c r="U164" i="4" s="1"/>
  <c r="D6" i="4"/>
  <c r="C93" i="4" s="1"/>
  <c r="BK16" i="4" l="1"/>
  <c r="BK17" i="4" s="1"/>
  <c r="BK18" i="4" s="1"/>
  <c r="BK19" i="4" s="1"/>
  <c r="BK20" i="4" s="1"/>
  <c r="BK21" i="4" s="1"/>
  <c r="BK22" i="4" s="1"/>
  <c r="BK23" i="4" s="1"/>
  <c r="BK24" i="4" s="1"/>
  <c r="BK25" i="4" s="1"/>
  <c r="BK26" i="4" s="1"/>
  <c r="BK27" i="4" s="1"/>
  <c r="AU16" i="4"/>
  <c r="AU17" i="4" s="1"/>
  <c r="AU18" i="4" s="1"/>
  <c r="AU19" i="4" s="1"/>
  <c r="AU20" i="4" s="1"/>
  <c r="AU21" i="4" s="1"/>
  <c r="AU22" i="4" s="1"/>
  <c r="AU23" i="4" s="1"/>
  <c r="AU24" i="4" s="1"/>
  <c r="AU25" i="4" s="1"/>
  <c r="AU26" i="4" s="1"/>
  <c r="AU27" i="4" s="1"/>
  <c r="AU28" i="4" s="1"/>
  <c r="AU29" i="4" s="1"/>
  <c r="AU30" i="4" s="1"/>
  <c r="AE18" i="4"/>
  <c r="AE19" i="4" s="1"/>
  <c r="AE20" i="4" s="1"/>
  <c r="AE21" i="4" s="1"/>
  <c r="AE22" i="4" s="1"/>
  <c r="AE23" i="4" s="1"/>
  <c r="AE24" i="4" s="1"/>
  <c r="AE25" i="4" s="1"/>
  <c r="AE26" i="4" s="1"/>
  <c r="AE27" i="4" s="1"/>
  <c r="N16" i="4"/>
  <c r="N17" i="4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M19" i="4"/>
  <c r="AD17" i="4"/>
  <c r="AD20" i="4"/>
  <c r="C12" i="4"/>
  <c r="AT19" i="4"/>
  <c r="AK33" i="4"/>
  <c r="AK51" i="4"/>
  <c r="AK69" i="4"/>
  <c r="AK35" i="4"/>
  <c r="AK53" i="4"/>
  <c r="AK71" i="4"/>
  <c r="AK101" i="4"/>
  <c r="AK16" i="4"/>
  <c r="AK41" i="4"/>
  <c r="AK59" i="4"/>
  <c r="AK77" i="4"/>
  <c r="AK15" i="4"/>
  <c r="AT20" i="4"/>
  <c r="AK43" i="4"/>
  <c r="AK61" i="4"/>
  <c r="AK79" i="4"/>
  <c r="AK45" i="4"/>
  <c r="AK63" i="4"/>
  <c r="AK17" i="4"/>
  <c r="AK47" i="4"/>
  <c r="AK65" i="4"/>
  <c r="AK88" i="4"/>
  <c r="AK276" i="4"/>
  <c r="AK19" i="4"/>
  <c r="BA1061" i="4"/>
  <c r="BA1059" i="4"/>
  <c r="BA1057" i="4"/>
  <c r="BA1055" i="4"/>
  <c r="BA1053" i="4"/>
  <c r="BA1051" i="4"/>
  <c r="BA1049" i="4"/>
  <c r="BA1047" i="4"/>
  <c r="BA1045" i="4"/>
  <c r="BA1043" i="4"/>
  <c r="BA1041" i="4"/>
  <c r="BA1039" i="4"/>
  <c r="BA1037" i="4"/>
  <c r="BA1035" i="4"/>
  <c r="BA1033" i="4"/>
  <c r="BA1031" i="4"/>
  <c r="BA1029" i="4"/>
  <c r="BA1027" i="4"/>
  <c r="BA1025" i="4"/>
  <c r="BA1023" i="4"/>
  <c r="BA1021" i="4"/>
  <c r="BA1019" i="4"/>
  <c r="BA1017" i="4"/>
  <c r="BA1015" i="4"/>
  <c r="BA1013" i="4"/>
  <c r="BA1011" i="4"/>
  <c r="BA1009" i="4"/>
  <c r="BA1007" i="4"/>
  <c r="BA1005" i="4"/>
  <c r="BA1003" i="4"/>
  <c r="BA1001" i="4"/>
  <c r="BA999" i="4"/>
  <c r="BA997" i="4"/>
  <c r="BA995" i="4"/>
  <c r="BA993" i="4"/>
  <c r="BA991" i="4"/>
  <c r="BA989" i="4"/>
  <c r="BA987" i="4"/>
  <c r="BA985" i="4"/>
  <c r="BA983" i="4"/>
  <c r="BA981" i="4"/>
  <c r="BA979" i="4"/>
  <c r="BA977" i="4"/>
  <c r="BA975" i="4"/>
  <c r="BA973" i="4"/>
  <c r="BA971" i="4"/>
  <c r="BA969" i="4"/>
  <c r="BA967" i="4"/>
  <c r="BA965" i="4"/>
  <c r="BA963" i="4"/>
  <c r="BA961" i="4"/>
  <c r="BA959" i="4"/>
  <c r="BA957" i="4"/>
  <c r="BA955" i="4"/>
  <c r="BA953" i="4"/>
  <c r="BA951" i="4"/>
  <c r="BA1060" i="4"/>
  <c r="BA1058" i="4"/>
  <c r="BA1056" i="4"/>
  <c r="BA1054" i="4"/>
  <c r="BA1052" i="4"/>
  <c r="BA1050" i="4"/>
  <c r="BA1048" i="4"/>
  <c r="BA1046" i="4"/>
  <c r="BA1044" i="4"/>
  <c r="BA1042" i="4"/>
  <c r="BA1040" i="4"/>
  <c r="BA1038" i="4"/>
  <c r="BA1036" i="4"/>
  <c r="BA1034" i="4"/>
  <c r="BA1032" i="4"/>
  <c r="BA1030" i="4"/>
  <c r="BA1028" i="4"/>
  <c r="BA1026" i="4"/>
  <c r="BA1024" i="4"/>
  <c r="BA1022" i="4"/>
  <c r="BA1020" i="4"/>
  <c r="BA1018" i="4"/>
  <c r="BA1016" i="4"/>
  <c r="BA1014" i="4"/>
  <c r="BA1012" i="4"/>
  <c r="BA1010" i="4"/>
  <c r="BA1008" i="4"/>
  <c r="BA1006" i="4"/>
  <c r="BA1004" i="4"/>
  <c r="BA1002" i="4"/>
  <c r="BA1000" i="4"/>
  <c r="BA998" i="4"/>
  <c r="BA996" i="4"/>
  <c r="BA994" i="4"/>
  <c r="BA992" i="4"/>
  <c r="BA990" i="4"/>
  <c r="BA988" i="4"/>
  <c r="BA986" i="4"/>
  <c r="BA984" i="4"/>
  <c r="BA982" i="4"/>
  <c r="BA980" i="4"/>
  <c r="BA978" i="4"/>
  <c r="BA976" i="4"/>
  <c r="BA974" i="4"/>
  <c r="BA972" i="4"/>
  <c r="BA970" i="4"/>
  <c r="BA968" i="4"/>
  <c r="BA966" i="4"/>
  <c r="BA964" i="4"/>
  <c r="BA962" i="4"/>
  <c r="BA960" i="4"/>
  <c r="BA958" i="4"/>
  <c r="BA956" i="4"/>
  <c r="BA954" i="4"/>
  <c r="BA952" i="4"/>
  <c r="BA950" i="4"/>
  <c r="BA948" i="4"/>
  <c r="BA946" i="4"/>
  <c r="BA944" i="4"/>
  <c r="BA942" i="4"/>
  <c r="BA940" i="4"/>
  <c r="BA932" i="4"/>
  <c r="BA925" i="4"/>
  <c r="BA922" i="4"/>
  <c r="BA947" i="4"/>
  <c r="BA939" i="4"/>
  <c r="BA935" i="4"/>
  <c r="BA919" i="4"/>
  <c r="BA911" i="4"/>
  <c r="BA903" i="4"/>
  <c r="BA895" i="4"/>
  <c r="BA890" i="4"/>
  <c r="BA888" i="4"/>
  <c r="BA886" i="4"/>
  <c r="BA884" i="4"/>
  <c r="BA882" i="4"/>
  <c r="BA880" i="4"/>
  <c r="BA878" i="4"/>
  <c r="BA876" i="4"/>
  <c r="BA874" i="4"/>
  <c r="BA872" i="4"/>
  <c r="BA870" i="4"/>
  <c r="BA868" i="4"/>
  <c r="BA866" i="4"/>
  <c r="BA864" i="4"/>
  <c r="BA862" i="4"/>
  <c r="BA860" i="4"/>
  <c r="BA858" i="4"/>
  <c r="BA856" i="4"/>
  <c r="BA854" i="4"/>
  <c r="BA852" i="4"/>
  <c r="BA850" i="4"/>
  <c r="BA848" i="4"/>
  <c r="BA846" i="4"/>
  <c r="BA844" i="4"/>
  <c r="BA842" i="4"/>
  <c r="BA840" i="4"/>
  <c r="BA838" i="4"/>
  <c r="BA836" i="4"/>
  <c r="BA834" i="4"/>
  <c r="BA832" i="4"/>
  <c r="BA830" i="4"/>
  <c r="BA828" i="4"/>
  <c r="BA826" i="4"/>
  <c r="BA824" i="4"/>
  <c r="BA822" i="4"/>
  <c r="BA820" i="4"/>
  <c r="BA818" i="4"/>
  <c r="BA816" i="4"/>
  <c r="BA814" i="4"/>
  <c r="BA812" i="4"/>
  <c r="BA810" i="4"/>
  <c r="BA808" i="4"/>
  <c r="BA928" i="4"/>
  <c r="BA916" i="4"/>
  <c r="BA908" i="4"/>
  <c r="BA900" i="4"/>
  <c r="BA892" i="4"/>
  <c r="BA931" i="4"/>
  <c r="BA945" i="4"/>
  <c r="BA938" i="4"/>
  <c r="BA924" i="4"/>
  <c r="BA921" i="4"/>
  <c r="BA913" i="4"/>
  <c r="BA905" i="4"/>
  <c r="BA897" i="4"/>
  <c r="BA934" i="4"/>
  <c r="BA927" i="4"/>
  <c r="BA918" i="4"/>
  <c r="BA910" i="4"/>
  <c r="BA902" i="4"/>
  <c r="BA894" i="4"/>
  <c r="BA937" i="4"/>
  <c r="BA943" i="4"/>
  <c r="BA930" i="4"/>
  <c r="BA915" i="4"/>
  <c r="BA907" i="4"/>
  <c r="BA899" i="4"/>
  <c r="BA891" i="4"/>
  <c r="BA889" i="4"/>
  <c r="BA887" i="4"/>
  <c r="BA885" i="4"/>
  <c r="BA883" i="4"/>
  <c r="BA881" i="4"/>
  <c r="BA879" i="4"/>
  <c r="BA877" i="4"/>
  <c r="BA875" i="4"/>
  <c r="BA873" i="4"/>
  <c r="BA871" i="4"/>
  <c r="BA869" i="4"/>
  <c r="BA867" i="4"/>
  <c r="BA865" i="4"/>
  <c r="BA863" i="4"/>
  <c r="BA861" i="4"/>
  <c r="BA859" i="4"/>
  <c r="BA857" i="4"/>
  <c r="BA855" i="4"/>
  <c r="BA853" i="4"/>
  <c r="BA851" i="4"/>
  <c r="BA849" i="4"/>
  <c r="BA847" i="4"/>
  <c r="BA845" i="4"/>
  <c r="BA843" i="4"/>
  <c r="BA841" i="4"/>
  <c r="BA839" i="4"/>
  <c r="BA837" i="4"/>
  <c r="BA835" i="4"/>
  <c r="BA833" i="4"/>
  <c r="BA831" i="4"/>
  <c r="BA829" i="4"/>
  <c r="BA827" i="4"/>
  <c r="BA825" i="4"/>
  <c r="BA823" i="4"/>
  <c r="BA821" i="4"/>
  <c r="BA819" i="4"/>
  <c r="BA817" i="4"/>
  <c r="BA933" i="4"/>
  <c r="BA923" i="4"/>
  <c r="BA920" i="4"/>
  <c r="BA912" i="4"/>
  <c r="BA904" i="4"/>
  <c r="BA896" i="4"/>
  <c r="BA926" i="4"/>
  <c r="BA949" i="4"/>
  <c r="BA941" i="4"/>
  <c r="BA936" i="4"/>
  <c r="BA929" i="4"/>
  <c r="BA917" i="4"/>
  <c r="BA909" i="4"/>
  <c r="BA901" i="4"/>
  <c r="BA893" i="4"/>
  <c r="BA806" i="4"/>
  <c r="BA795" i="4"/>
  <c r="BA784" i="4"/>
  <c r="BA771" i="4"/>
  <c r="BA914" i="4"/>
  <c r="BA811" i="4"/>
  <c r="BA797" i="4"/>
  <c r="BA786" i="4"/>
  <c r="BA773" i="4"/>
  <c r="BA799" i="4"/>
  <c r="BA788" i="4"/>
  <c r="BA775" i="4"/>
  <c r="BA801" i="4"/>
  <c r="BA790" i="4"/>
  <c r="BA777" i="4"/>
  <c r="BA906" i="4"/>
  <c r="BA813" i="4"/>
  <c r="BA803" i="4"/>
  <c r="BA792" i="4"/>
  <c r="BA779" i="4"/>
  <c r="BA768" i="4"/>
  <c r="BA766" i="4"/>
  <c r="BA764" i="4"/>
  <c r="BA762" i="4"/>
  <c r="BA760" i="4"/>
  <c r="BA758" i="4"/>
  <c r="BA756" i="4"/>
  <c r="BA754" i="4"/>
  <c r="BA752" i="4"/>
  <c r="BA750" i="4"/>
  <c r="BA748" i="4"/>
  <c r="BA746" i="4"/>
  <c r="BA744" i="4"/>
  <c r="BA742" i="4"/>
  <c r="BA740" i="4"/>
  <c r="BA738" i="4"/>
  <c r="BA736" i="4"/>
  <c r="BA734" i="4"/>
  <c r="BA732" i="4"/>
  <c r="BA730" i="4"/>
  <c r="BA728" i="4"/>
  <c r="BA726" i="4"/>
  <c r="BA724" i="4"/>
  <c r="BA722" i="4"/>
  <c r="BA720" i="4"/>
  <c r="BA718" i="4"/>
  <c r="BA716" i="4"/>
  <c r="BA714" i="4"/>
  <c r="BA712" i="4"/>
  <c r="BA710" i="4"/>
  <c r="BA708" i="4"/>
  <c r="BA706" i="4"/>
  <c r="BA704" i="4"/>
  <c r="BA702" i="4"/>
  <c r="BA700" i="4"/>
  <c r="BA698" i="4"/>
  <c r="BA696" i="4"/>
  <c r="BA694" i="4"/>
  <c r="BA692" i="4"/>
  <c r="BA690" i="4"/>
  <c r="BA688" i="4"/>
  <c r="BA686" i="4"/>
  <c r="BA684" i="4"/>
  <c r="BA682" i="4"/>
  <c r="BA680" i="4"/>
  <c r="BA678" i="4"/>
  <c r="BA676" i="4"/>
  <c r="BA674" i="4"/>
  <c r="BA672" i="4"/>
  <c r="BA670" i="4"/>
  <c r="BA668" i="4"/>
  <c r="BA666" i="4"/>
  <c r="BA664" i="4"/>
  <c r="BA805" i="4"/>
  <c r="BA794" i="4"/>
  <c r="BA781" i="4"/>
  <c r="BA770" i="4"/>
  <c r="BA796" i="4"/>
  <c r="BA783" i="4"/>
  <c r="BA772" i="4"/>
  <c r="BA898" i="4"/>
  <c r="BA807" i="4"/>
  <c r="BA798" i="4"/>
  <c r="BA785" i="4"/>
  <c r="BA774" i="4"/>
  <c r="BA815" i="4"/>
  <c r="BA800" i="4"/>
  <c r="BA787" i="4"/>
  <c r="BA776" i="4"/>
  <c r="BA802" i="4"/>
  <c r="BA789" i="4"/>
  <c r="BA778" i="4"/>
  <c r="BA809" i="4"/>
  <c r="BA804" i="4"/>
  <c r="BA791" i="4"/>
  <c r="BA780" i="4"/>
  <c r="BA767" i="4"/>
  <c r="BA765" i="4"/>
  <c r="BA763" i="4"/>
  <c r="BA761" i="4"/>
  <c r="BA759" i="4"/>
  <c r="BA757" i="4"/>
  <c r="BA755" i="4"/>
  <c r="BA753" i="4"/>
  <c r="BA751" i="4"/>
  <c r="BA749" i="4"/>
  <c r="BA747" i="4"/>
  <c r="BA745" i="4"/>
  <c r="BA743" i="4"/>
  <c r="BA741" i="4"/>
  <c r="BA739" i="4"/>
  <c r="BA737" i="4"/>
  <c r="BA735" i="4"/>
  <c r="BA733" i="4"/>
  <c r="BA731" i="4"/>
  <c r="BA729" i="4"/>
  <c r="BA727" i="4"/>
  <c r="BA725" i="4"/>
  <c r="BA723" i="4"/>
  <c r="BA721" i="4"/>
  <c r="BA719" i="4"/>
  <c r="BA717" i="4"/>
  <c r="BA715" i="4"/>
  <c r="BA713" i="4"/>
  <c r="BA711" i="4"/>
  <c r="BA709" i="4"/>
  <c r="BA707" i="4"/>
  <c r="BA705" i="4"/>
  <c r="BA703" i="4"/>
  <c r="BA701" i="4"/>
  <c r="BA699" i="4"/>
  <c r="BA697" i="4"/>
  <c r="BA695" i="4"/>
  <c r="BA693" i="4"/>
  <c r="BA691" i="4"/>
  <c r="BA689" i="4"/>
  <c r="BA687" i="4"/>
  <c r="BA685" i="4"/>
  <c r="BA683" i="4"/>
  <c r="BA681" i="4"/>
  <c r="BA679" i="4"/>
  <c r="BA677" i="4"/>
  <c r="BA650" i="4"/>
  <c r="BA637" i="4"/>
  <c r="BA626" i="4"/>
  <c r="BA613" i="4"/>
  <c r="BA602" i="4"/>
  <c r="BA589" i="4"/>
  <c r="BA669" i="4"/>
  <c r="BA652" i="4"/>
  <c r="BA639" i="4"/>
  <c r="BA628" i="4"/>
  <c r="BA615" i="4"/>
  <c r="BA604" i="4"/>
  <c r="BA591" i="4"/>
  <c r="BA660" i="4"/>
  <c r="BA641" i="4"/>
  <c r="BA630" i="4"/>
  <c r="BA617" i="4"/>
  <c r="BA606" i="4"/>
  <c r="BA593" i="4"/>
  <c r="BA769" i="4"/>
  <c r="BA673" i="4"/>
  <c r="BA657" i="4"/>
  <c r="BA654" i="4"/>
  <c r="BA643" i="4"/>
  <c r="BA632" i="4"/>
  <c r="BA619" i="4"/>
  <c r="BA608" i="4"/>
  <c r="BA595" i="4"/>
  <c r="BA793" i="4"/>
  <c r="BA663" i="4"/>
  <c r="BA645" i="4"/>
  <c r="BA634" i="4"/>
  <c r="BA621" i="4"/>
  <c r="BA610" i="4"/>
  <c r="BA597" i="4"/>
  <c r="BA647" i="4"/>
  <c r="BA636" i="4"/>
  <c r="BA623" i="4"/>
  <c r="BA612" i="4"/>
  <c r="BA599" i="4"/>
  <c r="BA588" i="4"/>
  <c r="BA586" i="4"/>
  <c r="BA584" i="4"/>
  <c r="BA582" i="4"/>
  <c r="BA580" i="4"/>
  <c r="BA667" i="4"/>
  <c r="BA656" i="4"/>
  <c r="BA649" i="4"/>
  <c r="BA638" i="4"/>
  <c r="BA625" i="4"/>
  <c r="BA614" i="4"/>
  <c r="BA601" i="4"/>
  <c r="BA590" i="4"/>
  <c r="BA662" i="4"/>
  <c r="BA659" i="4"/>
  <c r="BA651" i="4"/>
  <c r="BA640" i="4"/>
  <c r="BA627" i="4"/>
  <c r="BA616" i="4"/>
  <c r="BA603" i="4"/>
  <c r="BA592" i="4"/>
  <c r="BA671" i="4"/>
  <c r="BA642" i="4"/>
  <c r="BA629" i="4"/>
  <c r="BA618" i="4"/>
  <c r="BA605" i="4"/>
  <c r="BA594" i="4"/>
  <c r="BA782" i="4"/>
  <c r="BA653" i="4"/>
  <c r="BA644" i="4"/>
  <c r="BA631" i="4"/>
  <c r="BA620" i="4"/>
  <c r="BA607" i="4"/>
  <c r="BA596" i="4"/>
  <c r="BA675" i="4"/>
  <c r="BA658" i="4"/>
  <c r="BA646" i="4"/>
  <c r="BA633" i="4"/>
  <c r="BA622" i="4"/>
  <c r="BA609" i="4"/>
  <c r="BA598" i="4"/>
  <c r="BA600" i="4"/>
  <c r="BA577" i="4"/>
  <c r="BA563" i="4"/>
  <c r="BA557" i="4"/>
  <c r="BA552" i="4"/>
  <c r="BA545" i="4"/>
  <c r="BA540" i="4"/>
  <c r="BA533" i="4"/>
  <c r="BA528" i="4"/>
  <c r="BA521" i="4"/>
  <c r="BA516" i="4"/>
  <c r="BA509" i="4"/>
  <c r="BA504" i="4"/>
  <c r="BA624" i="4"/>
  <c r="BA576" i="4"/>
  <c r="BA571" i="4"/>
  <c r="BA566" i="4"/>
  <c r="BA493" i="4"/>
  <c r="BA491" i="4"/>
  <c r="BA489" i="4"/>
  <c r="BA487" i="4"/>
  <c r="BA485" i="4"/>
  <c r="BA483" i="4"/>
  <c r="BA481" i="4"/>
  <c r="BA479" i="4"/>
  <c r="BA477" i="4"/>
  <c r="BA475" i="4"/>
  <c r="BA473" i="4"/>
  <c r="BA471" i="4"/>
  <c r="BA469" i="4"/>
  <c r="BA467" i="4"/>
  <c r="BA465" i="4"/>
  <c r="BA463" i="4"/>
  <c r="BA461" i="4"/>
  <c r="BA459" i="4"/>
  <c r="BA457" i="4"/>
  <c r="BA455" i="4"/>
  <c r="BA453" i="4"/>
  <c r="BA451" i="4"/>
  <c r="BA449" i="4"/>
  <c r="BA447" i="4"/>
  <c r="BA445" i="4"/>
  <c r="BA443" i="4"/>
  <c r="BA441" i="4"/>
  <c r="BA439" i="4"/>
  <c r="BA437" i="4"/>
  <c r="BA435" i="4"/>
  <c r="BA433" i="4"/>
  <c r="BA431" i="4"/>
  <c r="BA429" i="4"/>
  <c r="BA427" i="4"/>
  <c r="BA425" i="4"/>
  <c r="BA423" i="4"/>
  <c r="BA421" i="4"/>
  <c r="BA419" i="4"/>
  <c r="BA417" i="4"/>
  <c r="BA415" i="4"/>
  <c r="BA413" i="4"/>
  <c r="BA648" i="4"/>
  <c r="BA562" i="4"/>
  <c r="BA554" i="4"/>
  <c r="BA547" i="4"/>
  <c r="BA542" i="4"/>
  <c r="BA535" i="4"/>
  <c r="BA530" i="4"/>
  <c r="BA523" i="4"/>
  <c r="BA518" i="4"/>
  <c r="BA511" i="4"/>
  <c r="BA506" i="4"/>
  <c r="BA495" i="4"/>
  <c r="BA575" i="4"/>
  <c r="BA570" i="4"/>
  <c r="BA559" i="4"/>
  <c r="BA497" i="4"/>
  <c r="BA556" i="4"/>
  <c r="BA549" i="4"/>
  <c r="BA544" i="4"/>
  <c r="BA537" i="4"/>
  <c r="BA532" i="4"/>
  <c r="BA525" i="4"/>
  <c r="BA520" i="4"/>
  <c r="BA513" i="4"/>
  <c r="BA508" i="4"/>
  <c r="BA499" i="4"/>
  <c r="BA574" i="4"/>
  <c r="BA565" i="4"/>
  <c r="BA501" i="4"/>
  <c r="BA587" i="4"/>
  <c r="BA569" i="4"/>
  <c r="BA558" i="4"/>
  <c r="BA551" i="4"/>
  <c r="BA546" i="4"/>
  <c r="BA539" i="4"/>
  <c r="BA534" i="4"/>
  <c r="BA527" i="4"/>
  <c r="BA522" i="4"/>
  <c r="BA515" i="4"/>
  <c r="BA510" i="4"/>
  <c r="BA503" i="4"/>
  <c r="BA611" i="4"/>
  <c r="BA585" i="4"/>
  <c r="BA564" i="4"/>
  <c r="BA561" i="4"/>
  <c r="BA494" i="4"/>
  <c r="BA492" i="4"/>
  <c r="BA490" i="4"/>
  <c r="BA488" i="4"/>
  <c r="BA486" i="4"/>
  <c r="BA484" i="4"/>
  <c r="BA482" i="4"/>
  <c r="BA480" i="4"/>
  <c r="BA478" i="4"/>
  <c r="BA476" i="4"/>
  <c r="BA474" i="4"/>
  <c r="BA472" i="4"/>
  <c r="BA470" i="4"/>
  <c r="BA468" i="4"/>
  <c r="BA466" i="4"/>
  <c r="BA464" i="4"/>
  <c r="BA462" i="4"/>
  <c r="BA460" i="4"/>
  <c r="BA458" i="4"/>
  <c r="BA456" i="4"/>
  <c r="BA454" i="4"/>
  <c r="BA452" i="4"/>
  <c r="BA450" i="4"/>
  <c r="BA448" i="4"/>
  <c r="BA446" i="4"/>
  <c r="BA444" i="4"/>
  <c r="BA442" i="4"/>
  <c r="BA440" i="4"/>
  <c r="BA438" i="4"/>
  <c r="BA436" i="4"/>
  <c r="BA434" i="4"/>
  <c r="BA432" i="4"/>
  <c r="BA430" i="4"/>
  <c r="BA428" i="4"/>
  <c r="BA426" i="4"/>
  <c r="BA424" i="4"/>
  <c r="BA422" i="4"/>
  <c r="BA420" i="4"/>
  <c r="BA418" i="4"/>
  <c r="BA416" i="4"/>
  <c r="BA665" i="4"/>
  <c r="BA635" i="4"/>
  <c r="BA583" i="4"/>
  <c r="BA573" i="4"/>
  <c r="BA568" i="4"/>
  <c r="BA553" i="4"/>
  <c r="BA548" i="4"/>
  <c r="BA541" i="4"/>
  <c r="BA536" i="4"/>
  <c r="BA529" i="4"/>
  <c r="BA524" i="4"/>
  <c r="BA517" i="4"/>
  <c r="BA512" i="4"/>
  <c r="BA505" i="4"/>
  <c r="BA496" i="4"/>
  <c r="BA661" i="4"/>
  <c r="BA581" i="4"/>
  <c r="BA560" i="4"/>
  <c r="BA498" i="4"/>
  <c r="BA579" i="4"/>
  <c r="BA572" i="4"/>
  <c r="BA555" i="4"/>
  <c r="BA550" i="4"/>
  <c r="BA543" i="4"/>
  <c r="BA538" i="4"/>
  <c r="BA531" i="4"/>
  <c r="BA526" i="4"/>
  <c r="BA519" i="4"/>
  <c r="BA514" i="4"/>
  <c r="BA507" i="4"/>
  <c r="BA500" i="4"/>
  <c r="BA655" i="4"/>
  <c r="BA412" i="4"/>
  <c r="BA404" i="4"/>
  <c r="BA396" i="4"/>
  <c r="BA384" i="4"/>
  <c r="BA368" i="4"/>
  <c r="BA357" i="4"/>
  <c r="BA344" i="4"/>
  <c r="BA391" i="4"/>
  <c r="BA379" i="4"/>
  <c r="BA370" i="4"/>
  <c r="BA359" i="4"/>
  <c r="BA346" i="4"/>
  <c r="BA409" i="4"/>
  <c r="BA401" i="4"/>
  <c r="BA386" i="4"/>
  <c r="BA372" i="4"/>
  <c r="BA361" i="4"/>
  <c r="BA348" i="4"/>
  <c r="BA578" i="4"/>
  <c r="BA406" i="4"/>
  <c r="BA398" i="4"/>
  <c r="BA393" i="4"/>
  <c r="BA381" i="4"/>
  <c r="BA374" i="4"/>
  <c r="BA363" i="4"/>
  <c r="BA350" i="4"/>
  <c r="BA339" i="4"/>
  <c r="BA337" i="4"/>
  <c r="BA335" i="4"/>
  <c r="BA333" i="4"/>
  <c r="BA331" i="4"/>
  <c r="BA329" i="4"/>
  <c r="BA327" i="4"/>
  <c r="BA325" i="4"/>
  <c r="BA323" i="4"/>
  <c r="BA321" i="4"/>
  <c r="BA319" i="4"/>
  <c r="BA317" i="4"/>
  <c r="BA315" i="4"/>
  <c r="BA313" i="4"/>
  <c r="BA311" i="4"/>
  <c r="BA309" i="4"/>
  <c r="BA307" i="4"/>
  <c r="BA305" i="4"/>
  <c r="BA303" i="4"/>
  <c r="BA301" i="4"/>
  <c r="BA299" i="4"/>
  <c r="BA297" i="4"/>
  <c r="BA295" i="4"/>
  <c r="BA293" i="4"/>
  <c r="BA291" i="4"/>
  <c r="BA289" i="4"/>
  <c r="BA287" i="4"/>
  <c r="BA285" i="4"/>
  <c r="BA283" i="4"/>
  <c r="BA281" i="4"/>
  <c r="BA279" i="4"/>
  <c r="BA277" i="4"/>
  <c r="BA275" i="4"/>
  <c r="BA273" i="4"/>
  <c r="BA271" i="4"/>
  <c r="BA269" i="4"/>
  <c r="BA267" i="4"/>
  <c r="BA265" i="4"/>
  <c r="BA263" i="4"/>
  <c r="BA261" i="4"/>
  <c r="BA259" i="4"/>
  <c r="BA257" i="4"/>
  <c r="BA255" i="4"/>
  <c r="BA253" i="4"/>
  <c r="BA251" i="4"/>
  <c r="BA249" i="4"/>
  <c r="BA247" i="4"/>
  <c r="BA245" i="4"/>
  <c r="BA243" i="4"/>
  <c r="BA241" i="4"/>
  <c r="BA239" i="4"/>
  <c r="BA237" i="4"/>
  <c r="BA388" i="4"/>
  <c r="BA376" i="4"/>
  <c r="BA365" i="4"/>
  <c r="BA352" i="4"/>
  <c r="BA341" i="4"/>
  <c r="BA567" i="4"/>
  <c r="BA414" i="4"/>
  <c r="BA411" i="4"/>
  <c r="BA403" i="4"/>
  <c r="BA395" i="4"/>
  <c r="BA383" i="4"/>
  <c r="BA367" i="4"/>
  <c r="BA354" i="4"/>
  <c r="BA343" i="4"/>
  <c r="BA408" i="4"/>
  <c r="BA400" i="4"/>
  <c r="BA390" i="4"/>
  <c r="BA378" i="4"/>
  <c r="BA369" i="4"/>
  <c r="BA356" i="4"/>
  <c r="BA345" i="4"/>
  <c r="BA502" i="4"/>
  <c r="BA385" i="4"/>
  <c r="BA371" i="4"/>
  <c r="BA358" i="4"/>
  <c r="BA347" i="4"/>
  <c r="BA405" i="4"/>
  <c r="BA397" i="4"/>
  <c r="BA392" i="4"/>
  <c r="BA380" i="4"/>
  <c r="BA373" i="4"/>
  <c r="BA360" i="4"/>
  <c r="BA349" i="4"/>
  <c r="BA394" i="4"/>
  <c r="BA382" i="4"/>
  <c r="BA364" i="4"/>
  <c r="BA353" i="4"/>
  <c r="BA340" i="4"/>
  <c r="BA402" i="4"/>
  <c r="BA387" i="4"/>
  <c r="BA334" i="4"/>
  <c r="BA322" i="4"/>
  <c r="BA310" i="4"/>
  <c r="BA298" i="4"/>
  <c r="BA286" i="4"/>
  <c r="BA274" i="4"/>
  <c r="BA229" i="4"/>
  <c r="BA220" i="4"/>
  <c r="BA212" i="4"/>
  <c r="BA204" i="4"/>
  <c r="BA196" i="4"/>
  <c r="BA188" i="4"/>
  <c r="BA180" i="4"/>
  <c r="BA175" i="4"/>
  <c r="BA170" i="4"/>
  <c r="BA161" i="4"/>
  <c r="BA150" i="4"/>
  <c r="BA104" i="4"/>
  <c r="BA97" i="4"/>
  <c r="BA25" i="4"/>
  <c r="BA232" i="4"/>
  <c r="BA163" i="4"/>
  <c r="BA152" i="4"/>
  <c r="BA332" i="4"/>
  <c r="BA320" i="4"/>
  <c r="BA308" i="4"/>
  <c r="BA296" i="4"/>
  <c r="BA284" i="4"/>
  <c r="BA272" i="4"/>
  <c r="BA264" i="4"/>
  <c r="BA258" i="4"/>
  <c r="BA252" i="4"/>
  <c r="BA225" i="4"/>
  <c r="BA217" i="4"/>
  <c r="BA209" i="4"/>
  <c r="BA201" i="4"/>
  <c r="BA193" i="4"/>
  <c r="BA185" i="4"/>
  <c r="BA177" i="4"/>
  <c r="BA172" i="4"/>
  <c r="BA165" i="4"/>
  <c r="BA154" i="4"/>
  <c r="BA399" i="4"/>
  <c r="BA235" i="4"/>
  <c r="BA228" i="4"/>
  <c r="BA222" i="4"/>
  <c r="BA214" i="4"/>
  <c r="BA206" i="4"/>
  <c r="BA198" i="4"/>
  <c r="BA190" i="4"/>
  <c r="BA182" i="4"/>
  <c r="BA156" i="4"/>
  <c r="BA114" i="4"/>
  <c r="BA111" i="4"/>
  <c r="BA108" i="4"/>
  <c r="BA105" i="4"/>
  <c r="BA98" i="4"/>
  <c r="BA94" i="4"/>
  <c r="BA91" i="4"/>
  <c r="BA330" i="4"/>
  <c r="BA318" i="4"/>
  <c r="BA306" i="4"/>
  <c r="BA294" i="4"/>
  <c r="BA282" i="4"/>
  <c r="BA270" i="4"/>
  <c r="BA174" i="4"/>
  <c r="BA167" i="4"/>
  <c r="BA158" i="4"/>
  <c r="BA27" i="4"/>
  <c r="BA355" i="4"/>
  <c r="BA342" i="4"/>
  <c r="BA246" i="4"/>
  <c r="BA242" i="4"/>
  <c r="BA238" i="4"/>
  <c r="BA231" i="4"/>
  <c r="BA219" i="4"/>
  <c r="BA211" i="4"/>
  <c r="BA203" i="4"/>
  <c r="BA195" i="4"/>
  <c r="BA187" i="4"/>
  <c r="BA179" i="4"/>
  <c r="BA160" i="4"/>
  <c r="BA147" i="4"/>
  <c r="BA145" i="4"/>
  <c r="BA143" i="4"/>
  <c r="BA141" i="4"/>
  <c r="BA139" i="4"/>
  <c r="BA137" i="4"/>
  <c r="BA135" i="4"/>
  <c r="BA133" i="4"/>
  <c r="BA131" i="4"/>
  <c r="BA129" i="4"/>
  <c r="BA127" i="4"/>
  <c r="BA125" i="4"/>
  <c r="BA123" i="4"/>
  <c r="BA121" i="4"/>
  <c r="BA119" i="4"/>
  <c r="BA117" i="4"/>
  <c r="BA99" i="4"/>
  <c r="BA410" i="4"/>
  <c r="BA328" i="4"/>
  <c r="BA316" i="4"/>
  <c r="BA304" i="4"/>
  <c r="BA292" i="4"/>
  <c r="BA280" i="4"/>
  <c r="BA262" i="4"/>
  <c r="BA256" i="4"/>
  <c r="BA250" i="4"/>
  <c r="BA234" i="4"/>
  <c r="BA224" i="4"/>
  <c r="BA216" i="4"/>
  <c r="BA208" i="4"/>
  <c r="BA200" i="4"/>
  <c r="BA192" i="4"/>
  <c r="BA184" i="4"/>
  <c r="BA176" i="4"/>
  <c r="BA169" i="4"/>
  <c r="BA162" i="4"/>
  <c r="BA149" i="4"/>
  <c r="BA95" i="4"/>
  <c r="BA366" i="4"/>
  <c r="BA268" i="4"/>
  <c r="BA227" i="4"/>
  <c r="BA164" i="4"/>
  <c r="BA151" i="4"/>
  <c r="BA115" i="4"/>
  <c r="BA112" i="4"/>
  <c r="BA109" i="4"/>
  <c r="BA106" i="4"/>
  <c r="BA100" i="4"/>
  <c r="BA351" i="4"/>
  <c r="BA338" i="4"/>
  <c r="BA326" i="4"/>
  <c r="BA314" i="4"/>
  <c r="BA302" i="4"/>
  <c r="BA290" i="4"/>
  <c r="BA278" i="4"/>
  <c r="BA230" i="4"/>
  <c r="BA221" i="4"/>
  <c r="BA213" i="4"/>
  <c r="BA205" i="4"/>
  <c r="BA197" i="4"/>
  <c r="BA189" i="4"/>
  <c r="BA181" i="4"/>
  <c r="BA171" i="4"/>
  <c r="BA166" i="4"/>
  <c r="BA153" i="4"/>
  <c r="BA101" i="4"/>
  <c r="BA407" i="4"/>
  <c r="BA377" i="4"/>
  <c r="BA218" i="4"/>
  <c r="BA210" i="4"/>
  <c r="BA375" i="4"/>
  <c r="BA362" i="4"/>
  <c r="BA336" i="4"/>
  <c r="BA324" i="4"/>
  <c r="BA312" i="4"/>
  <c r="BA300" i="4"/>
  <c r="BA288" i="4"/>
  <c r="BA276" i="4"/>
  <c r="BA266" i="4"/>
  <c r="BA260" i="4"/>
  <c r="BA254" i="4"/>
  <c r="BA233" i="4"/>
  <c r="BA226" i="4"/>
  <c r="BA173" i="4"/>
  <c r="BA168" i="4"/>
  <c r="BA157" i="4"/>
  <c r="BA103" i="4"/>
  <c r="BA12" i="4"/>
  <c r="C17" i="4"/>
  <c r="BJ17" i="4"/>
  <c r="C20" i="4"/>
  <c r="BJ20" i="4"/>
  <c r="C23" i="4"/>
  <c r="BJ23" i="4"/>
  <c r="BA24" i="4"/>
  <c r="U25" i="4"/>
  <c r="U26" i="4"/>
  <c r="BA26" i="4"/>
  <c r="BA31" i="4"/>
  <c r="BA33" i="4"/>
  <c r="BA37" i="4"/>
  <c r="BA39" i="4"/>
  <c r="BA43" i="4"/>
  <c r="BA45" i="4"/>
  <c r="BA49" i="4"/>
  <c r="BA51" i="4"/>
  <c r="BA55" i="4"/>
  <c r="BA57" i="4"/>
  <c r="BA61" i="4"/>
  <c r="BA63" i="4"/>
  <c r="BA67" i="4"/>
  <c r="BA69" i="4"/>
  <c r="BA73" i="4"/>
  <c r="BA75" i="4"/>
  <c r="BA79" i="4"/>
  <c r="C84" i="4"/>
  <c r="AK86" i="4"/>
  <c r="BA110" i="4"/>
  <c r="BA120" i="4"/>
  <c r="BA132" i="4"/>
  <c r="BA144" i="4"/>
  <c r="AK157" i="4"/>
  <c r="AK186" i="4"/>
  <c r="AK202" i="4"/>
  <c r="AK300" i="4"/>
  <c r="BA81" i="4"/>
  <c r="BA83" i="4"/>
  <c r="BA18" i="4"/>
  <c r="BA21" i="4"/>
  <c r="AT22" i="4"/>
  <c r="BJ27" i="4"/>
  <c r="BA35" i="4"/>
  <c r="BA41" i="4"/>
  <c r="BA47" i="4"/>
  <c r="BA53" i="4"/>
  <c r="BA59" i="4"/>
  <c r="BA65" i="4"/>
  <c r="BA71" i="4"/>
  <c r="BA77" i="4"/>
  <c r="C82" i="4"/>
  <c r="U84" i="4"/>
  <c r="U89" i="4"/>
  <c r="U92" i="4"/>
  <c r="AK96" i="4"/>
  <c r="BA102" i="4"/>
  <c r="C111" i="4"/>
  <c r="U121" i="4"/>
  <c r="U133" i="4"/>
  <c r="U145" i="4"/>
  <c r="AK171" i="4"/>
  <c r="BA186" i="4"/>
  <c r="BA202" i="4"/>
  <c r="AK312" i="4"/>
  <c r="AK20" i="4"/>
  <c r="AD21" i="4"/>
  <c r="AK23" i="4"/>
  <c r="AD24" i="4"/>
  <c r="AD27" i="4"/>
  <c r="C30" i="4"/>
  <c r="C32" i="4"/>
  <c r="C34" i="4"/>
  <c r="C36" i="4"/>
  <c r="C38" i="4"/>
  <c r="C40" i="4"/>
  <c r="C42" i="4"/>
  <c r="C44" i="4"/>
  <c r="C46" i="4"/>
  <c r="C48" i="4"/>
  <c r="C50" i="4"/>
  <c r="C52" i="4"/>
  <c r="C54" i="4"/>
  <c r="C56" i="4"/>
  <c r="C58" i="4"/>
  <c r="C60" i="4"/>
  <c r="C62" i="4"/>
  <c r="C64" i="4"/>
  <c r="C66" i="4"/>
  <c r="C68" i="4"/>
  <c r="C70" i="4"/>
  <c r="C72" i="4"/>
  <c r="C74" i="4"/>
  <c r="C76" i="4"/>
  <c r="C78" i="4"/>
  <c r="C80" i="4"/>
  <c r="BA86" i="4"/>
  <c r="AK89" i="4"/>
  <c r="AK92" i="4"/>
  <c r="BA96" i="4"/>
  <c r="U112" i="4"/>
  <c r="BA122" i="4"/>
  <c r="BA134" i="4"/>
  <c r="BA146" i="4"/>
  <c r="BA159" i="4"/>
  <c r="AK173" i="4"/>
  <c r="AK233" i="4"/>
  <c r="AK324" i="4"/>
  <c r="BA14" i="4"/>
  <c r="AD15" i="4"/>
  <c r="AD18" i="4"/>
  <c r="U16" i="4"/>
  <c r="M17" i="4"/>
  <c r="U19" i="4"/>
  <c r="M20" i="4"/>
  <c r="U22" i="4"/>
  <c r="M23" i="4"/>
  <c r="BJ24" i="4"/>
  <c r="AD25" i="4"/>
  <c r="BJ25" i="4"/>
  <c r="AD26" i="4"/>
  <c r="BJ26" i="4"/>
  <c r="U29" i="4"/>
  <c r="U30" i="4"/>
  <c r="U32" i="4"/>
  <c r="U36" i="4"/>
  <c r="U38" i="4"/>
  <c r="U42" i="4"/>
  <c r="U44" i="4"/>
  <c r="U48" i="4"/>
  <c r="U50" i="4"/>
  <c r="U54" i="4"/>
  <c r="U56" i="4"/>
  <c r="U60" i="4"/>
  <c r="U62" i="4"/>
  <c r="U66" i="4"/>
  <c r="U68" i="4"/>
  <c r="U72" i="4"/>
  <c r="U74" i="4"/>
  <c r="U78" i="4"/>
  <c r="U80" i="4"/>
  <c r="U82" i="4"/>
  <c r="BA84" i="4"/>
  <c r="C87" i="4"/>
  <c r="BA92" i="4"/>
  <c r="U97" i="4"/>
  <c r="AK112" i="4"/>
  <c r="U123" i="4"/>
  <c r="U135" i="4"/>
  <c r="U147" i="4"/>
  <c r="U160" i="4"/>
  <c r="AK189" i="4"/>
  <c r="AK205" i="4"/>
  <c r="BA236" i="4"/>
  <c r="AK336" i="4"/>
  <c r="BA29" i="4"/>
  <c r="C15" i="4"/>
  <c r="C18" i="4"/>
  <c r="BJ18" i="4"/>
  <c r="C21" i="4"/>
  <c r="BJ21" i="4"/>
  <c r="C24" i="4"/>
  <c r="C28" i="4"/>
  <c r="U34" i="4"/>
  <c r="U40" i="4"/>
  <c r="U46" i="4"/>
  <c r="U52" i="4"/>
  <c r="U58" i="4"/>
  <c r="U64" i="4"/>
  <c r="U70" i="4"/>
  <c r="U76" i="4"/>
  <c r="AK82" i="4"/>
  <c r="U87" i="4"/>
  <c r="BA89" i="4"/>
  <c r="BA113" i="4"/>
  <c r="BA124" i="4"/>
  <c r="BA136" i="4"/>
  <c r="BA148" i="4"/>
  <c r="BA191" i="4"/>
  <c r="BA207" i="4"/>
  <c r="BA240" i="4"/>
  <c r="BA223" i="4"/>
  <c r="C115" i="4"/>
  <c r="C112" i="4"/>
  <c r="C109" i="4"/>
  <c r="C106" i="4"/>
  <c r="C99" i="4"/>
  <c r="C95" i="4"/>
  <c r="C92" i="4"/>
  <c r="C89" i="4"/>
  <c r="C86" i="4"/>
  <c r="C83" i="4"/>
  <c r="C100" i="4"/>
  <c r="C101" i="4"/>
  <c r="C96" i="4"/>
  <c r="C116" i="4"/>
  <c r="C113" i="4"/>
  <c r="C110" i="4"/>
  <c r="C107" i="4"/>
  <c r="C102" i="4"/>
  <c r="C103" i="4"/>
  <c r="M25" i="4"/>
  <c r="C104" i="4"/>
  <c r="C97" i="4"/>
  <c r="C105" i="4"/>
  <c r="C98" i="4"/>
  <c r="BA22" i="4"/>
  <c r="AT23" i="4"/>
  <c r="AK27" i="4"/>
  <c r="AK30" i="4"/>
  <c r="AK32" i="4"/>
  <c r="AK34" i="4"/>
  <c r="AK36" i="4"/>
  <c r="AK38" i="4"/>
  <c r="AK40" i="4"/>
  <c r="AK42" i="4"/>
  <c r="AK44" i="4"/>
  <c r="AK46" i="4"/>
  <c r="AK48" i="4"/>
  <c r="AK50" i="4"/>
  <c r="AK52" i="4"/>
  <c r="AK54" i="4"/>
  <c r="AK56" i="4"/>
  <c r="AK58" i="4"/>
  <c r="AK60" i="4"/>
  <c r="AK62" i="4"/>
  <c r="AK64" i="4"/>
  <c r="AK66" i="4"/>
  <c r="AK68" i="4"/>
  <c r="AK70" i="4"/>
  <c r="AK72" i="4"/>
  <c r="AK74" i="4"/>
  <c r="AK76" i="4"/>
  <c r="AK78" i="4"/>
  <c r="AK80" i="4"/>
  <c r="BA82" i="4"/>
  <c r="C85" i="4"/>
  <c r="C90" i="4"/>
  <c r="C114" i="4"/>
  <c r="U125" i="4"/>
  <c r="U137" i="4"/>
  <c r="U149" i="4"/>
  <c r="U192" i="4"/>
  <c r="U208" i="4"/>
  <c r="BA244" i="4"/>
  <c r="AK362" i="4"/>
  <c r="BA118" i="4"/>
  <c r="AD19" i="4"/>
  <c r="AK21" i="4"/>
  <c r="AD22" i="4"/>
  <c r="AK24" i="4"/>
  <c r="C25" i="4"/>
  <c r="C26" i="4"/>
  <c r="AK26" i="4"/>
  <c r="C27" i="4"/>
  <c r="U28" i="4"/>
  <c r="AK29" i="4"/>
  <c r="BA30" i="4"/>
  <c r="BA34" i="4"/>
  <c r="BA36" i="4"/>
  <c r="BA40" i="4"/>
  <c r="BA42" i="4"/>
  <c r="BA46" i="4"/>
  <c r="BA48" i="4"/>
  <c r="BA52" i="4"/>
  <c r="BA54" i="4"/>
  <c r="BA58" i="4"/>
  <c r="BA60" i="4"/>
  <c r="BA64" i="4"/>
  <c r="BA66" i="4"/>
  <c r="BA70" i="4"/>
  <c r="BA72" i="4"/>
  <c r="BA76" i="4"/>
  <c r="BA78" i="4"/>
  <c r="BA87" i="4"/>
  <c r="U90" i="4"/>
  <c r="BA93" i="4"/>
  <c r="U99" i="4"/>
  <c r="U106" i="4"/>
  <c r="U115" i="4"/>
  <c r="BA126" i="4"/>
  <c r="BA138" i="4"/>
  <c r="AK178" i="4"/>
  <c r="AK194" i="4"/>
  <c r="AK210" i="4"/>
  <c r="BA248" i="4"/>
  <c r="AK375" i="4"/>
  <c r="BA88" i="4"/>
  <c r="BA15" i="4"/>
  <c r="BA19" i="4"/>
  <c r="U1061" i="4"/>
  <c r="U1059" i="4"/>
  <c r="U1057" i="4"/>
  <c r="U1055" i="4"/>
  <c r="U1053" i="4"/>
  <c r="U1051" i="4"/>
  <c r="U1049" i="4"/>
  <c r="U1047" i="4"/>
  <c r="U1045" i="4"/>
  <c r="U1043" i="4"/>
  <c r="U1041" i="4"/>
  <c r="U1039" i="4"/>
  <c r="U1037" i="4"/>
  <c r="U1035" i="4"/>
  <c r="U1033" i="4"/>
  <c r="U1031" i="4"/>
  <c r="U1029" i="4"/>
  <c r="U1027" i="4"/>
  <c r="U1025" i="4"/>
  <c r="U1023" i="4"/>
  <c r="U1021" i="4"/>
  <c r="U1019" i="4"/>
  <c r="U1017" i="4"/>
  <c r="U1015" i="4"/>
  <c r="U1013" i="4"/>
  <c r="U1011" i="4"/>
  <c r="U1009" i="4"/>
  <c r="U1007" i="4"/>
  <c r="U1005" i="4"/>
  <c r="U1003" i="4"/>
  <c r="U1001" i="4"/>
  <c r="U999" i="4"/>
  <c r="U997" i="4"/>
  <c r="U995" i="4"/>
  <c r="U993" i="4"/>
  <c r="U991" i="4"/>
  <c r="U989" i="4"/>
  <c r="U987" i="4"/>
  <c r="U985" i="4"/>
  <c r="U983" i="4"/>
  <c r="U981" i="4"/>
  <c r="U979" i="4"/>
  <c r="U977" i="4"/>
  <c r="U975" i="4"/>
  <c r="U973" i="4"/>
  <c r="U971" i="4"/>
  <c r="U969" i="4"/>
  <c r="U967" i="4"/>
  <c r="U965" i="4"/>
  <c r="U963" i="4"/>
  <c r="U961" i="4"/>
  <c r="U959" i="4"/>
  <c r="U957" i="4"/>
  <c r="U955" i="4"/>
  <c r="U953" i="4"/>
  <c r="U951" i="4"/>
  <c r="U949" i="4"/>
  <c r="U947" i="4"/>
  <c r="U945" i="4"/>
  <c r="U943" i="4"/>
  <c r="U941" i="4"/>
  <c r="U1060" i="4"/>
  <c r="U1058" i="4"/>
  <c r="U1056" i="4"/>
  <c r="U1054" i="4"/>
  <c r="U1052" i="4"/>
  <c r="U1050" i="4"/>
  <c r="U1048" i="4"/>
  <c r="U1046" i="4"/>
  <c r="U1044" i="4"/>
  <c r="U1042" i="4"/>
  <c r="U1040" i="4"/>
  <c r="U1038" i="4"/>
  <c r="U1036" i="4"/>
  <c r="U1034" i="4"/>
  <c r="U1032" i="4"/>
  <c r="U1030" i="4"/>
  <c r="U1028" i="4"/>
  <c r="U1026" i="4"/>
  <c r="U1024" i="4"/>
  <c r="U1022" i="4"/>
  <c r="U1020" i="4"/>
  <c r="U1018" i="4"/>
  <c r="U1016" i="4"/>
  <c r="U1014" i="4"/>
  <c r="U1012" i="4"/>
  <c r="U1010" i="4"/>
  <c r="U1008" i="4"/>
  <c r="U1006" i="4"/>
  <c r="U1004" i="4"/>
  <c r="U1002" i="4"/>
  <c r="U1000" i="4"/>
  <c r="U998" i="4"/>
  <c r="U996" i="4"/>
  <c r="U994" i="4"/>
  <c r="U992" i="4"/>
  <c r="U990" i="4"/>
  <c r="U988" i="4"/>
  <c r="U986" i="4"/>
  <c r="U984" i="4"/>
  <c r="U982" i="4"/>
  <c r="U980" i="4"/>
  <c r="U978" i="4"/>
  <c r="U976" i="4"/>
  <c r="U974" i="4"/>
  <c r="U972" i="4"/>
  <c r="U970" i="4"/>
  <c r="U968" i="4"/>
  <c r="U966" i="4"/>
  <c r="U964" i="4"/>
  <c r="U962" i="4"/>
  <c r="U960" i="4"/>
  <c r="U958" i="4"/>
  <c r="U956" i="4"/>
  <c r="U954" i="4"/>
  <c r="U952" i="4"/>
  <c r="U950" i="4"/>
  <c r="U948" i="4"/>
  <c r="U946" i="4"/>
  <c r="U944" i="4"/>
  <c r="U942" i="4"/>
  <c r="U940" i="4"/>
  <c r="U938" i="4"/>
  <c r="U929" i="4"/>
  <c r="U917" i="4"/>
  <c r="U909" i="4"/>
  <c r="U901" i="4"/>
  <c r="U893" i="4"/>
  <c r="U932" i="4"/>
  <c r="U925" i="4"/>
  <c r="U922" i="4"/>
  <c r="U914" i="4"/>
  <c r="U906" i="4"/>
  <c r="U898" i="4"/>
  <c r="U939" i="4"/>
  <c r="U935" i="4"/>
  <c r="U928" i="4"/>
  <c r="U919" i="4"/>
  <c r="U911" i="4"/>
  <c r="U903" i="4"/>
  <c r="U895" i="4"/>
  <c r="U931" i="4"/>
  <c r="U916" i="4"/>
  <c r="U908" i="4"/>
  <c r="U900" i="4"/>
  <c r="U892" i="4"/>
  <c r="U890" i="4"/>
  <c r="U888" i="4"/>
  <c r="U886" i="4"/>
  <c r="U884" i="4"/>
  <c r="U882" i="4"/>
  <c r="U880" i="4"/>
  <c r="U878" i="4"/>
  <c r="U876" i="4"/>
  <c r="U874" i="4"/>
  <c r="U872" i="4"/>
  <c r="U870" i="4"/>
  <c r="U868" i="4"/>
  <c r="U866" i="4"/>
  <c r="U864" i="4"/>
  <c r="U862" i="4"/>
  <c r="U860" i="4"/>
  <c r="U858" i="4"/>
  <c r="U856" i="4"/>
  <c r="U854" i="4"/>
  <c r="U852" i="4"/>
  <c r="U850" i="4"/>
  <c r="U848" i="4"/>
  <c r="U846" i="4"/>
  <c r="U844" i="4"/>
  <c r="U842" i="4"/>
  <c r="U840" i="4"/>
  <c r="U838" i="4"/>
  <c r="U836" i="4"/>
  <c r="U834" i="4"/>
  <c r="U832" i="4"/>
  <c r="U934" i="4"/>
  <c r="U924" i="4"/>
  <c r="U921" i="4"/>
  <c r="U913" i="4"/>
  <c r="U905" i="4"/>
  <c r="U897" i="4"/>
  <c r="U927" i="4"/>
  <c r="U937" i="4"/>
  <c r="U930" i="4"/>
  <c r="U918" i="4"/>
  <c r="U910" i="4"/>
  <c r="U902" i="4"/>
  <c r="U894" i="4"/>
  <c r="U915" i="4"/>
  <c r="U907" i="4"/>
  <c r="U899" i="4"/>
  <c r="U933" i="4"/>
  <c r="U926" i="4"/>
  <c r="U923" i="4"/>
  <c r="U887" i="4"/>
  <c r="U863" i="4"/>
  <c r="U839" i="4"/>
  <c r="U800" i="4"/>
  <c r="U787" i="4"/>
  <c r="U776" i="4"/>
  <c r="U885" i="4"/>
  <c r="U861" i="4"/>
  <c r="U837" i="4"/>
  <c r="U818" i="4"/>
  <c r="U802" i="4"/>
  <c r="U789" i="4"/>
  <c r="U778" i="4"/>
  <c r="U912" i="4"/>
  <c r="U883" i="4"/>
  <c r="U859" i="4"/>
  <c r="U829" i="4"/>
  <c r="U823" i="4"/>
  <c r="U814" i="4"/>
  <c r="U809" i="4"/>
  <c r="U804" i="4"/>
  <c r="U791" i="4"/>
  <c r="U780" i="4"/>
  <c r="U767" i="4"/>
  <c r="U765" i="4"/>
  <c r="U763" i="4"/>
  <c r="U761" i="4"/>
  <c r="U759" i="4"/>
  <c r="U757" i="4"/>
  <c r="U755" i="4"/>
  <c r="U753" i="4"/>
  <c r="U751" i="4"/>
  <c r="U749" i="4"/>
  <c r="U747" i="4"/>
  <c r="U745" i="4"/>
  <c r="U743" i="4"/>
  <c r="U741" i="4"/>
  <c r="U739" i="4"/>
  <c r="U737" i="4"/>
  <c r="U735" i="4"/>
  <c r="U733" i="4"/>
  <c r="U731" i="4"/>
  <c r="U729" i="4"/>
  <c r="U727" i="4"/>
  <c r="U725" i="4"/>
  <c r="U723" i="4"/>
  <c r="U721" i="4"/>
  <c r="U719" i="4"/>
  <c r="U717" i="4"/>
  <c r="U715" i="4"/>
  <c r="U713" i="4"/>
  <c r="U711" i="4"/>
  <c r="U709" i="4"/>
  <c r="U707" i="4"/>
  <c r="U705" i="4"/>
  <c r="U703" i="4"/>
  <c r="U701" i="4"/>
  <c r="U699" i="4"/>
  <c r="U697" i="4"/>
  <c r="U695" i="4"/>
  <c r="U693" i="4"/>
  <c r="U691" i="4"/>
  <c r="U689" i="4"/>
  <c r="U881" i="4"/>
  <c r="U857" i="4"/>
  <c r="U828" i="4"/>
  <c r="U822" i="4"/>
  <c r="U806" i="4"/>
  <c r="U793" i="4"/>
  <c r="U782" i="4"/>
  <c r="U769" i="4"/>
  <c r="U879" i="4"/>
  <c r="U855" i="4"/>
  <c r="U835" i="4"/>
  <c r="U817" i="4"/>
  <c r="U795" i="4"/>
  <c r="U784" i="4"/>
  <c r="U771" i="4"/>
  <c r="U904" i="4"/>
  <c r="U877" i="4"/>
  <c r="U853" i="4"/>
  <c r="U811" i="4"/>
  <c r="U808" i="4"/>
  <c r="U797" i="4"/>
  <c r="U786" i="4"/>
  <c r="U773" i="4"/>
  <c r="U936" i="4"/>
  <c r="U875" i="4"/>
  <c r="U851" i="4"/>
  <c r="U827" i="4"/>
  <c r="U821" i="4"/>
  <c r="U799" i="4"/>
  <c r="U788" i="4"/>
  <c r="U775" i="4"/>
  <c r="U873" i="4"/>
  <c r="U849" i="4"/>
  <c r="U833" i="4"/>
  <c r="U826" i="4"/>
  <c r="U816" i="4"/>
  <c r="U801" i="4"/>
  <c r="U790" i="4"/>
  <c r="U777" i="4"/>
  <c r="U896" i="4"/>
  <c r="U871" i="4"/>
  <c r="U847" i="4"/>
  <c r="U820" i="4"/>
  <c r="U813" i="4"/>
  <c r="U810" i="4"/>
  <c r="U803" i="4"/>
  <c r="U792" i="4"/>
  <c r="U779" i="4"/>
  <c r="U768" i="4"/>
  <c r="U766" i="4"/>
  <c r="U764" i="4"/>
  <c r="U762" i="4"/>
  <c r="U760" i="4"/>
  <c r="U758" i="4"/>
  <c r="U756" i="4"/>
  <c r="U754" i="4"/>
  <c r="U752" i="4"/>
  <c r="U750" i="4"/>
  <c r="U748" i="4"/>
  <c r="U746" i="4"/>
  <c r="U744" i="4"/>
  <c r="U742" i="4"/>
  <c r="U740" i="4"/>
  <c r="U738" i="4"/>
  <c r="U736" i="4"/>
  <c r="U734" i="4"/>
  <c r="U732" i="4"/>
  <c r="U730" i="4"/>
  <c r="U728" i="4"/>
  <c r="U726" i="4"/>
  <c r="U724" i="4"/>
  <c r="U722" i="4"/>
  <c r="U720" i="4"/>
  <c r="U718" i="4"/>
  <c r="U716" i="4"/>
  <c r="U714" i="4"/>
  <c r="U712" i="4"/>
  <c r="U710" i="4"/>
  <c r="U708" i="4"/>
  <c r="U706" i="4"/>
  <c r="U704" i="4"/>
  <c r="U702" i="4"/>
  <c r="U700" i="4"/>
  <c r="U698" i="4"/>
  <c r="U696" i="4"/>
  <c r="U694" i="4"/>
  <c r="U692" i="4"/>
  <c r="U690" i="4"/>
  <c r="U688" i="4"/>
  <c r="U686" i="4"/>
  <c r="U684" i="4"/>
  <c r="U682" i="4"/>
  <c r="U680" i="4"/>
  <c r="U678" i="4"/>
  <c r="U676" i="4"/>
  <c r="U674" i="4"/>
  <c r="U672" i="4"/>
  <c r="U670" i="4"/>
  <c r="U668" i="4"/>
  <c r="U666" i="4"/>
  <c r="U664" i="4"/>
  <c r="U662" i="4"/>
  <c r="U660" i="4"/>
  <c r="U658" i="4"/>
  <c r="U656" i="4"/>
  <c r="U869" i="4"/>
  <c r="U845" i="4"/>
  <c r="U805" i="4"/>
  <c r="U794" i="4"/>
  <c r="U781" i="4"/>
  <c r="U770" i="4"/>
  <c r="U891" i="4"/>
  <c r="U867" i="4"/>
  <c r="U843" i="4"/>
  <c r="U831" i="4"/>
  <c r="U825" i="4"/>
  <c r="U796" i="4"/>
  <c r="U783" i="4"/>
  <c r="U772" i="4"/>
  <c r="U920" i="4"/>
  <c r="U675" i="4"/>
  <c r="U653" i="4"/>
  <c r="U642" i="4"/>
  <c r="U631" i="4"/>
  <c r="U618" i="4"/>
  <c r="U607" i="4"/>
  <c r="U594" i="4"/>
  <c r="U889" i="4"/>
  <c r="U774" i="4"/>
  <c r="U683" i="4"/>
  <c r="U665" i="4"/>
  <c r="U661" i="4"/>
  <c r="U644" i="4"/>
  <c r="U633" i="4"/>
  <c r="U620" i="4"/>
  <c r="U609" i="4"/>
  <c r="U596" i="4"/>
  <c r="U865" i="4"/>
  <c r="U798" i="4"/>
  <c r="U655" i="4"/>
  <c r="U646" i="4"/>
  <c r="U635" i="4"/>
  <c r="U622" i="4"/>
  <c r="U611" i="4"/>
  <c r="U598" i="4"/>
  <c r="U841" i="4"/>
  <c r="U681" i="4"/>
  <c r="U669" i="4"/>
  <c r="U648" i="4"/>
  <c r="U637" i="4"/>
  <c r="U624" i="4"/>
  <c r="U613" i="4"/>
  <c r="U600" i="4"/>
  <c r="U589" i="4"/>
  <c r="U587" i="4"/>
  <c r="U585" i="4"/>
  <c r="U583" i="4"/>
  <c r="U581" i="4"/>
  <c r="U579" i="4"/>
  <c r="U577" i="4"/>
  <c r="U575" i="4"/>
  <c r="U573" i="4"/>
  <c r="U571" i="4"/>
  <c r="U569" i="4"/>
  <c r="U567" i="4"/>
  <c r="U565" i="4"/>
  <c r="U563" i="4"/>
  <c r="U561" i="4"/>
  <c r="U559" i="4"/>
  <c r="U830" i="4"/>
  <c r="U650" i="4"/>
  <c r="U639" i="4"/>
  <c r="U626" i="4"/>
  <c r="U615" i="4"/>
  <c r="U602" i="4"/>
  <c r="U591" i="4"/>
  <c r="U824" i="4"/>
  <c r="U679" i="4"/>
  <c r="U673" i="4"/>
  <c r="U657" i="4"/>
  <c r="U652" i="4"/>
  <c r="U641" i="4"/>
  <c r="U628" i="4"/>
  <c r="U617" i="4"/>
  <c r="U604" i="4"/>
  <c r="U593" i="4"/>
  <c r="U819" i="4"/>
  <c r="U663" i="4"/>
  <c r="U643" i="4"/>
  <c r="U630" i="4"/>
  <c r="U619" i="4"/>
  <c r="U606" i="4"/>
  <c r="U595" i="4"/>
  <c r="U815" i="4"/>
  <c r="U654" i="4"/>
  <c r="U645" i="4"/>
  <c r="U632" i="4"/>
  <c r="U621" i="4"/>
  <c r="U608" i="4"/>
  <c r="U597" i="4"/>
  <c r="U812" i="4"/>
  <c r="U785" i="4"/>
  <c r="U677" i="4"/>
  <c r="U667" i="4"/>
  <c r="U647" i="4"/>
  <c r="U634" i="4"/>
  <c r="U623" i="4"/>
  <c r="U610" i="4"/>
  <c r="U599" i="4"/>
  <c r="U687" i="4"/>
  <c r="U659" i="4"/>
  <c r="U649" i="4"/>
  <c r="U636" i="4"/>
  <c r="U625" i="4"/>
  <c r="U612" i="4"/>
  <c r="U601" i="4"/>
  <c r="U588" i="4"/>
  <c r="U586" i="4"/>
  <c r="U584" i="4"/>
  <c r="U582" i="4"/>
  <c r="U580" i="4"/>
  <c r="U578" i="4"/>
  <c r="U576" i="4"/>
  <c r="U807" i="4"/>
  <c r="U671" i="4"/>
  <c r="U651" i="4"/>
  <c r="U638" i="4"/>
  <c r="U627" i="4"/>
  <c r="U614" i="4"/>
  <c r="U603" i="4"/>
  <c r="U590" i="4"/>
  <c r="U548" i="4"/>
  <c r="U536" i="4"/>
  <c r="U524" i="4"/>
  <c r="U512" i="4"/>
  <c r="U496" i="4"/>
  <c r="U560" i="4"/>
  <c r="U555" i="4"/>
  <c r="U543" i="4"/>
  <c r="U531" i="4"/>
  <c r="U519" i="4"/>
  <c r="U507" i="4"/>
  <c r="U498" i="4"/>
  <c r="U550" i="4"/>
  <c r="U538" i="4"/>
  <c r="U526" i="4"/>
  <c r="U514" i="4"/>
  <c r="U500" i="4"/>
  <c r="U566" i="4"/>
  <c r="U557" i="4"/>
  <c r="U545" i="4"/>
  <c r="U533" i="4"/>
  <c r="U521" i="4"/>
  <c r="U509" i="4"/>
  <c r="U502" i="4"/>
  <c r="U592" i="4"/>
  <c r="U570" i="4"/>
  <c r="U552" i="4"/>
  <c r="U540" i="4"/>
  <c r="U528" i="4"/>
  <c r="U516" i="4"/>
  <c r="U504" i="4"/>
  <c r="U685" i="4"/>
  <c r="U616" i="4"/>
  <c r="U562" i="4"/>
  <c r="U547" i="4"/>
  <c r="U535" i="4"/>
  <c r="U523" i="4"/>
  <c r="U511" i="4"/>
  <c r="U495" i="4"/>
  <c r="U493" i="4"/>
  <c r="U491" i="4"/>
  <c r="U489" i="4"/>
  <c r="U487" i="4"/>
  <c r="U485" i="4"/>
  <c r="U483" i="4"/>
  <c r="U481" i="4"/>
  <c r="U479" i="4"/>
  <c r="U477" i="4"/>
  <c r="U475" i="4"/>
  <c r="U473" i="4"/>
  <c r="U471" i="4"/>
  <c r="U469" i="4"/>
  <c r="U467" i="4"/>
  <c r="U465" i="4"/>
  <c r="U463" i="4"/>
  <c r="U461" i="4"/>
  <c r="U459" i="4"/>
  <c r="U457" i="4"/>
  <c r="U455" i="4"/>
  <c r="U453" i="4"/>
  <c r="U451" i="4"/>
  <c r="U449" i="4"/>
  <c r="U447" i="4"/>
  <c r="U445" i="4"/>
  <c r="U443" i="4"/>
  <c r="U441" i="4"/>
  <c r="U439" i="4"/>
  <c r="U437" i="4"/>
  <c r="U435" i="4"/>
  <c r="U433" i="4"/>
  <c r="U640" i="4"/>
  <c r="U574" i="4"/>
  <c r="U554" i="4"/>
  <c r="U542" i="4"/>
  <c r="U530" i="4"/>
  <c r="U518" i="4"/>
  <c r="U506" i="4"/>
  <c r="U497" i="4"/>
  <c r="U549" i="4"/>
  <c r="U537" i="4"/>
  <c r="U525" i="4"/>
  <c r="U513" i="4"/>
  <c r="U499" i="4"/>
  <c r="U556" i="4"/>
  <c r="U544" i="4"/>
  <c r="U532" i="4"/>
  <c r="U520" i="4"/>
  <c r="U508" i="4"/>
  <c r="U501" i="4"/>
  <c r="U568" i="4"/>
  <c r="U551" i="4"/>
  <c r="U539" i="4"/>
  <c r="U527" i="4"/>
  <c r="U515" i="4"/>
  <c r="U503" i="4"/>
  <c r="U605" i="4"/>
  <c r="U564" i="4"/>
  <c r="U558" i="4"/>
  <c r="U546" i="4"/>
  <c r="U534" i="4"/>
  <c r="U522" i="4"/>
  <c r="U510" i="4"/>
  <c r="U492" i="4"/>
  <c r="U468" i="4"/>
  <c r="U444" i="4"/>
  <c r="U421" i="4"/>
  <c r="U392" i="4"/>
  <c r="U387" i="4"/>
  <c r="U380" i="4"/>
  <c r="U373" i="4"/>
  <c r="U360" i="4"/>
  <c r="U349" i="4"/>
  <c r="U629" i="4"/>
  <c r="U517" i="4"/>
  <c r="U490" i="4"/>
  <c r="U466" i="4"/>
  <c r="U442" i="4"/>
  <c r="U410" i="4"/>
  <c r="U402" i="4"/>
  <c r="U375" i="4"/>
  <c r="U362" i="4"/>
  <c r="U351" i="4"/>
  <c r="U338" i="4"/>
  <c r="U336" i="4"/>
  <c r="U334" i="4"/>
  <c r="U332" i="4"/>
  <c r="U330" i="4"/>
  <c r="U328" i="4"/>
  <c r="U326" i="4"/>
  <c r="U324" i="4"/>
  <c r="U322" i="4"/>
  <c r="U320" i="4"/>
  <c r="U318" i="4"/>
  <c r="U316" i="4"/>
  <c r="U314" i="4"/>
  <c r="U312" i="4"/>
  <c r="U310" i="4"/>
  <c r="U308" i="4"/>
  <c r="U306" i="4"/>
  <c r="U304" i="4"/>
  <c r="U302" i="4"/>
  <c r="U300" i="4"/>
  <c r="U298" i="4"/>
  <c r="U296" i="4"/>
  <c r="U294" i="4"/>
  <c r="U292" i="4"/>
  <c r="U290" i="4"/>
  <c r="U288" i="4"/>
  <c r="U286" i="4"/>
  <c r="U284" i="4"/>
  <c r="U282" i="4"/>
  <c r="U280" i="4"/>
  <c r="U278" i="4"/>
  <c r="U276" i="4"/>
  <c r="U274" i="4"/>
  <c r="U272" i="4"/>
  <c r="U270" i="4"/>
  <c r="U268" i="4"/>
  <c r="U266" i="4"/>
  <c r="U264" i="4"/>
  <c r="U262" i="4"/>
  <c r="U260" i="4"/>
  <c r="U258" i="4"/>
  <c r="U256" i="4"/>
  <c r="U254" i="4"/>
  <c r="U252" i="4"/>
  <c r="U250" i="4"/>
  <c r="U248" i="4"/>
  <c r="U246" i="4"/>
  <c r="U244" i="4"/>
  <c r="U242" i="4"/>
  <c r="U240" i="4"/>
  <c r="U238" i="4"/>
  <c r="U236" i="4"/>
  <c r="U234" i="4"/>
  <c r="U232" i="4"/>
  <c r="U230" i="4"/>
  <c r="U228" i="4"/>
  <c r="U226" i="4"/>
  <c r="U488" i="4"/>
  <c r="U464" i="4"/>
  <c r="U440" i="4"/>
  <c r="U426" i="4"/>
  <c r="U416" i="4"/>
  <c r="U407" i="4"/>
  <c r="U399" i="4"/>
  <c r="U394" i="4"/>
  <c r="U389" i="4"/>
  <c r="U382" i="4"/>
  <c r="U377" i="4"/>
  <c r="U364" i="4"/>
  <c r="U353" i="4"/>
  <c r="U340" i="4"/>
  <c r="U541" i="4"/>
  <c r="U486" i="4"/>
  <c r="U462" i="4"/>
  <c r="U438" i="4"/>
  <c r="U425" i="4"/>
  <c r="U420" i="4"/>
  <c r="U366" i="4"/>
  <c r="U355" i="4"/>
  <c r="U342" i="4"/>
  <c r="U572" i="4"/>
  <c r="U484" i="4"/>
  <c r="U460" i="4"/>
  <c r="U436" i="4"/>
  <c r="U415" i="4"/>
  <c r="U412" i="4"/>
  <c r="U404" i="4"/>
  <c r="U396" i="4"/>
  <c r="U391" i="4"/>
  <c r="U384" i="4"/>
  <c r="U379" i="4"/>
  <c r="U368" i="4"/>
  <c r="U357" i="4"/>
  <c r="U344" i="4"/>
  <c r="U482" i="4"/>
  <c r="U458" i="4"/>
  <c r="U434" i="4"/>
  <c r="U419" i="4"/>
  <c r="U409" i="4"/>
  <c r="U401" i="4"/>
  <c r="U370" i="4"/>
  <c r="U359" i="4"/>
  <c r="U346" i="4"/>
  <c r="U505" i="4"/>
  <c r="U480" i="4"/>
  <c r="U456" i="4"/>
  <c r="U432" i="4"/>
  <c r="U424" i="4"/>
  <c r="U393" i="4"/>
  <c r="U386" i="4"/>
  <c r="U381" i="4"/>
  <c r="U372" i="4"/>
  <c r="U361" i="4"/>
  <c r="U348" i="4"/>
  <c r="U478" i="4"/>
  <c r="U454" i="4"/>
  <c r="U431" i="4"/>
  <c r="U423" i="4"/>
  <c r="U406" i="4"/>
  <c r="U398" i="4"/>
  <c r="U374" i="4"/>
  <c r="U363" i="4"/>
  <c r="U350" i="4"/>
  <c r="U339" i="4"/>
  <c r="U337" i="4"/>
  <c r="U335" i="4"/>
  <c r="U333" i="4"/>
  <c r="U331" i="4"/>
  <c r="U329" i="4"/>
  <c r="U327" i="4"/>
  <c r="U325" i="4"/>
  <c r="U323" i="4"/>
  <c r="U321" i="4"/>
  <c r="U319" i="4"/>
  <c r="U317" i="4"/>
  <c r="U315" i="4"/>
  <c r="U313" i="4"/>
  <c r="U311" i="4"/>
  <c r="U309" i="4"/>
  <c r="U307" i="4"/>
  <c r="U305" i="4"/>
  <c r="U303" i="4"/>
  <c r="U301" i="4"/>
  <c r="U299" i="4"/>
  <c r="U297" i="4"/>
  <c r="U295" i="4"/>
  <c r="U293" i="4"/>
  <c r="U291" i="4"/>
  <c r="U289" i="4"/>
  <c r="U287" i="4"/>
  <c r="U285" i="4"/>
  <c r="U283" i="4"/>
  <c r="U281" i="4"/>
  <c r="U279" i="4"/>
  <c r="U277" i="4"/>
  <c r="U275" i="4"/>
  <c r="U273" i="4"/>
  <c r="U271" i="4"/>
  <c r="U269" i="4"/>
  <c r="U267" i="4"/>
  <c r="U265" i="4"/>
  <c r="U263" i="4"/>
  <c r="U261" i="4"/>
  <c r="U259" i="4"/>
  <c r="U257" i="4"/>
  <c r="U255" i="4"/>
  <c r="U253" i="4"/>
  <c r="U251" i="4"/>
  <c r="U529" i="4"/>
  <c r="U476" i="4"/>
  <c r="U452" i="4"/>
  <c r="U430" i="4"/>
  <c r="U418" i="4"/>
  <c r="U411" i="4"/>
  <c r="U403" i="4"/>
  <c r="U395" i="4"/>
  <c r="U388" i="4"/>
  <c r="U383" i="4"/>
  <c r="U376" i="4"/>
  <c r="U365" i="4"/>
  <c r="U352" i="4"/>
  <c r="U341" i="4"/>
  <c r="U553" i="4"/>
  <c r="U472" i="4"/>
  <c r="U448" i="4"/>
  <c r="U428" i="4"/>
  <c r="U422" i="4"/>
  <c r="U417" i="4"/>
  <c r="U408" i="4"/>
  <c r="U400" i="4"/>
  <c r="U390" i="4"/>
  <c r="U385" i="4"/>
  <c r="U378" i="4"/>
  <c r="U369" i="4"/>
  <c r="U356" i="4"/>
  <c r="U345" i="4"/>
  <c r="U233" i="4"/>
  <c r="U218" i="4"/>
  <c r="U210" i="4"/>
  <c r="U202" i="4"/>
  <c r="U194" i="4"/>
  <c r="U186" i="4"/>
  <c r="U178" i="4"/>
  <c r="U173" i="4"/>
  <c r="U166" i="4"/>
  <c r="U155" i="4"/>
  <c r="U100" i="4"/>
  <c r="U347" i="4"/>
  <c r="U223" i="4"/>
  <c r="U215" i="4"/>
  <c r="U207" i="4"/>
  <c r="U199" i="4"/>
  <c r="U191" i="4"/>
  <c r="U183" i="4"/>
  <c r="U157" i="4"/>
  <c r="U101" i="4"/>
  <c r="U229" i="4"/>
  <c r="U175" i="4"/>
  <c r="U168" i="4"/>
  <c r="U159" i="4"/>
  <c r="U102" i="4"/>
  <c r="U96" i="4"/>
  <c r="U371" i="4"/>
  <c r="U358" i="4"/>
  <c r="U220" i="4"/>
  <c r="U212" i="4"/>
  <c r="U204" i="4"/>
  <c r="U196" i="4"/>
  <c r="U188" i="4"/>
  <c r="U180" i="4"/>
  <c r="U161" i="4"/>
  <c r="U148" i="4"/>
  <c r="U146" i="4"/>
  <c r="U144" i="4"/>
  <c r="U142" i="4"/>
  <c r="U140" i="4"/>
  <c r="U138" i="4"/>
  <c r="U136" i="4"/>
  <c r="U134" i="4"/>
  <c r="U132" i="4"/>
  <c r="U130" i="4"/>
  <c r="U128" i="4"/>
  <c r="U126" i="4"/>
  <c r="U124" i="4"/>
  <c r="U122" i="4"/>
  <c r="U120" i="4"/>
  <c r="U118" i="4"/>
  <c r="U116" i="4"/>
  <c r="U113" i="4"/>
  <c r="U110" i="4"/>
  <c r="U107" i="4"/>
  <c r="U103" i="4"/>
  <c r="U93" i="4"/>
  <c r="U414" i="4"/>
  <c r="U343" i="4"/>
  <c r="U247" i="4"/>
  <c r="U243" i="4"/>
  <c r="U239" i="4"/>
  <c r="U225" i="4"/>
  <c r="U217" i="4"/>
  <c r="U209" i="4"/>
  <c r="U201" i="4"/>
  <c r="U193" i="4"/>
  <c r="U185" i="4"/>
  <c r="U177" i="4"/>
  <c r="U170" i="4"/>
  <c r="U163" i="4"/>
  <c r="U150" i="4"/>
  <c r="U104" i="4"/>
  <c r="U494" i="4"/>
  <c r="U413" i="4"/>
  <c r="U397" i="4"/>
  <c r="U235" i="4"/>
  <c r="U165" i="4"/>
  <c r="U152" i="4"/>
  <c r="U474" i="4"/>
  <c r="U367" i="4"/>
  <c r="U354" i="4"/>
  <c r="U222" i="4"/>
  <c r="U214" i="4"/>
  <c r="U206" i="4"/>
  <c r="U198" i="4"/>
  <c r="U190" i="4"/>
  <c r="U182" i="4"/>
  <c r="U172" i="4"/>
  <c r="U167" i="4"/>
  <c r="U154" i="4"/>
  <c r="U27" i="4"/>
  <c r="U470" i="4"/>
  <c r="U231" i="4"/>
  <c r="U219" i="4"/>
  <c r="U211" i="4"/>
  <c r="U203" i="4"/>
  <c r="U195" i="4"/>
  <c r="U187" i="4"/>
  <c r="U179" i="4"/>
  <c r="U156" i="4"/>
  <c r="U114" i="4"/>
  <c r="U111" i="4"/>
  <c r="U108" i="4"/>
  <c r="U105" i="4"/>
  <c r="U94" i="4"/>
  <c r="U450" i="4"/>
  <c r="U174" i="4"/>
  <c r="U169" i="4"/>
  <c r="U158" i="4"/>
  <c r="U98" i="4"/>
  <c r="U446" i="4"/>
  <c r="U227" i="4"/>
  <c r="U224" i="4"/>
  <c r="U216" i="4"/>
  <c r="U429" i="4"/>
  <c r="U249" i="4"/>
  <c r="U245" i="4"/>
  <c r="U241" i="4"/>
  <c r="U237" i="4"/>
  <c r="U221" i="4"/>
  <c r="U213" i="4"/>
  <c r="U205" i="4"/>
  <c r="U197" i="4"/>
  <c r="U189" i="4"/>
  <c r="U181" i="4"/>
  <c r="U176" i="4"/>
  <c r="U171" i="4"/>
  <c r="U162" i="4"/>
  <c r="U151" i="4"/>
  <c r="BA13" i="4"/>
  <c r="AD16" i="4"/>
  <c r="M15" i="4"/>
  <c r="U17" i="4"/>
  <c r="M18" i="4"/>
  <c r="U20" i="4"/>
  <c r="M21" i="4"/>
  <c r="U23" i="4"/>
  <c r="M24" i="4"/>
  <c r="AK25" i="4"/>
  <c r="AK28" i="4"/>
  <c r="BA32" i="4"/>
  <c r="BA38" i="4"/>
  <c r="BA44" i="4"/>
  <c r="BA50" i="4"/>
  <c r="BA56" i="4"/>
  <c r="BA62" i="4"/>
  <c r="BA68" i="4"/>
  <c r="BA74" i="4"/>
  <c r="BA80" i="4"/>
  <c r="U83" i="4"/>
  <c r="U85" i="4"/>
  <c r="C88" i="4"/>
  <c r="C94" i="4"/>
  <c r="AK106" i="4"/>
  <c r="AK115" i="4"/>
  <c r="U127" i="4"/>
  <c r="U139" i="4"/>
  <c r="AK164" i="4"/>
  <c r="BA178" i="4"/>
  <c r="BA194" i="4"/>
  <c r="BA389" i="4"/>
  <c r="BA16" i="4"/>
  <c r="AK1061" i="4"/>
  <c r="AK1059" i="4"/>
  <c r="AK1057" i="4"/>
  <c r="AK1055" i="4"/>
  <c r="AK1053" i="4"/>
  <c r="AK1051" i="4"/>
  <c r="AK1049" i="4"/>
  <c r="AK1047" i="4"/>
  <c r="AK1045" i="4"/>
  <c r="AK1043" i="4"/>
  <c r="AK1041" i="4"/>
  <c r="AK1039" i="4"/>
  <c r="AK1037" i="4"/>
  <c r="AK1035" i="4"/>
  <c r="AK1033" i="4"/>
  <c r="AK1031" i="4"/>
  <c r="AK1029" i="4"/>
  <c r="AK1027" i="4"/>
  <c r="AK1025" i="4"/>
  <c r="AK1023" i="4"/>
  <c r="AK1021" i="4"/>
  <c r="AK1019" i="4"/>
  <c r="AK1017" i="4"/>
  <c r="AK1015" i="4"/>
  <c r="AK1013" i="4"/>
  <c r="AK1011" i="4"/>
  <c r="AK1009" i="4"/>
  <c r="AK1007" i="4"/>
  <c r="AK1005" i="4"/>
  <c r="AK1003" i="4"/>
  <c r="AK1001" i="4"/>
  <c r="AK999" i="4"/>
  <c r="AK997" i="4"/>
  <c r="AK995" i="4"/>
  <c r="AK993" i="4"/>
  <c r="AK991" i="4"/>
  <c r="AK989" i="4"/>
  <c r="AK987" i="4"/>
  <c r="AK985" i="4"/>
  <c r="AK983" i="4"/>
  <c r="AK981" i="4"/>
  <c r="AK979" i="4"/>
  <c r="AK977" i="4"/>
  <c r="AK975" i="4"/>
  <c r="AK973" i="4"/>
  <c r="AK971" i="4"/>
  <c r="AK969" i="4"/>
  <c r="AK967" i="4"/>
  <c r="AK965" i="4"/>
  <c r="AK963" i="4"/>
  <c r="AK961" i="4"/>
  <c r="AK959" i="4"/>
  <c r="AK957" i="4"/>
  <c r="AK955" i="4"/>
  <c r="AK1060" i="4"/>
  <c r="AK1058" i="4"/>
  <c r="AK1056" i="4"/>
  <c r="AK1054" i="4"/>
  <c r="AK1052" i="4"/>
  <c r="AK1050" i="4"/>
  <c r="AK1048" i="4"/>
  <c r="AK1046" i="4"/>
  <c r="AK1044" i="4"/>
  <c r="AK1042" i="4"/>
  <c r="AK1040" i="4"/>
  <c r="AK1038" i="4"/>
  <c r="AK1036" i="4"/>
  <c r="AK1034" i="4"/>
  <c r="AK1032" i="4"/>
  <c r="AK1030" i="4"/>
  <c r="AK1028" i="4"/>
  <c r="AK1026" i="4"/>
  <c r="AK1024" i="4"/>
  <c r="AK1022" i="4"/>
  <c r="AK1020" i="4"/>
  <c r="AK1018" i="4"/>
  <c r="AK1016" i="4"/>
  <c r="AK1014" i="4"/>
  <c r="AK1012" i="4"/>
  <c r="AK1010" i="4"/>
  <c r="AK1008" i="4"/>
  <c r="AK1006" i="4"/>
  <c r="AK1004" i="4"/>
  <c r="AK1002" i="4"/>
  <c r="AK1000" i="4"/>
  <c r="AK998" i="4"/>
  <c r="AK996" i="4"/>
  <c r="AK994" i="4"/>
  <c r="AK992" i="4"/>
  <c r="AK990" i="4"/>
  <c r="AK988" i="4"/>
  <c r="AK986" i="4"/>
  <c r="AK984" i="4"/>
  <c r="AK982" i="4"/>
  <c r="AK980" i="4"/>
  <c r="AK978" i="4"/>
  <c r="AK976" i="4"/>
  <c r="AK974" i="4"/>
  <c r="AK972" i="4"/>
  <c r="AK970" i="4"/>
  <c r="AK968" i="4"/>
  <c r="AK966" i="4"/>
  <c r="AK964" i="4"/>
  <c r="AK962" i="4"/>
  <c r="AK960" i="4"/>
  <c r="AK958" i="4"/>
  <c r="AK956" i="4"/>
  <c r="AK954" i="4"/>
  <c r="AK952" i="4"/>
  <c r="AK950" i="4"/>
  <c r="AK948" i="4"/>
  <c r="AK946" i="4"/>
  <c r="AK944" i="4"/>
  <c r="AK942" i="4"/>
  <c r="AK940" i="4"/>
  <c r="AK938" i="4"/>
  <c r="AK936" i="4"/>
  <c r="AK934" i="4"/>
  <c r="AK932" i="4"/>
  <c r="AK930" i="4"/>
  <c r="AK928" i="4"/>
  <c r="AK926" i="4"/>
  <c r="AK914" i="4"/>
  <c r="AK906" i="4"/>
  <c r="AK898" i="4"/>
  <c r="AK925" i="4"/>
  <c r="AK922" i="4"/>
  <c r="AK947" i="4"/>
  <c r="AK939" i="4"/>
  <c r="AK935" i="4"/>
  <c r="AK919" i="4"/>
  <c r="AK911" i="4"/>
  <c r="AK903" i="4"/>
  <c r="AK895" i="4"/>
  <c r="AK916" i="4"/>
  <c r="AK908" i="4"/>
  <c r="AK900" i="4"/>
  <c r="AK892" i="4"/>
  <c r="AK890" i="4"/>
  <c r="AK888" i="4"/>
  <c r="AK886" i="4"/>
  <c r="AK884" i="4"/>
  <c r="AK882" i="4"/>
  <c r="AK880" i="4"/>
  <c r="AK878" i="4"/>
  <c r="AK876" i="4"/>
  <c r="AK874" i="4"/>
  <c r="AK872" i="4"/>
  <c r="AK870" i="4"/>
  <c r="AK868" i="4"/>
  <c r="AK866" i="4"/>
  <c r="AK864" i="4"/>
  <c r="AK862" i="4"/>
  <c r="AK860" i="4"/>
  <c r="AK858" i="4"/>
  <c r="AK856" i="4"/>
  <c r="AK854" i="4"/>
  <c r="AK852" i="4"/>
  <c r="AK850" i="4"/>
  <c r="AK848" i="4"/>
  <c r="AK846" i="4"/>
  <c r="AK844" i="4"/>
  <c r="AK842" i="4"/>
  <c r="AK840" i="4"/>
  <c r="AK838" i="4"/>
  <c r="AK836" i="4"/>
  <c r="AK834" i="4"/>
  <c r="AK832" i="4"/>
  <c r="AK830" i="4"/>
  <c r="AK828" i="4"/>
  <c r="AK826" i="4"/>
  <c r="AK824" i="4"/>
  <c r="AK822" i="4"/>
  <c r="AK820" i="4"/>
  <c r="AK818" i="4"/>
  <c r="AK816" i="4"/>
  <c r="AK814" i="4"/>
  <c r="AK812" i="4"/>
  <c r="AK810" i="4"/>
  <c r="AK808" i="4"/>
  <c r="AK806" i="4"/>
  <c r="AK931" i="4"/>
  <c r="AK945" i="4"/>
  <c r="AK924" i="4"/>
  <c r="AK921" i="4"/>
  <c r="AK913" i="4"/>
  <c r="AK905" i="4"/>
  <c r="AK897" i="4"/>
  <c r="AK953" i="4"/>
  <c r="AK927" i="4"/>
  <c r="AK918" i="4"/>
  <c r="AK910" i="4"/>
  <c r="AK902" i="4"/>
  <c r="AK894" i="4"/>
  <c r="AK937" i="4"/>
  <c r="AK951" i="4"/>
  <c r="AK943" i="4"/>
  <c r="AK915" i="4"/>
  <c r="AK907" i="4"/>
  <c r="AK899" i="4"/>
  <c r="AK933" i="4"/>
  <c r="AK923" i="4"/>
  <c r="AK920" i="4"/>
  <c r="AK912" i="4"/>
  <c r="AK904" i="4"/>
  <c r="AK896" i="4"/>
  <c r="AK891" i="4"/>
  <c r="AK889" i="4"/>
  <c r="AK887" i="4"/>
  <c r="AK885" i="4"/>
  <c r="AK883" i="4"/>
  <c r="AK881" i="4"/>
  <c r="AK879" i="4"/>
  <c r="AK877" i="4"/>
  <c r="AK875" i="4"/>
  <c r="AK873" i="4"/>
  <c r="AK871" i="4"/>
  <c r="AK869" i="4"/>
  <c r="AK867" i="4"/>
  <c r="AK865" i="4"/>
  <c r="AK863" i="4"/>
  <c r="AK861" i="4"/>
  <c r="AK859" i="4"/>
  <c r="AK857" i="4"/>
  <c r="AK855" i="4"/>
  <c r="AK853" i="4"/>
  <c r="AK851" i="4"/>
  <c r="AK849" i="4"/>
  <c r="AK847" i="4"/>
  <c r="AK845" i="4"/>
  <c r="AK843" i="4"/>
  <c r="AK841" i="4"/>
  <c r="AK839" i="4"/>
  <c r="AK837" i="4"/>
  <c r="AK917" i="4"/>
  <c r="AK829" i="4"/>
  <c r="AK823" i="4"/>
  <c r="AK809" i="4"/>
  <c r="AK804" i="4"/>
  <c r="AK791" i="4"/>
  <c r="AK780" i="4"/>
  <c r="AK767" i="4"/>
  <c r="AK765" i="4"/>
  <c r="AK763" i="4"/>
  <c r="AK761" i="4"/>
  <c r="AK759" i="4"/>
  <c r="AK757" i="4"/>
  <c r="AK755" i="4"/>
  <c r="AK753" i="4"/>
  <c r="AK751" i="4"/>
  <c r="AK749" i="4"/>
  <c r="AK747" i="4"/>
  <c r="AK745" i="4"/>
  <c r="AK743" i="4"/>
  <c r="AK741" i="4"/>
  <c r="AK739" i="4"/>
  <c r="AK737" i="4"/>
  <c r="AK735" i="4"/>
  <c r="AK733" i="4"/>
  <c r="AK731" i="4"/>
  <c r="AK729" i="4"/>
  <c r="AK727" i="4"/>
  <c r="AK725" i="4"/>
  <c r="AK723" i="4"/>
  <c r="AK721" i="4"/>
  <c r="AK719" i="4"/>
  <c r="AK717" i="4"/>
  <c r="AK715" i="4"/>
  <c r="AK713" i="4"/>
  <c r="AK711" i="4"/>
  <c r="AK709" i="4"/>
  <c r="AK707" i="4"/>
  <c r="AK705" i="4"/>
  <c r="AK703" i="4"/>
  <c r="AK701" i="4"/>
  <c r="AK699" i="4"/>
  <c r="AK697" i="4"/>
  <c r="AK695" i="4"/>
  <c r="AK693" i="4"/>
  <c r="AK691" i="4"/>
  <c r="AK689" i="4"/>
  <c r="AK687" i="4"/>
  <c r="AK685" i="4"/>
  <c r="AK683" i="4"/>
  <c r="AK681" i="4"/>
  <c r="AK679" i="4"/>
  <c r="AK677" i="4"/>
  <c r="AK675" i="4"/>
  <c r="AK673" i="4"/>
  <c r="AK671" i="4"/>
  <c r="AK669" i="4"/>
  <c r="AK667" i="4"/>
  <c r="AK665" i="4"/>
  <c r="AK663" i="4"/>
  <c r="AK661" i="4"/>
  <c r="AK659" i="4"/>
  <c r="AK657" i="4"/>
  <c r="AK655" i="4"/>
  <c r="AK653" i="4"/>
  <c r="AK651" i="4"/>
  <c r="AK649" i="4"/>
  <c r="AK647" i="4"/>
  <c r="AK645" i="4"/>
  <c r="AK643" i="4"/>
  <c r="AK641" i="4"/>
  <c r="AK639" i="4"/>
  <c r="AK637" i="4"/>
  <c r="AK635" i="4"/>
  <c r="AK633" i="4"/>
  <c r="AK631" i="4"/>
  <c r="AK629" i="4"/>
  <c r="AK627" i="4"/>
  <c r="AK625" i="4"/>
  <c r="AK623" i="4"/>
  <c r="AK621" i="4"/>
  <c r="AK619" i="4"/>
  <c r="AK617" i="4"/>
  <c r="AK615" i="4"/>
  <c r="AK613" i="4"/>
  <c r="AK611" i="4"/>
  <c r="AK609" i="4"/>
  <c r="AK607" i="4"/>
  <c r="AK605" i="4"/>
  <c r="AK603" i="4"/>
  <c r="AK601" i="4"/>
  <c r="AK599" i="4"/>
  <c r="AK597" i="4"/>
  <c r="AK595" i="4"/>
  <c r="AK593" i="4"/>
  <c r="AK591" i="4"/>
  <c r="AK589" i="4"/>
  <c r="AK793" i="4"/>
  <c r="AK782" i="4"/>
  <c r="AK769" i="4"/>
  <c r="AK835" i="4"/>
  <c r="AK817" i="4"/>
  <c r="AK795" i="4"/>
  <c r="AK784" i="4"/>
  <c r="AK771" i="4"/>
  <c r="AK909" i="4"/>
  <c r="AK811" i="4"/>
  <c r="AK797" i="4"/>
  <c r="AK786" i="4"/>
  <c r="AK773" i="4"/>
  <c r="AK949" i="4"/>
  <c r="AK827" i="4"/>
  <c r="AK821" i="4"/>
  <c r="AK799" i="4"/>
  <c r="AK788" i="4"/>
  <c r="AK775" i="4"/>
  <c r="AK941" i="4"/>
  <c r="AK833" i="4"/>
  <c r="AK801" i="4"/>
  <c r="AK790" i="4"/>
  <c r="AK777" i="4"/>
  <c r="AK901" i="4"/>
  <c r="AK813" i="4"/>
  <c r="AK803" i="4"/>
  <c r="AK792" i="4"/>
  <c r="AK779" i="4"/>
  <c r="AK768" i="4"/>
  <c r="AK766" i="4"/>
  <c r="AK764" i="4"/>
  <c r="AK762" i="4"/>
  <c r="AK760" i="4"/>
  <c r="AK758" i="4"/>
  <c r="AK756" i="4"/>
  <c r="AK754" i="4"/>
  <c r="AK752" i="4"/>
  <c r="AK750" i="4"/>
  <c r="AK748" i="4"/>
  <c r="AK746" i="4"/>
  <c r="AK744" i="4"/>
  <c r="AK742" i="4"/>
  <c r="AK740" i="4"/>
  <c r="AK738" i="4"/>
  <c r="AK736" i="4"/>
  <c r="AK734" i="4"/>
  <c r="AK732" i="4"/>
  <c r="AK730" i="4"/>
  <c r="AK728" i="4"/>
  <c r="AK726" i="4"/>
  <c r="AK724" i="4"/>
  <c r="AK722" i="4"/>
  <c r="AK720" i="4"/>
  <c r="AK718" i="4"/>
  <c r="AK716" i="4"/>
  <c r="AK714" i="4"/>
  <c r="AK712" i="4"/>
  <c r="AK710" i="4"/>
  <c r="AK708" i="4"/>
  <c r="AK706" i="4"/>
  <c r="AK704" i="4"/>
  <c r="AK702" i="4"/>
  <c r="AK700" i="4"/>
  <c r="AK698" i="4"/>
  <c r="AK696" i="4"/>
  <c r="AK694" i="4"/>
  <c r="AK692" i="4"/>
  <c r="AK690" i="4"/>
  <c r="AK688" i="4"/>
  <c r="AK686" i="4"/>
  <c r="AK684" i="4"/>
  <c r="AK682" i="4"/>
  <c r="AK680" i="4"/>
  <c r="AK678" i="4"/>
  <c r="AK676" i="4"/>
  <c r="AK674" i="4"/>
  <c r="AK672" i="4"/>
  <c r="AK670" i="4"/>
  <c r="AK668" i="4"/>
  <c r="AK666" i="4"/>
  <c r="AK664" i="4"/>
  <c r="AK805" i="4"/>
  <c r="AK794" i="4"/>
  <c r="AK781" i="4"/>
  <c r="AK770" i="4"/>
  <c r="AK929" i="4"/>
  <c r="AK831" i="4"/>
  <c r="AK825" i="4"/>
  <c r="AK796" i="4"/>
  <c r="AK783" i="4"/>
  <c r="AK772" i="4"/>
  <c r="AK893" i="4"/>
  <c r="AK819" i="4"/>
  <c r="AK815" i="4"/>
  <c r="AK807" i="4"/>
  <c r="AK798" i="4"/>
  <c r="AK785" i="4"/>
  <c r="AK774" i="4"/>
  <c r="AK800" i="4"/>
  <c r="AK787" i="4"/>
  <c r="AK776" i="4"/>
  <c r="AK802" i="4"/>
  <c r="AK658" i="4"/>
  <c r="AK646" i="4"/>
  <c r="AK622" i="4"/>
  <c r="AK598" i="4"/>
  <c r="AK648" i="4"/>
  <c r="AK624" i="4"/>
  <c r="AK600" i="4"/>
  <c r="AK587" i="4"/>
  <c r="AK585" i="4"/>
  <c r="AK583" i="4"/>
  <c r="AK581" i="4"/>
  <c r="AK579" i="4"/>
  <c r="AK577" i="4"/>
  <c r="AK575" i="4"/>
  <c r="AK573" i="4"/>
  <c r="AK571" i="4"/>
  <c r="AK569" i="4"/>
  <c r="AK567" i="4"/>
  <c r="AK565" i="4"/>
  <c r="AK563" i="4"/>
  <c r="AK561" i="4"/>
  <c r="AK650" i="4"/>
  <c r="AK626" i="4"/>
  <c r="AK602" i="4"/>
  <c r="AK652" i="4"/>
  <c r="AK628" i="4"/>
  <c r="AK604" i="4"/>
  <c r="AK660" i="4"/>
  <c r="AK630" i="4"/>
  <c r="AK606" i="4"/>
  <c r="AK654" i="4"/>
  <c r="AK632" i="4"/>
  <c r="AK608" i="4"/>
  <c r="AK789" i="4"/>
  <c r="AK634" i="4"/>
  <c r="AK610" i="4"/>
  <c r="AK636" i="4"/>
  <c r="AK612" i="4"/>
  <c r="AK588" i="4"/>
  <c r="AK586" i="4"/>
  <c r="AK584" i="4"/>
  <c r="AK582" i="4"/>
  <c r="AK580" i="4"/>
  <c r="AK578" i="4"/>
  <c r="AK576" i="4"/>
  <c r="AK574" i="4"/>
  <c r="AK572" i="4"/>
  <c r="AK570" i="4"/>
  <c r="AK568" i="4"/>
  <c r="AK656" i="4"/>
  <c r="AK638" i="4"/>
  <c r="AK614" i="4"/>
  <c r="AK590" i="4"/>
  <c r="AK662" i="4"/>
  <c r="AK640" i="4"/>
  <c r="AK616" i="4"/>
  <c r="AK592" i="4"/>
  <c r="AK642" i="4"/>
  <c r="AK618" i="4"/>
  <c r="AK594" i="4"/>
  <c r="AK550" i="4"/>
  <c r="AK538" i="4"/>
  <c r="AK526" i="4"/>
  <c r="AK514" i="4"/>
  <c r="AK500" i="4"/>
  <c r="AK778" i="4"/>
  <c r="AK557" i="4"/>
  <c r="AK545" i="4"/>
  <c r="AK533" i="4"/>
  <c r="AK521" i="4"/>
  <c r="AK509" i="4"/>
  <c r="AK502" i="4"/>
  <c r="AK596" i="4"/>
  <c r="AK566" i="4"/>
  <c r="AK552" i="4"/>
  <c r="AK540" i="4"/>
  <c r="AK528" i="4"/>
  <c r="AK516" i="4"/>
  <c r="AK504" i="4"/>
  <c r="AK620" i="4"/>
  <c r="AK547" i="4"/>
  <c r="AK535" i="4"/>
  <c r="AK523" i="4"/>
  <c r="AK511" i="4"/>
  <c r="AK495" i="4"/>
  <c r="AK493" i="4"/>
  <c r="AK491" i="4"/>
  <c r="AK489" i="4"/>
  <c r="AK487" i="4"/>
  <c r="AK485" i="4"/>
  <c r="AK483" i="4"/>
  <c r="AK481" i="4"/>
  <c r="AK479" i="4"/>
  <c r="AK477" i="4"/>
  <c r="AK475" i="4"/>
  <c r="AK473" i="4"/>
  <c r="AK471" i="4"/>
  <c r="AK469" i="4"/>
  <c r="AK467" i="4"/>
  <c r="AK465" i="4"/>
  <c r="AK463" i="4"/>
  <c r="AK461" i="4"/>
  <c r="AK459" i="4"/>
  <c r="AK457" i="4"/>
  <c r="AK455" i="4"/>
  <c r="AK453" i="4"/>
  <c r="AK451" i="4"/>
  <c r="AK449" i="4"/>
  <c r="AK447" i="4"/>
  <c r="AK445" i="4"/>
  <c r="AK443" i="4"/>
  <c r="AK441" i="4"/>
  <c r="AK439" i="4"/>
  <c r="AK437" i="4"/>
  <c r="AK435" i="4"/>
  <c r="AK433" i="4"/>
  <c r="AK431" i="4"/>
  <c r="AK429" i="4"/>
  <c r="AK427" i="4"/>
  <c r="AK425" i="4"/>
  <c r="AK423" i="4"/>
  <c r="AK421" i="4"/>
  <c r="AK419" i="4"/>
  <c r="AK417" i="4"/>
  <c r="AK415" i="4"/>
  <c r="AK413" i="4"/>
  <c r="AK644" i="4"/>
  <c r="AK562" i="4"/>
  <c r="AK559" i="4"/>
  <c r="AK554" i="4"/>
  <c r="AK542" i="4"/>
  <c r="AK530" i="4"/>
  <c r="AK518" i="4"/>
  <c r="AK506" i="4"/>
  <c r="AK497" i="4"/>
  <c r="AK549" i="4"/>
  <c r="AK537" i="4"/>
  <c r="AK525" i="4"/>
  <c r="AK513" i="4"/>
  <c r="AK499" i="4"/>
  <c r="AK556" i="4"/>
  <c r="AK544" i="4"/>
  <c r="AK532" i="4"/>
  <c r="AK520" i="4"/>
  <c r="AK508" i="4"/>
  <c r="AK501" i="4"/>
  <c r="AK551" i="4"/>
  <c r="AK539" i="4"/>
  <c r="AK527" i="4"/>
  <c r="AK515" i="4"/>
  <c r="AK503" i="4"/>
  <c r="AK558" i="4"/>
  <c r="AK546" i="4"/>
  <c r="AK534" i="4"/>
  <c r="AK522" i="4"/>
  <c r="AK510" i="4"/>
  <c r="AK564" i="4"/>
  <c r="AK553" i="4"/>
  <c r="AK541" i="4"/>
  <c r="AK529" i="4"/>
  <c r="AK517" i="4"/>
  <c r="AK505" i="4"/>
  <c r="AK494" i="4"/>
  <c r="AK492" i="4"/>
  <c r="AK490" i="4"/>
  <c r="AK488" i="4"/>
  <c r="AK486" i="4"/>
  <c r="AK484" i="4"/>
  <c r="AK482" i="4"/>
  <c r="AK480" i="4"/>
  <c r="AK478" i="4"/>
  <c r="AK476" i="4"/>
  <c r="AK474" i="4"/>
  <c r="AK472" i="4"/>
  <c r="AK470" i="4"/>
  <c r="AK468" i="4"/>
  <c r="AK466" i="4"/>
  <c r="AK464" i="4"/>
  <c r="AK462" i="4"/>
  <c r="AK460" i="4"/>
  <c r="AK458" i="4"/>
  <c r="AK456" i="4"/>
  <c r="AK454" i="4"/>
  <c r="AK452" i="4"/>
  <c r="AK450" i="4"/>
  <c r="AK448" i="4"/>
  <c r="AK446" i="4"/>
  <c r="AK444" i="4"/>
  <c r="AK442" i="4"/>
  <c r="AK440" i="4"/>
  <c r="AK438" i="4"/>
  <c r="AK436" i="4"/>
  <c r="AK434" i="4"/>
  <c r="AK432" i="4"/>
  <c r="AK430" i="4"/>
  <c r="AK428" i="4"/>
  <c r="AK548" i="4"/>
  <c r="AK536" i="4"/>
  <c r="AK524" i="4"/>
  <c r="AK512" i="4"/>
  <c r="AK496" i="4"/>
  <c r="AK519" i="4"/>
  <c r="AK426" i="4"/>
  <c r="AK416" i="4"/>
  <c r="AK394" i="4"/>
  <c r="AK382" i="4"/>
  <c r="AK364" i="4"/>
  <c r="AK353" i="4"/>
  <c r="AK340" i="4"/>
  <c r="AK420" i="4"/>
  <c r="AK407" i="4"/>
  <c r="AK399" i="4"/>
  <c r="AK389" i="4"/>
  <c r="AK377" i="4"/>
  <c r="AK366" i="4"/>
  <c r="AK355" i="4"/>
  <c r="AK342" i="4"/>
  <c r="AK543" i="4"/>
  <c r="AK412" i="4"/>
  <c r="AK404" i="4"/>
  <c r="AK396" i="4"/>
  <c r="AK384" i="4"/>
  <c r="AK368" i="4"/>
  <c r="AK357" i="4"/>
  <c r="AK344" i="4"/>
  <c r="AK391" i="4"/>
  <c r="AK379" i="4"/>
  <c r="AK370" i="4"/>
  <c r="AK359" i="4"/>
  <c r="AK346" i="4"/>
  <c r="AK424" i="4"/>
  <c r="AK409" i="4"/>
  <c r="AK401" i="4"/>
  <c r="AK386" i="4"/>
  <c r="AK372" i="4"/>
  <c r="AK361" i="4"/>
  <c r="AK348" i="4"/>
  <c r="AK507" i="4"/>
  <c r="AK406" i="4"/>
  <c r="AK398" i="4"/>
  <c r="AK393" i="4"/>
  <c r="AK381" i="4"/>
  <c r="AK374" i="4"/>
  <c r="AK363" i="4"/>
  <c r="AK350" i="4"/>
  <c r="AK339" i="4"/>
  <c r="AK337" i="4"/>
  <c r="AK335" i="4"/>
  <c r="AK333" i="4"/>
  <c r="AK331" i="4"/>
  <c r="AK329" i="4"/>
  <c r="AK327" i="4"/>
  <c r="AK325" i="4"/>
  <c r="AK323" i="4"/>
  <c r="AK321" i="4"/>
  <c r="AK319" i="4"/>
  <c r="AK317" i="4"/>
  <c r="AK315" i="4"/>
  <c r="AK313" i="4"/>
  <c r="AK311" i="4"/>
  <c r="AK309" i="4"/>
  <c r="AK307" i="4"/>
  <c r="AK305" i="4"/>
  <c r="AK303" i="4"/>
  <c r="AK301" i="4"/>
  <c r="AK299" i="4"/>
  <c r="AK297" i="4"/>
  <c r="AK295" i="4"/>
  <c r="AK293" i="4"/>
  <c r="AK291" i="4"/>
  <c r="AK289" i="4"/>
  <c r="AK287" i="4"/>
  <c r="AK285" i="4"/>
  <c r="AK283" i="4"/>
  <c r="AK281" i="4"/>
  <c r="AK279" i="4"/>
  <c r="AK277" i="4"/>
  <c r="AK275" i="4"/>
  <c r="AK273" i="4"/>
  <c r="AK271" i="4"/>
  <c r="AK269" i="4"/>
  <c r="AK267" i="4"/>
  <c r="AK418" i="4"/>
  <c r="AK388" i="4"/>
  <c r="AK376" i="4"/>
  <c r="AK365" i="4"/>
  <c r="AK352" i="4"/>
  <c r="AK341" i="4"/>
  <c r="AK560" i="4"/>
  <c r="AK531" i="4"/>
  <c r="AK414" i="4"/>
  <c r="AK411" i="4"/>
  <c r="AK403" i="4"/>
  <c r="AK395" i="4"/>
  <c r="AK383" i="4"/>
  <c r="AK367" i="4"/>
  <c r="AK354" i="4"/>
  <c r="AK343" i="4"/>
  <c r="AK422" i="4"/>
  <c r="AK408" i="4"/>
  <c r="AK400" i="4"/>
  <c r="AK390" i="4"/>
  <c r="AK378" i="4"/>
  <c r="AK369" i="4"/>
  <c r="AK356" i="4"/>
  <c r="AK345" i="4"/>
  <c r="AK405" i="4"/>
  <c r="AK397" i="4"/>
  <c r="AK392" i="4"/>
  <c r="AK380" i="4"/>
  <c r="AK373" i="4"/>
  <c r="AK360" i="4"/>
  <c r="AK349" i="4"/>
  <c r="AK555" i="4"/>
  <c r="AK347" i="4"/>
  <c r="AK226" i="4"/>
  <c r="AK223" i="4"/>
  <c r="AK215" i="4"/>
  <c r="AK207" i="4"/>
  <c r="AK199" i="4"/>
  <c r="AK191" i="4"/>
  <c r="AK183" i="4"/>
  <c r="AK168" i="4"/>
  <c r="AK159" i="4"/>
  <c r="AK102" i="4"/>
  <c r="AT26" i="4"/>
  <c r="AK402" i="4"/>
  <c r="AK387" i="4"/>
  <c r="AK334" i="4"/>
  <c r="AK322" i="4"/>
  <c r="AK310" i="4"/>
  <c r="AK298" i="4"/>
  <c r="AK286" i="4"/>
  <c r="AK274" i="4"/>
  <c r="AK265" i="4"/>
  <c r="AK259" i="4"/>
  <c r="AK253" i="4"/>
  <c r="AK248" i="4"/>
  <c r="AK244" i="4"/>
  <c r="AK240" i="4"/>
  <c r="AK236" i="4"/>
  <c r="AK229" i="4"/>
  <c r="AK175" i="4"/>
  <c r="AK161" i="4"/>
  <c r="AK148" i="4"/>
  <c r="AK146" i="4"/>
  <c r="AK144" i="4"/>
  <c r="AK142" i="4"/>
  <c r="AK140" i="4"/>
  <c r="AK138" i="4"/>
  <c r="AK136" i="4"/>
  <c r="AK134" i="4"/>
  <c r="AK132" i="4"/>
  <c r="AK130" i="4"/>
  <c r="AK128" i="4"/>
  <c r="AK126" i="4"/>
  <c r="AK124" i="4"/>
  <c r="AK122" i="4"/>
  <c r="AK120" i="4"/>
  <c r="AK118" i="4"/>
  <c r="AK116" i="4"/>
  <c r="AK113" i="4"/>
  <c r="AK110" i="4"/>
  <c r="AK107" i="4"/>
  <c r="AK103" i="4"/>
  <c r="AK93" i="4"/>
  <c r="AK90" i="4"/>
  <c r="AK87" i="4"/>
  <c r="AK84" i="4"/>
  <c r="AK81" i="4"/>
  <c r="AK385" i="4"/>
  <c r="AK371" i="4"/>
  <c r="AK358" i="4"/>
  <c r="AK220" i="4"/>
  <c r="AK212" i="4"/>
  <c r="AK204" i="4"/>
  <c r="AK196" i="4"/>
  <c r="AK188" i="4"/>
  <c r="AK180" i="4"/>
  <c r="AK170" i="4"/>
  <c r="AK163" i="4"/>
  <c r="AK150" i="4"/>
  <c r="AK104" i="4"/>
  <c r="AK97" i="4"/>
  <c r="AK332" i="4"/>
  <c r="AK320" i="4"/>
  <c r="AK308" i="4"/>
  <c r="AK296" i="4"/>
  <c r="AK284" i="4"/>
  <c r="AK272" i="4"/>
  <c r="AK264" i="4"/>
  <c r="AK258" i="4"/>
  <c r="AK252" i="4"/>
  <c r="AK247" i="4"/>
  <c r="AK243" i="4"/>
  <c r="AK239" i="4"/>
  <c r="AK232" i="4"/>
  <c r="AK225" i="4"/>
  <c r="AK217" i="4"/>
  <c r="AK209" i="4"/>
  <c r="AK201" i="4"/>
  <c r="AK193" i="4"/>
  <c r="AK185" i="4"/>
  <c r="AK177" i="4"/>
  <c r="AK165" i="4"/>
  <c r="AK152" i="4"/>
  <c r="AK498" i="4"/>
  <c r="AK235" i="4"/>
  <c r="AK172" i="4"/>
  <c r="AK154" i="4"/>
  <c r="AK330" i="4"/>
  <c r="AK318" i="4"/>
  <c r="AK306" i="4"/>
  <c r="AK294" i="4"/>
  <c r="AK282" i="4"/>
  <c r="AK270" i="4"/>
  <c r="AK263" i="4"/>
  <c r="AK257" i="4"/>
  <c r="AK251" i="4"/>
  <c r="AK228" i="4"/>
  <c r="AK222" i="4"/>
  <c r="AK214" i="4"/>
  <c r="AK206" i="4"/>
  <c r="AK198" i="4"/>
  <c r="AK190" i="4"/>
  <c r="AK182" i="4"/>
  <c r="AK167" i="4"/>
  <c r="AK156" i="4"/>
  <c r="AK114" i="4"/>
  <c r="AK111" i="4"/>
  <c r="AK108" i="4"/>
  <c r="AK105" i="4"/>
  <c r="AK98" i="4"/>
  <c r="AK231" i="4"/>
  <c r="AK219" i="4"/>
  <c r="AK211" i="4"/>
  <c r="AK203" i="4"/>
  <c r="AK195" i="4"/>
  <c r="AK187" i="4"/>
  <c r="AK179" i="4"/>
  <c r="AK174" i="4"/>
  <c r="AK158" i="4"/>
  <c r="AK410" i="4"/>
  <c r="AK328" i="4"/>
  <c r="AK316" i="4"/>
  <c r="AK304" i="4"/>
  <c r="AK292" i="4"/>
  <c r="AK280" i="4"/>
  <c r="AK262" i="4"/>
  <c r="AK256" i="4"/>
  <c r="AK250" i="4"/>
  <c r="AK246" i="4"/>
  <c r="AK242" i="4"/>
  <c r="AK238" i="4"/>
  <c r="AK169" i="4"/>
  <c r="AK160" i="4"/>
  <c r="AK149" i="4"/>
  <c r="AK147" i="4"/>
  <c r="AK145" i="4"/>
  <c r="AK143" i="4"/>
  <c r="AK141" i="4"/>
  <c r="AK139" i="4"/>
  <c r="AK137" i="4"/>
  <c r="AK135" i="4"/>
  <c r="AK133" i="4"/>
  <c r="AK131" i="4"/>
  <c r="AK129" i="4"/>
  <c r="AK127" i="4"/>
  <c r="AK125" i="4"/>
  <c r="AK123" i="4"/>
  <c r="AK121" i="4"/>
  <c r="AK119" i="4"/>
  <c r="AK117" i="4"/>
  <c r="AK268" i="4"/>
  <c r="AK234" i="4"/>
  <c r="AK227" i="4"/>
  <c r="AK224" i="4"/>
  <c r="AK216" i="4"/>
  <c r="AK208" i="4"/>
  <c r="AK200" i="4"/>
  <c r="AK192" i="4"/>
  <c r="AK184" i="4"/>
  <c r="AK176" i="4"/>
  <c r="AK162" i="4"/>
  <c r="AK151" i="4"/>
  <c r="AK99" i="4"/>
  <c r="AK95" i="4"/>
  <c r="AK351" i="4"/>
  <c r="AK338" i="4"/>
  <c r="AK326" i="4"/>
  <c r="AK314" i="4"/>
  <c r="AK302" i="4"/>
  <c r="AK290" i="4"/>
  <c r="AK278" i="4"/>
  <c r="AK261" i="4"/>
  <c r="AK255" i="4"/>
  <c r="AK249" i="4"/>
  <c r="AK245" i="4"/>
  <c r="AK241" i="4"/>
  <c r="AK237" i="4"/>
  <c r="AK221" i="4"/>
  <c r="AK213" i="4"/>
  <c r="AK230" i="4"/>
  <c r="AK166" i="4"/>
  <c r="AK155" i="4"/>
  <c r="AK100" i="4"/>
  <c r="U12" i="4"/>
  <c r="C14" i="4"/>
  <c r="C16" i="4"/>
  <c r="BJ16" i="4"/>
  <c r="C19" i="4"/>
  <c r="BJ19" i="4"/>
  <c r="C22" i="4"/>
  <c r="BJ22" i="4"/>
  <c r="M27" i="4"/>
  <c r="AT27" i="4"/>
  <c r="BA28" i="4"/>
  <c r="C31" i="4"/>
  <c r="C33" i="4"/>
  <c r="C35" i="4"/>
  <c r="C37" i="4"/>
  <c r="C39" i="4"/>
  <c r="C41" i="4"/>
  <c r="C43" i="4"/>
  <c r="C45" i="4"/>
  <c r="C47" i="4"/>
  <c r="C49" i="4"/>
  <c r="C51" i="4"/>
  <c r="C53" i="4"/>
  <c r="C55" i="4"/>
  <c r="C57" i="4"/>
  <c r="C59" i="4"/>
  <c r="C61" i="4"/>
  <c r="C63" i="4"/>
  <c r="C65" i="4"/>
  <c r="C67" i="4"/>
  <c r="C69" i="4"/>
  <c r="C71" i="4"/>
  <c r="C73" i="4"/>
  <c r="C75" i="4"/>
  <c r="C77" i="4"/>
  <c r="C79" i="4"/>
  <c r="C81" i="4"/>
  <c r="AK85" i="4"/>
  <c r="BA90" i="4"/>
  <c r="AK94" i="4"/>
  <c r="BA107" i="4"/>
  <c r="BA116" i="4"/>
  <c r="BA128" i="4"/>
  <c r="BA140" i="4"/>
  <c r="U153" i="4"/>
  <c r="BA215" i="4"/>
  <c r="AK260" i="4"/>
  <c r="U405" i="4"/>
  <c r="BA130" i="4"/>
  <c r="BA142" i="4"/>
  <c r="BA183" i="4"/>
  <c r="BA199" i="4"/>
  <c r="BA155" i="4"/>
  <c r="AK12" i="4"/>
  <c r="AT15" i="4"/>
  <c r="BA17" i="4"/>
  <c r="AT18" i="4"/>
  <c r="BA20" i="4"/>
  <c r="AT21" i="4"/>
  <c r="BA23" i="4"/>
  <c r="AT24" i="4"/>
  <c r="AT25" i="4"/>
  <c r="M26" i="4"/>
  <c r="U33" i="4"/>
  <c r="U35" i="4"/>
  <c r="U39" i="4"/>
  <c r="U41" i="4"/>
  <c r="U45" i="4"/>
  <c r="U47" i="4"/>
  <c r="U51" i="4"/>
  <c r="U53" i="4"/>
  <c r="U57" i="4"/>
  <c r="U59" i="4"/>
  <c r="U63" i="4"/>
  <c r="U65" i="4"/>
  <c r="U69" i="4"/>
  <c r="U71" i="4"/>
  <c r="U75" i="4"/>
  <c r="U77" i="4"/>
  <c r="U81" i="4"/>
  <c r="AK83" i="4"/>
  <c r="BA85" i="4"/>
  <c r="U88" i="4"/>
  <c r="C91" i="4"/>
  <c r="C108" i="4"/>
  <c r="U117" i="4"/>
  <c r="U129" i="4"/>
  <c r="U141" i="4"/>
  <c r="AK153" i="4"/>
  <c r="AK181" i="4"/>
  <c r="AK197" i="4"/>
  <c r="AK218" i="4"/>
  <c r="AK266" i="4"/>
  <c r="U427" i="4"/>
  <c r="AT32" i="4" l="1"/>
  <c r="AV18" i="4" s="1"/>
  <c r="BL17" i="4"/>
  <c r="AF24" i="4"/>
  <c r="BJ99" i="4"/>
  <c r="BJ100" i="4"/>
  <c r="BJ101" i="4"/>
  <c r="BJ102" i="4"/>
  <c r="BH6" i="4"/>
  <c r="BJ103" i="4"/>
  <c r="BH5" i="4"/>
  <c r="BD15" i="4" s="1"/>
  <c r="AS103" i="4"/>
  <c r="AS99" i="4"/>
  <c r="AS101" i="4"/>
  <c r="AS100" i="4"/>
  <c r="AQ6" i="4"/>
  <c r="AQ5" i="4"/>
  <c r="AN15" i="4" s="1"/>
  <c r="AS102" i="4"/>
  <c r="AC96" i="4"/>
  <c r="AC97" i="4"/>
  <c r="AC98" i="4"/>
  <c r="AC99" i="4"/>
  <c r="AC95" i="4"/>
  <c r="AB6" i="4"/>
  <c r="AB7" i="4" s="1"/>
  <c r="AB5" i="4"/>
  <c r="X15" i="4" s="1"/>
  <c r="L101" i="4"/>
  <c r="L102" i="4"/>
  <c r="L103" i="4"/>
  <c r="L104" i="4"/>
  <c r="J6" i="4"/>
  <c r="L105" i="4"/>
  <c r="J5" i="4"/>
  <c r="G15" i="4" s="1"/>
  <c r="BL23" i="4" l="1"/>
  <c r="BL21" i="4"/>
  <c r="BL27" i="4"/>
  <c r="AV28" i="4"/>
  <c r="AV30" i="4"/>
  <c r="AV29" i="4"/>
  <c r="AF19" i="4"/>
  <c r="AF27" i="4"/>
  <c r="AF25" i="4"/>
  <c r="AF22" i="4"/>
  <c r="AF16" i="4"/>
  <c r="AF21" i="4"/>
  <c r="O27" i="4"/>
  <c r="O29" i="4"/>
  <c r="O28" i="4"/>
  <c r="O26" i="4"/>
  <c r="O18" i="4"/>
  <c r="O20" i="4"/>
  <c r="J7" i="4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AF15" i="4"/>
  <c r="O15" i="4"/>
  <c r="AV24" i="4"/>
  <c r="AV23" i="4"/>
  <c r="AV22" i="4"/>
  <c r="AV25" i="4"/>
  <c r="AV15" i="4"/>
  <c r="AV26" i="4"/>
  <c r="AV21" i="4"/>
  <c r="X16" i="4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O23" i="4"/>
  <c r="BL19" i="4"/>
  <c r="AF20" i="4"/>
  <c r="AF17" i="4"/>
  <c r="AF23" i="4"/>
  <c r="BL26" i="4"/>
  <c r="O17" i="4"/>
  <c r="AQ7" i="4"/>
  <c r="AN16" i="4" s="1"/>
  <c r="AN17" i="4" s="1"/>
  <c r="AN18" i="4" s="1"/>
  <c r="AN19" i="4" s="1"/>
  <c r="AN20" i="4" s="1"/>
  <c r="AN21" i="4" s="1"/>
  <c r="AN22" i="4" s="1"/>
  <c r="AN23" i="4" s="1"/>
  <c r="AN24" i="4" s="1"/>
  <c r="AN25" i="4" s="1"/>
  <c r="AN26" i="4" s="1"/>
  <c r="AN27" i="4" s="1"/>
  <c r="BL25" i="4"/>
  <c r="BL15" i="4"/>
  <c r="O21" i="4"/>
  <c r="O24" i="4"/>
  <c r="AF18" i="4"/>
  <c r="BL24" i="4"/>
  <c r="AF26" i="4"/>
  <c r="O22" i="4"/>
  <c r="O16" i="4"/>
  <c r="O19" i="4"/>
  <c r="BL16" i="4"/>
  <c r="AV16" i="4"/>
  <c r="AV17" i="4"/>
  <c r="AV19" i="4"/>
  <c r="AV20" i="4"/>
  <c r="BL20" i="4"/>
  <c r="BL22" i="4"/>
  <c r="BL18" i="4"/>
  <c r="O25" i="4"/>
  <c r="BD16" i="4"/>
  <c r="BD17" i="4" s="1"/>
  <c r="BD18" i="4" s="1"/>
  <c r="BD19" i="4" s="1"/>
  <c r="BD20" i="4" s="1"/>
  <c r="BD21" i="4" s="1"/>
  <c r="BD22" i="4" s="1"/>
  <c r="BD23" i="4" s="1"/>
  <c r="BD24" i="4" s="1"/>
  <c r="BD25" i="4" s="1"/>
  <c r="BD26" i="4" s="1"/>
  <c r="BD27" i="4" s="1"/>
  <c r="BD28" i="4" s="1"/>
  <c r="BD29" i="4" s="1"/>
  <c r="BD30" i="4" s="1"/>
  <c r="BD31" i="4" s="1"/>
  <c r="AV27" i="4"/>
  <c r="BL32" i="4" l="1"/>
  <c r="AV32" i="4"/>
  <c r="AF32" i="4"/>
  <c r="B13" i="3" l="1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I31" i="3"/>
  <c r="G42" i="3"/>
  <c r="H40" i="3" s="1"/>
  <c r="I30" i="3"/>
  <c r="S48" i="1"/>
  <c r="S47" i="1"/>
  <c r="S46" i="1"/>
  <c r="S45" i="1"/>
  <c r="S44" i="1"/>
  <c r="S48" i="2"/>
  <c r="S47" i="2"/>
  <c r="S46" i="2"/>
  <c r="S45" i="2"/>
  <c r="S44" i="2"/>
  <c r="G6" i="2"/>
  <c r="G7" i="2"/>
  <c r="C6" i="2"/>
  <c r="I30" i="2" s="1"/>
  <c r="G42" i="2"/>
  <c r="H40" i="2" s="1"/>
  <c r="K38" i="1"/>
  <c r="K39" i="1"/>
  <c r="K40" i="1"/>
  <c r="I45" i="1"/>
  <c r="K41" i="1" s="1"/>
  <c r="G45" i="1"/>
  <c r="E29" i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G7" i="1"/>
  <c r="G6" i="1"/>
  <c r="E30" i="2" l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I29" i="2"/>
  <c r="I39" i="2"/>
  <c r="I38" i="2"/>
  <c r="I37" i="2"/>
  <c r="I36" i="2"/>
  <c r="I40" i="2"/>
  <c r="I35" i="2"/>
  <c r="I34" i="2"/>
  <c r="I33" i="2"/>
  <c r="I32" i="2"/>
  <c r="I31" i="2"/>
  <c r="H32" i="3"/>
  <c r="H33" i="3"/>
  <c r="H34" i="3"/>
  <c r="H35" i="3"/>
  <c r="H31" i="3"/>
  <c r="H36" i="3"/>
  <c r="H30" i="3"/>
  <c r="H37" i="3"/>
  <c r="H38" i="3"/>
  <c r="H39" i="3"/>
  <c r="H29" i="3"/>
  <c r="S45" i="3"/>
  <c r="G6" i="3"/>
  <c r="G7" i="3"/>
  <c r="S44" i="3"/>
  <c r="S46" i="3"/>
  <c r="S47" i="3"/>
  <c r="S48" i="3"/>
  <c r="I40" i="3"/>
  <c r="I38" i="3"/>
  <c r="I37" i="3"/>
  <c r="I36" i="3"/>
  <c r="I35" i="3"/>
  <c r="I34" i="3"/>
  <c r="I39" i="3"/>
  <c r="I33" i="3"/>
  <c r="I32" i="3"/>
  <c r="I29" i="3"/>
  <c r="H29" i="2"/>
  <c r="H37" i="2"/>
  <c r="H34" i="2"/>
  <c r="H35" i="2"/>
  <c r="H31" i="2"/>
  <c r="H38" i="2"/>
  <c r="H32" i="2"/>
  <c r="H30" i="2"/>
  <c r="H33" i="2"/>
  <c r="H36" i="2"/>
  <c r="H39" i="2"/>
  <c r="K35" i="1"/>
  <c r="K34" i="1"/>
  <c r="K33" i="1"/>
  <c r="K37" i="1"/>
  <c r="K32" i="1"/>
  <c r="K43" i="1"/>
  <c r="K31" i="1"/>
  <c r="K36" i="1"/>
  <c r="K42" i="1"/>
  <c r="K30" i="1"/>
  <c r="H40" i="1"/>
  <c r="H39" i="1"/>
  <c r="H38" i="1"/>
  <c r="H31" i="1"/>
  <c r="H41" i="1"/>
  <c r="H37" i="1"/>
  <c r="H42" i="1"/>
  <c r="H36" i="1"/>
  <c r="H30" i="1"/>
  <c r="J30" i="1" s="1"/>
  <c r="J31" i="1" s="1"/>
  <c r="J32" i="1" s="1"/>
  <c r="H35" i="1"/>
  <c r="H43" i="1"/>
  <c r="H34" i="1"/>
  <c r="H33" i="1"/>
  <c r="H32" i="1"/>
  <c r="E29" i="3" l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I42" i="2"/>
  <c r="H42" i="3"/>
  <c r="J29" i="3"/>
  <c r="I42" i="3"/>
  <c r="K38" i="3" s="1"/>
  <c r="H42" i="2"/>
  <c r="J30" i="2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K45" i="1"/>
  <c r="J33" i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H45" i="1"/>
  <c r="K40" i="2" l="1"/>
  <c r="K39" i="2"/>
  <c r="K36" i="2"/>
  <c r="K30" i="2"/>
  <c r="K33" i="2"/>
  <c r="K32" i="2"/>
  <c r="K38" i="2"/>
  <c r="K37" i="2"/>
  <c r="K35" i="2"/>
  <c r="K34" i="2"/>
  <c r="K31" i="2"/>
  <c r="J30" i="3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K40" i="3"/>
  <c r="K32" i="3"/>
  <c r="K36" i="3"/>
  <c r="K35" i="3"/>
  <c r="K30" i="3"/>
  <c r="K37" i="3"/>
  <c r="K31" i="3"/>
  <c r="K39" i="3"/>
  <c r="K34" i="3"/>
  <c r="K33" i="3"/>
  <c r="J42" i="2"/>
  <c r="J45" i="1"/>
  <c r="K42" i="2" l="1"/>
  <c r="J42" i="3"/>
  <c r="K42" i="3"/>
</calcChain>
</file>

<file path=xl/sharedStrings.xml><?xml version="1.0" encoding="utf-8"?>
<sst xmlns="http://schemas.openxmlformats.org/spreadsheetml/2006/main" count="210" uniqueCount="57">
  <si>
    <t>Параметры распределения</t>
  </si>
  <si>
    <t>Выборка</t>
  </si>
  <si>
    <t>k</t>
  </si>
  <si>
    <t>x</t>
  </si>
  <si>
    <t>Гистограмма распределения вероятностей</t>
  </si>
  <si>
    <t>Карманы</t>
  </si>
  <si>
    <t>Карман</t>
  </si>
  <si>
    <t>Частота</t>
  </si>
  <si>
    <t>Еще</t>
  </si>
  <si>
    <t>Отн.частота</t>
  </si>
  <si>
    <t>Теор.</t>
  </si>
  <si>
    <t>F(x)</t>
  </si>
  <si>
    <t>Выборочные оценки статистических характеристик</t>
  </si>
  <si>
    <t>Математическое ожидание (МО)</t>
  </si>
  <si>
    <t>Среднеквадратичное отклонение (СКО)</t>
  </si>
  <si>
    <t>Дисперсия</t>
  </si>
  <si>
    <t>Ассиметрия</t>
  </si>
  <si>
    <t>Эксцесс</t>
  </si>
  <si>
    <t>от a</t>
  </si>
  <si>
    <t>до b</t>
  </si>
  <si>
    <t>Объем выборки К=</t>
  </si>
  <si>
    <t>мин=</t>
  </si>
  <si>
    <t>макс=</t>
  </si>
  <si>
    <t>карман=</t>
  </si>
  <si>
    <t>число карманов=</t>
  </si>
  <si>
    <t>№</t>
  </si>
  <si>
    <t>Всего=</t>
  </si>
  <si>
    <t>Плотность</t>
  </si>
  <si>
    <t>Станд.Отклонение=</t>
  </si>
  <si>
    <t>Среднее (мат. ож) =</t>
  </si>
  <si>
    <t>α параметр масшт =</t>
  </si>
  <si>
    <t>β параметр масшт =</t>
  </si>
  <si>
    <t>Норм. Расп.</t>
  </si>
  <si>
    <t>Гамма распр.</t>
  </si>
  <si>
    <t>Сл.чис.</t>
  </si>
  <si>
    <r>
      <t>Задание 1.2.1 (Равномерное).</t>
    </r>
    <r>
      <rPr>
        <sz val="11"/>
        <color rgb="FFFF0000"/>
        <rFont val="Aptos Narrow"/>
        <family val="2"/>
        <scheme val="minor"/>
      </rPr>
      <t xml:space="preserve"> Вариант 2276</t>
    </r>
  </si>
  <si>
    <r>
      <t>Задание 1.2.2 (Нормальное).</t>
    </r>
    <r>
      <rPr>
        <sz val="11"/>
        <color rgb="FFFF0000"/>
        <rFont val="Aptos Narrow"/>
        <family val="2"/>
        <scheme val="minor"/>
      </rPr>
      <t xml:space="preserve"> Вариант 2276</t>
    </r>
  </si>
  <si>
    <t>Задание 1.2.2 (Бета)</t>
  </si>
  <si>
    <t>Вариант</t>
  </si>
  <si>
    <t xml:space="preserve"> a=</t>
  </si>
  <si>
    <t>[3; 7]</t>
  </si>
  <si>
    <t>a=1</t>
  </si>
  <si>
    <t xml:space="preserve"> b=</t>
  </si>
  <si>
    <t>a=b</t>
  </si>
  <si>
    <t>b=a*4</t>
  </si>
  <si>
    <t>b=1</t>
  </si>
  <si>
    <t>карман</t>
  </si>
  <si>
    <t>число карм=</t>
  </si>
  <si>
    <t>объем выборки k=</t>
  </si>
  <si>
    <t>[100; 200]</t>
  </si>
  <si>
    <t>Сл.ч [0;1]</t>
  </si>
  <si>
    <t>Гистограмма и распределение вероятностей</t>
  </si>
  <si>
    <t>Отн. частота</t>
  </si>
  <si>
    <t>Норм. Те</t>
  </si>
  <si>
    <t>Сумма</t>
  </si>
  <si>
    <t>Математическое ожидание (М0)</t>
  </si>
  <si>
    <r>
      <t>Задание 1.2.3 (Гамма-распределение).</t>
    </r>
    <r>
      <rPr>
        <sz val="11"/>
        <color rgb="FFFF0000"/>
        <rFont val="Aptos Narrow"/>
        <family val="2"/>
        <scheme val="minor"/>
      </rPr>
      <t xml:space="preserve"> Вариант 2276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</si>
</sst>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theme="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" fontId="0" fillId="0" borderId="0" xfId="0" applyNumberFormat="1"/>
    <xf numFmtId="1" fontId="0" fillId="4" borderId="0" xfId="0" applyNumberFormat="1" applyFill="1"/>
    <xf numFmtId="0" fontId="2" fillId="2" borderId="0" xfId="0" applyFont="1" applyFill="1" applyAlignment="1"/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/>
    <xf numFmtId="1" fontId="0" fillId="4" borderId="0" xfId="0" applyNumberForma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  <xf numFmtId="0" fontId="4" fillId="0" borderId="0" xfId="0" applyFont="1"/>
    <xf numFmtId="164" fontId="0" fillId="0" borderId="3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165" fontId="0" fillId="0" borderId="3" xfId="0" applyNumberFormat="1" applyBorder="1"/>
    <xf numFmtId="1" fontId="0" fillId="4" borderId="3" xfId="0" applyNumberFormat="1" applyFill="1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2" borderId="4" xfId="0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025371828521437E-2"/>
          <c:y val="0.16708333333333336"/>
          <c:w val="0.88397462817147854"/>
          <c:h val="0.702739501312336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'1.2.1 Равномерное'!$A$12:$A$133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'1.2.1 Равномерное'!$B$12:$B$133</c:f>
              <c:numCache>
                <c:formatCode>General</c:formatCode>
                <c:ptCount val="122"/>
                <c:pt idx="0">
                  <c:v>25.324076052125612</c:v>
                </c:pt>
                <c:pt idx="1">
                  <c:v>33.637684255500957</c:v>
                </c:pt>
                <c:pt idx="2">
                  <c:v>41.886562700277722</c:v>
                </c:pt>
                <c:pt idx="3">
                  <c:v>21.865199743644521</c:v>
                </c:pt>
                <c:pt idx="4">
                  <c:v>38.372569963682977</c:v>
                </c:pt>
                <c:pt idx="5">
                  <c:v>29.151463362529377</c:v>
                </c:pt>
                <c:pt idx="6">
                  <c:v>28.519547105319376</c:v>
                </c:pt>
                <c:pt idx="7">
                  <c:v>36.990813928647725</c:v>
                </c:pt>
                <c:pt idx="8">
                  <c:v>27.275582140568254</c:v>
                </c:pt>
                <c:pt idx="9">
                  <c:v>39.543473616748557</c:v>
                </c:pt>
                <c:pt idx="10">
                  <c:v>36.220465712454605</c:v>
                </c:pt>
                <c:pt idx="11">
                  <c:v>28.71181371501816</c:v>
                </c:pt>
                <c:pt idx="12">
                  <c:v>33.277504806665242</c:v>
                </c:pt>
                <c:pt idx="13">
                  <c:v>22.138859218115787</c:v>
                </c:pt>
                <c:pt idx="14">
                  <c:v>23.341166417432174</c:v>
                </c:pt>
                <c:pt idx="15">
                  <c:v>32.484084597308268</c:v>
                </c:pt>
                <c:pt idx="16">
                  <c:v>39.967741935483872</c:v>
                </c:pt>
                <c:pt idx="17">
                  <c:v>39.797265541550949</c:v>
                </c:pt>
                <c:pt idx="18">
                  <c:v>22.92458876308481</c:v>
                </c:pt>
                <c:pt idx="19">
                  <c:v>29.830164494766073</c:v>
                </c:pt>
                <c:pt idx="20">
                  <c:v>39.340311899166849</c:v>
                </c:pt>
                <c:pt idx="21">
                  <c:v>23.359111301004059</c:v>
                </c:pt>
                <c:pt idx="22">
                  <c:v>28.474684896389661</c:v>
                </c:pt>
                <c:pt idx="23">
                  <c:v>41.640461439863273</c:v>
                </c:pt>
                <c:pt idx="24">
                  <c:v>38.007904293954283</c:v>
                </c:pt>
                <c:pt idx="25">
                  <c:v>28.628498184148686</c:v>
                </c:pt>
                <c:pt idx="26">
                  <c:v>34.158085879085661</c:v>
                </c:pt>
                <c:pt idx="27">
                  <c:v>31.204229865413375</c:v>
                </c:pt>
                <c:pt idx="28">
                  <c:v>25.236274300363171</c:v>
                </c:pt>
                <c:pt idx="29">
                  <c:v>40.897671437726984</c:v>
                </c:pt>
                <c:pt idx="30">
                  <c:v>25.327280495620592</c:v>
                </c:pt>
                <c:pt idx="31">
                  <c:v>40.256141850032044</c:v>
                </c:pt>
                <c:pt idx="32">
                  <c:v>39.943388164922027</c:v>
                </c:pt>
                <c:pt idx="33">
                  <c:v>28.570818201239053</c:v>
                </c:pt>
                <c:pt idx="34">
                  <c:v>40.79192480239265</c:v>
                </c:pt>
                <c:pt idx="35">
                  <c:v>25.798974578081605</c:v>
                </c:pt>
                <c:pt idx="36">
                  <c:v>22.327280495620595</c:v>
                </c:pt>
                <c:pt idx="37">
                  <c:v>33.906857509079259</c:v>
                </c:pt>
                <c:pt idx="38">
                  <c:v>39.717795342875455</c:v>
                </c:pt>
                <c:pt idx="39">
                  <c:v>31.01837214270455</c:v>
                </c:pt>
                <c:pt idx="40">
                  <c:v>28.281136509292885</c:v>
                </c:pt>
                <c:pt idx="41">
                  <c:v>36.402478102969454</c:v>
                </c:pt>
                <c:pt idx="42">
                  <c:v>30.588976714377271</c:v>
                </c:pt>
                <c:pt idx="43">
                  <c:v>32.031617175817132</c:v>
                </c:pt>
                <c:pt idx="44">
                  <c:v>30.24161503952147</c:v>
                </c:pt>
                <c:pt idx="45">
                  <c:v>27.8684041871395</c:v>
                </c:pt>
                <c:pt idx="46">
                  <c:v>27.116000854518266</c:v>
                </c:pt>
                <c:pt idx="47">
                  <c:v>30.787011322367015</c:v>
                </c:pt>
                <c:pt idx="48">
                  <c:v>29.634693441572313</c:v>
                </c:pt>
                <c:pt idx="49">
                  <c:v>34.712454603717156</c:v>
                </c:pt>
                <c:pt idx="50">
                  <c:v>36.506302072206793</c:v>
                </c:pt>
                <c:pt idx="51">
                  <c:v>29.868617816705832</c:v>
                </c:pt>
                <c:pt idx="52">
                  <c:v>40.579790643024992</c:v>
                </c:pt>
                <c:pt idx="53">
                  <c:v>22.466353343302714</c:v>
                </c:pt>
                <c:pt idx="54">
                  <c:v>23.005981627857295</c:v>
                </c:pt>
                <c:pt idx="55">
                  <c:v>39.505020294808801</c:v>
                </c:pt>
                <c:pt idx="56">
                  <c:v>39.989532151249733</c:v>
                </c:pt>
                <c:pt idx="57">
                  <c:v>27.092928861354412</c:v>
                </c:pt>
                <c:pt idx="58">
                  <c:v>31.114505447553942</c:v>
                </c:pt>
                <c:pt idx="59">
                  <c:v>25.550950651570176</c:v>
                </c:pt>
                <c:pt idx="60">
                  <c:v>31.748344370860927</c:v>
                </c:pt>
                <c:pt idx="61">
                  <c:v>28.092074343089084</c:v>
                </c:pt>
                <c:pt idx="62">
                  <c:v>33.374279000213633</c:v>
                </c:pt>
                <c:pt idx="63">
                  <c:v>32.735312967314677</c:v>
                </c:pt>
                <c:pt idx="64">
                  <c:v>26.100192266609699</c:v>
                </c:pt>
                <c:pt idx="65">
                  <c:v>33.954283272804958</c:v>
                </c:pt>
                <c:pt idx="66">
                  <c:v>23.153386028626361</c:v>
                </c:pt>
                <c:pt idx="67">
                  <c:v>34.940610980559711</c:v>
                </c:pt>
                <c:pt idx="68">
                  <c:v>39.919675283059178</c:v>
                </c:pt>
                <c:pt idx="69">
                  <c:v>41.973723563341167</c:v>
                </c:pt>
                <c:pt idx="70">
                  <c:v>22.32023071993164</c:v>
                </c:pt>
                <c:pt idx="71">
                  <c:v>40.81820123905149</c:v>
                </c:pt>
                <c:pt idx="72">
                  <c:v>24.010895107882931</c:v>
                </c:pt>
                <c:pt idx="73">
                  <c:v>27.967741935483872</c:v>
                </c:pt>
                <c:pt idx="74">
                  <c:v>41.209143345439003</c:v>
                </c:pt>
                <c:pt idx="75">
                  <c:v>27.491561632129887</c:v>
                </c:pt>
                <c:pt idx="76">
                  <c:v>33.106387524033323</c:v>
                </c:pt>
                <c:pt idx="77">
                  <c:v>26.928220465712457</c:v>
                </c:pt>
                <c:pt idx="78">
                  <c:v>38.800683614612261</c:v>
                </c:pt>
                <c:pt idx="79">
                  <c:v>41.659047212134155</c:v>
                </c:pt>
                <c:pt idx="80">
                  <c:v>40.697714163640249</c:v>
                </c:pt>
                <c:pt idx="81">
                  <c:v>40.131809442426828</c:v>
                </c:pt>
                <c:pt idx="82">
                  <c:v>25.508651997436445</c:v>
                </c:pt>
                <c:pt idx="83">
                  <c:v>40.84960478530229</c:v>
                </c:pt>
                <c:pt idx="84">
                  <c:v>29.377056184575945</c:v>
                </c:pt>
                <c:pt idx="85">
                  <c:v>39.74535355693228</c:v>
                </c:pt>
                <c:pt idx="86">
                  <c:v>41.486007263405256</c:v>
                </c:pt>
                <c:pt idx="87">
                  <c:v>24.136509292886135</c:v>
                </c:pt>
                <c:pt idx="88">
                  <c:v>31.836787011322365</c:v>
                </c:pt>
                <c:pt idx="89">
                  <c:v>37.461867122409743</c:v>
                </c:pt>
                <c:pt idx="90">
                  <c:v>26.851313821832942</c:v>
                </c:pt>
                <c:pt idx="91">
                  <c:v>25.073488570818203</c:v>
                </c:pt>
                <c:pt idx="92">
                  <c:v>39.181371501815853</c:v>
                </c:pt>
                <c:pt idx="93">
                  <c:v>26.184789574877165</c:v>
                </c:pt>
                <c:pt idx="94">
                  <c:v>30.753044221320231</c:v>
                </c:pt>
                <c:pt idx="95">
                  <c:v>33.141636402478099</c:v>
                </c:pt>
                <c:pt idx="96">
                  <c:v>39.705618457594532</c:v>
                </c:pt>
                <c:pt idx="97">
                  <c:v>34.30869472334971</c:v>
                </c:pt>
                <c:pt idx="98">
                  <c:v>40.658619953001498</c:v>
                </c:pt>
                <c:pt idx="99">
                  <c:v>25.485580004272592</c:v>
                </c:pt>
                <c:pt idx="100">
                  <c:v>41.811578722495199</c:v>
                </c:pt>
                <c:pt idx="101">
                  <c:v>38.610980559709461</c:v>
                </c:pt>
                <c:pt idx="102">
                  <c:v>25.797692800683613</c:v>
                </c:pt>
                <c:pt idx="103">
                  <c:v>28.229865413373211</c:v>
                </c:pt>
                <c:pt idx="104">
                  <c:v>29.194402905362104</c:v>
                </c:pt>
                <c:pt idx="105">
                  <c:v>38.300149540696431</c:v>
                </c:pt>
                <c:pt idx="106">
                  <c:v>22.146549882503738</c:v>
                </c:pt>
                <c:pt idx="107">
                  <c:v>32.139286477248447</c:v>
                </c:pt>
                <c:pt idx="108">
                  <c:v>37.98162785729545</c:v>
                </c:pt>
                <c:pt idx="109">
                  <c:v>36.242255928220466</c:v>
                </c:pt>
                <c:pt idx="110">
                  <c:v>33.872249519333479</c:v>
                </c:pt>
                <c:pt idx="111">
                  <c:v>38.91668446913053</c:v>
                </c:pt>
                <c:pt idx="112">
                  <c:v>30.954924161503953</c:v>
                </c:pt>
                <c:pt idx="113">
                  <c:v>40.904080324716944</c:v>
                </c:pt>
                <c:pt idx="114">
                  <c:v>40.632343516342658</c:v>
                </c:pt>
                <c:pt idx="115">
                  <c:v>41.921811578722497</c:v>
                </c:pt>
                <c:pt idx="116">
                  <c:v>31.53621021149327</c:v>
                </c:pt>
                <c:pt idx="117">
                  <c:v>24.033326212347788</c:v>
                </c:pt>
                <c:pt idx="118">
                  <c:v>32.64879299295022</c:v>
                </c:pt>
                <c:pt idx="119">
                  <c:v>28.578508865627004</c:v>
                </c:pt>
                <c:pt idx="120">
                  <c:v>24.670369579149753</c:v>
                </c:pt>
                <c:pt idx="121">
                  <c:v>31.624011963255718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3-480A-A93F-7D847E48E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6351"/>
        <c:axId val="672335871"/>
      </c:scatterChart>
      <c:valAx>
        <c:axId val="67233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335871"/>
        <c:crosses val="autoZero"/>
        <c:crossBetween val="midCat"/>
      </c:valAx>
      <c:valAx>
        <c:axId val="6723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33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'1.2.1 Равномерное'!$F$29:$F$44</c:f>
              <c:strCache>
                <c:ptCount val="16"/>
                <c:pt idx="0">
                  <c:v>4,2</c:v>
                </c:pt>
                <c:pt idx="1">
                  <c:v>8,4</c:v>
                </c:pt>
                <c:pt idx="2">
                  <c:v>12,6</c:v>
                </c:pt>
                <c:pt idx="3">
                  <c:v>16,8</c:v>
                </c:pt>
                <c:pt idx="4">
                  <c:v>21</c:v>
                </c:pt>
                <c:pt idx="5">
                  <c:v>25,2</c:v>
                </c:pt>
                <c:pt idx="6">
                  <c:v>29,4</c:v>
                </c:pt>
                <c:pt idx="7">
                  <c:v>33,6</c:v>
                </c:pt>
                <c:pt idx="8">
                  <c:v>37,8</c:v>
                </c:pt>
                <c:pt idx="9">
                  <c:v>42</c:v>
                </c:pt>
                <c:pt idx="10">
                  <c:v>46,2</c:v>
                </c:pt>
                <c:pt idx="11">
                  <c:v>50,4</c:v>
                </c:pt>
                <c:pt idx="12">
                  <c:v>54,6</c:v>
                </c:pt>
                <c:pt idx="13">
                  <c:v>58,8</c:v>
                </c:pt>
                <c:pt idx="14">
                  <c:v>63</c:v>
                </c:pt>
                <c:pt idx="15">
                  <c:v>Еще</c:v>
                </c:pt>
              </c:strCache>
            </c:strRef>
          </c:cat>
          <c:val>
            <c:numRef>
              <c:f>'1.2.1 Равномерное'!$G$29:$G$44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</c:v>
                </c:pt>
                <c:pt idx="6">
                  <c:v>30</c:v>
                </c:pt>
                <c:pt idx="7">
                  <c:v>24</c:v>
                </c:pt>
                <c:pt idx="8">
                  <c:v>14</c:v>
                </c:pt>
                <c:pt idx="9">
                  <c:v>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2-4F07-A0D0-DA0659C33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940959"/>
        <c:axId val="223942399"/>
      </c:barChart>
      <c:catAx>
        <c:axId val="22394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942399"/>
        <c:crosses val="autoZero"/>
        <c:auto val="1"/>
        <c:lblAlgn val="ctr"/>
        <c:lblOffset val="100"/>
        <c:noMultiLvlLbl val="0"/>
      </c:catAx>
      <c:valAx>
        <c:axId val="223942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94095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'1.2.1 Равномерное'!$D$29:$D$43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'1.2.1 Равномерное'!$J$29:$J$43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0.13114754098360656</c:v>
                </c:pt>
                <c:pt idx="6">
                  <c:v>0.37704918032786883</c:v>
                </c:pt>
                <c:pt idx="7">
                  <c:v>0.57377049180327866</c:v>
                </c:pt>
                <c:pt idx="8">
                  <c:v>0.68852459016393441</c:v>
                </c:pt>
                <c:pt idx="9" formatCode="0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9-4B78-91FC-F4715B474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574944"/>
        <c:axId val="910575904"/>
      </c:scatterChart>
      <c:valAx>
        <c:axId val="910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5904"/>
        <c:crosses val="autoZero"/>
        <c:crossBetween val="midCat"/>
      </c:valAx>
      <c:valAx>
        <c:axId val="9105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57245309614076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914727325750947"/>
          <c:y val="0.18332252586073799"/>
          <c:w val="0.67923609548806396"/>
          <c:h val="0.61550066045665863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Отн.частота</c:v>
          </c:tx>
          <c:invertIfNegative val="0"/>
          <c:cat>
            <c:numRef>
              <c:f>'1.2.1 Равномерное'!$F$29:$F$43</c:f>
              <c:numCache>
                <c:formatCode>General</c:formatCode>
                <c:ptCount val="15"/>
                <c:pt idx="0">
                  <c:v>4.2</c:v>
                </c:pt>
                <c:pt idx="1">
                  <c:v>8.4</c:v>
                </c:pt>
                <c:pt idx="2">
                  <c:v>12.600000000000001</c:v>
                </c:pt>
                <c:pt idx="3">
                  <c:v>16.8</c:v>
                </c:pt>
                <c:pt idx="4">
                  <c:v>21</c:v>
                </c:pt>
                <c:pt idx="5">
                  <c:v>25.2</c:v>
                </c:pt>
                <c:pt idx="6">
                  <c:v>29.4</c:v>
                </c:pt>
                <c:pt idx="7">
                  <c:v>33.6</c:v>
                </c:pt>
                <c:pt idx="8">
                  <c:v>37.800000000000004</c:v>
                </c:pt>
                <c:pt idx="9">
                  <c:v>42.000000000000007</c:v>
                </c:pt>
                <c:pt idx="10">
                  <c:v>46.20000000000001</c:v>
                </c:pt>
                <c:pt idx="11">
                  <c:v>50.400000000000013</c:v>
                </c:pt>
                <c:pt idx="12">
                  <c:v>54.600000000000016</c:v>
                </c:pt>
                <c:pt idx="13">
                  <c:v>58.800000000000018</c:v>
                </c:pt>
                <c:pt idx="14">
                  <c:v>63.000000000000021</c:v>
                </c:pt>
              </c:numCache>
            </c:numRef>
          </c:cat>
          <c:val>
            <c:numRef>
              <c:f>'1.2.1 Равномерное'!$H$29:$H$43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0.13114754098360656</c:v>
                </c:pt>
                <c:pt idx="6">
                  <c:v>0.24590163934426229</c:v>
                </c:pt>
                <c:pt idx="7">
                  <c:v>0.19672131147540983</c:v>
                </c:pt>
                <c:pt idx="8">
                  <c:v>0.11475409836065574</c:v>
                </c:pt>
                <c:pt idx="9">
                  <c:v>0.31147540983606559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E-4BA0-A364-7BB5D3913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78768"/>
        <c:axId val="438380688"/>
      </c:barChart>
      <c:lineChart>
        <c:grouping val="standard"/>
        <c:varyColors val="0"/>
        <c:ser>
          <c:idx val="1"/>
          <c:order val="1"/>
          <c:tx>
            <c:v>Плотность</c:v>
          </c:tx>
          <c:cat>
            <c:numRef>
              <c:f>'1.2.1 Равномерное'!$F$29:$F$43</c:f>
              <c:numCache>
                <c:formatCode>General</c:formatCode>
                <c:ptCount val="15"/>
                <c:pt idx="0">
                  <c:v>4.2</c:v>
                </c:pt>
                <c:pt idx="1">
                  <c:v>8.4</c:v>
                </c:pt>
                <c:pt idx="2">
                  <c:v>12.600000000000001</c:v>
                </c:pt>
                <c:pt idx="3">
                  <c:v>16.8</c:v>
                </c:pt>
                <c:pt idx="4">
                  <c:v>21</c:v>
                </c:pt>
                <c:pt idx="5">
                  <c:v>25.2</c:v>
                </c:pt>
                <c:pt idx="6">
                  <c:v>29.4</c:v>
                </c:pt>
                <c:pt idx="7">
                  <c:v>33.6</c:v>
                </c:pt>
                <c:pt idx="8">
                  <c:v>37.800000000000004</c:v>
                </c:pt>
                <c:pt idx="9">
                  <c:v>42.000000000000007</c:v>
                </c:pt>
                <c:pt idx="10">
                  <c:v>46.20000000000001</c:v>
                </c:pt>
                <c:pt idx="11">
                  <c:v>50.400000000000013</c:v>
                </c:pt>
                <c:pt idx="12">
                  <c:v>54.600000000000016</c:v>
                </c:pt>
                <c:pt idx="13">
                  <c:v>58.800000000000018</c:v>
                </c:pt>
                <c:pt idx="14">
                  <c:v>63.000000000000021</c:v>
                </c:pt>
              </c:numCache>
            </c:numRef>
          </c:cat>
          <c:val>
            <c:numRef>
              <c:f>'1.2.1 Равномерное'!$K$29:$K$43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E-4BA0-A364-7BB5D3913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78768"/>
        <c:axId val="438380688"/>
      </c:lineChart>
      <c:catAx>
        <c:axId val="4383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80688"/>
        <c:crosses val="autoZero"/>
        <c:auto val="1"/>
        <c:lblAlgn val="ctr"/>
        <c:lblOffset val="100"/>
        <c:noMultiLvlLbl val="0"/>
      </c:catAx>
      <c:valAx>
        <c:axId val="4383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7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5920844052909207E-2"/>
          <c:y val="0.88537491637074772"/>
          <c:w val="0.23825230157964439"/>
          <c:h val="0.11462495797099805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025371828521437E-2"/>
          <c:y val="0.16708333333333336"/>
          <c:w val="0.88397462817147854"/>
          <c:h val="0.702739501312336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'1.2.1 Равномерное'!$A$12:$A$133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'1.2.1 Равномерное'!$B$12:$B$133</c:f>
              <c:numCache>
                <c:formatCode>General</c:formatCode>
                <c:ptCount val="122"/>
                <c:pt idx="0">
                  <c:v>25.324076052125612</c:v>
                </c:pt>
                <c:pt idx="1">
                  <c:v>33.637684255500957</c:v>
                </c:pt>
                <c:pt idx="2">
                  <c:v>41.886562700277722</c:v>
                </c:pt>
                <c:pt idx="3">
                  <c:v>21.865199743644521</c:v>
                </c:pt>
                <c:pt idx="4">
                  <c:v>38.372569963682977</c:v>
                </c:pt>
                <c:pt idx="5">
                  <c:v>29.151463362529377</c:v>
                </c:pt>
                <c:pt idx="6">
                  <c:v>28.519547105319376</c:v>
                </c:pt>
                <c:pt idx="7">
                  <c:v>36.990813928647725</c:v>
                </c:pt>
                <c:pt idx="8">
                  <c:v>27.275582140568254</c:v>
                </c:pt>
                <c:pt idx="9">
                  <c:v>39.543473616748557</c:v>
                </c:pt>
                <c:pt idx="10">
                  <c:v>36.220465712454605</c:v>
                </c:pt>
                <c:pt idx="11">
                  <c:v>28.71181371501816</c:v>
                </c:pt>
                <c:pt idx="12">
                  <c:v>33.277504806665242</c:v>
                </c:pt>
                <c:pt idx="13">
                  <c:v>22.138859218115787</c:v>
                </c:pt>
                <c:pt idx="14">
                  <c:v>23.341166417432174</c:v>
                </c:pt>
                <c:pt idx="15">
                  <c:v>32.484084597308268</c:v>
                </c:pt>
                <c:pt idx="16">
                  <c:v>39.967741935483872</c:v>
                </c:pt>
                <c:pt idx="17">
                  <c:v>39.797265541550949</c:v>
                </c:pt>
                <c:pt idx="18">
                  <c:v>22.92458876308481</c:v>
                </c:pt>
                <c:pt idx="19">
                  <c:v>29.830164494766073</c:v>
                </c:pt>
                <c:pt idx="20">
                  <c:v>39.340311899166849</c:v>
                </c:pt>
                <c:pt idx="21">
                  <c:v>23.359111301004059</c:v>
                </c:pt>
                <c:pt idx="22">
                  <c:v>28.474684896389661</c:v>
                </c:pt>
                <c:pt idx="23">
                  <c:v>41.640461439863273</c:v>
                </c:pt>
                <c:pt idx="24">
                  <c:v>38.007904293954283</c:v>
                </c:pt>
                <c:pt idx="25">
                  <c:v>28.628498184148686</c:v>
                </c:pt>
                <c:pt idx="26">
                  <c:v>34.158085879085661</c:v>
                </c:pt>
                <c:pt idx="27">
                  <c:v>31.204229865413375</c:v>
                </c:pt>
                <c:pt idx="28">
                  <c:v>25.236274300363171</c:v>
                </c:pt>
                <c:pt idx="29">
                  <c:v>40.897671437726984</c:v>
                </c:pt>
                <c:pt idx="30">
                  <c:v>25.327280495620592</c:v>
                </c:pt>
                <c:pt idx="31">
                  <c:v>40.256141850032044</c:v>
                </c:pt>
                <c:pt idx="32">
                  <c:v>39.943388164922027</c:v>
                </c:pt>
                <c:pt idx="33">
                  <c:v>28.570818201239053</c:v>
                </c:pt>
                <c:pt idx="34">
                  <c:v>40.79192480239265</c:v>
                </c:pt>
                <c:pt idx="35">
                  <c:v>25.798974578081605</c:v>
                </c:pt>
                <c:pt idx="36">
                  <c:v>22.327280495620595</c:v>
                </c:pt>
                <c:pt idx="37">
                  <c:v>33.906857509079259</c:v>
                </c:pt>
                <c:pt idx="38">
                  <c:v>39.717795342875455</c:v>
                </c:pt>
                <c:pt idx="39">
                  <c:v>31.01837214270455</c:v>
                </c:pt>
                <c:pt idx="40">
                  <c:v>28.281136509292885</c:v>
                </c:pt>
                <c:pt idx="41">
                  <c:v>36.402478102969454</c:v>
                </c:pt>
                <c:pt idx="42">
                  <c:v>30.588976714377271</c:v>
                </c:pt>
                <c:pt idx="43">
                  <c:v>32.031617175817132</c:v>
                </c:pt>
                <c:pt idx="44">
                  <c:v>30.24161503952147</c:v>
                </c:pt>
                <c:pt idx="45">
                  <c:v>27.8684041871395</c:v>
                </c:pt>
                <c:pt idx="46">
                  <c:v>27.116000854518266</c:v>
                </c:pt>
                <c:pt idx="47">
                  <c:v>30.787011322367015</c:v>
                </c:pt>
                <c:pt idx="48">
                  <c:v>29.634693441572313</c:v>
                </c:pt>
                <c:pt idx="49">
                  <c:v>34.712454603717156</c:v>
                </c:pt>
                <c:pt idx="50">
                  <c:v>36.506302072206793</c:v>
                </c:pt>
                <c:pt idx="51">
                  <c:v>29.868617816705832</c:v>
                </c:pt>
                <c:pt idx="52">
                  <c:v>40.579790643024992</c:v>
                </c:pt>
                <c:pt idx="53">
                  <c:v>22.466353343302714</c:v>
                </c:pt>
                <c:pt idx="54">
                  <c:v>23.005981627857295</c:v>
                </c:pt>
                <c:pt idx="55">
                  <c:v>39.505020294808801</c:v>
                </c:pt>
                <c:pt idx="56">
                  <c:v>39.989532151249733</c:v>
                </c:pt>
                <c:pt idx="57">
                  <c:v>27.092928861354412</c:v>
                </c:pt>
                <c:pt idx="58">
                  <c:v>31.114505447553942</c:v>
                </c:pt>
                <c:pt idx="59">
                  <c:v>25.550950651570176</c:v>
                </c:pt>
                <c:pt idx="60">
                  <c:v>31.748344370860927</c:v>
                </c:pt>
                <c:pt idx="61">
                  <c:v>28.092074343089084</c:v>
                </c:pt>
                <c:pt idx="62">
                  <c:v>33.374279000213633</c:v>
                </c:pt>
                <c:pt idx="63">
                  <c:v>32.735312967314677</c:v>
                </c:pt>
                <c:pt idx="64">
                  <c:v>26.100192266609699</c:v>
                </c:pt>
                <c:pt idx="65">
                  <c:v>33.954283272804958</c:v>
                </c:pt>
                <c:pt idx="66">
                  <c:v>23.153386028626361</c:v>
                </c:pt>
                <c:pt idx="67">
                  <c:v>34.940610980559711</c:v>
                </c:pt>
                <c:pt idx="68">
                  <c:v>39.919675283059178</c:v>
                </c:pt>
                <c:pt idx="69">
                  <c:v>41.973723563341167</c:v>
                </c:pt>
                <c:pt idx="70">
                  <c:v>22.32023071993164</c:v>
                </c:pt>
                <c:pt idx="71">
                  <c:v>40.81820123905149</c:v>
                </c:pt>
                <c:pt idx="72">
                  <c:v>24.010895107882931</c:v>
                </c:pt>
                <c:pt idx="73">
                  <c:v>27.967741935483872</c:v>
                </c:pt>
                <c:pt idx="74">
                  <c:v>41.209143345439003</c:v>
                </c:pt>
                <c:pt idx="75">
                  <c:v>27.491561632129887</c:v>
                </c:pt>
                <c:pt idx="76">
                  <c:v>33.106387524033323</c:v>
                </c:pt>
                <c:pt idx="77">
                  <c:v>26.928220465712457</c:v>
                </c:pt>
                <c:pt idx="78">
                  <c:v>38.800683614612261</c:v>
                </c:pt>
                <c:pt idx="79">
                  <c:v>41.659047212134155</c:v>
                </c:pt>
                <c:pt idx="80">
                  <c:v>40.697714163640249</c:v>
                </c:pt>
                <c:pt idx="81">
                  <c:v>40.131809442426828</c:v>
                </c:pt>
                <c:pt idx="82">
                  <c:v>25.508651997436445</c:v>
                </c:pt>
                <c:pt idx="83">
                  <c:v>40.84960478530229</c:v>
                </c:pt>
                <c:pt idx="84">
                  <c:v>29.377056184575945</c:v>
                </c:pt>
                <c:pt idx="85">
                  <c:v>39.74535355693228</c:v>
                </c:pt>
                <c:pt idx="86">
                  <c:v>41.486007263405256</c:v>
                </c:pt>
                <c:pt idx="87">
                  <c:v>24.136509292886135</c:v>
                </c:pt>
                <c:pt idx="88">
                  <c:v>31.836787011322365</c:v>
                </c:pt>
                <c:pt idx="89">
                  <c:v>37.461867122409743</c:v>
                </c:pt>
                <c:pt idx="90">
                  <c:v>26.851313821832942</c:v>
                </c:pt>
                <c:pt idx="91">
                  <c:v>25.073488570818203</c:v>
                </c:pt>
                <c:pt idx="92">
                  <c:v>39.181371501815853</c:v>
                </c:pt>
                <c:pt idx="93">
                  <c:v>26.184789574877165</c:v>
                </c:pt>
                <c:pt idx="94">
                  <c:v>30.753044221320231</c:v>
                </c:pt>
                <c:pt idx="95">
                  <c:v>33.141636402478099</c:v>
                </c:pt>
                <c:pt idx="96">
                  <c:v>39.705618457594532</c:v>
                </c:pt>
                <c:pt idx="97">
                  <c:v>34.30869472334971</c:v>
                </c:pt>
                <c:pt idx="98">
                  <c:v>40.658619953001498</c:v>
                </c:pt>
                <c:pt idx="99">
                  <c:v>25.485580004272592</c:v>
                </c:pt>
                <c:pt idx="100">
                  <c:v>41.811578722495199</c:v>
                </c:pt>
                <c:pt idx="101">
                  <c:v>38.610980559709461</c:v>
                </c:pt>
                <c:pt idx="102">
                  <c:v>25.797692800683613</c:v>
                </c:pt>
                <c:pt idx="103">
                  <c:v>28.229865413373211</c:v>
                </c:pt>
                <c:pt idx="104">
                  <c:v>29.194402905362104</c:v>
                </c:pt>
                <c:pt idx="105">
                  <c:v>38.300149540696431</c:v>
                </c:pt>
                <c:pt idx="106">
                  <c:v>22.146549882503738</c:v>
                </c:pt>
                <c:pt idx="107">
                  <c:v>32.139286477248447</c:v>
                </c:pt>
                <c:pt idx="108">
                  <c:v>37.98162785729545</c:v>
                </c:pt>
                <c:pt idx="109">
                  <c:v>36.242255928220466</c:v>
                </c:pt>
                <c:pt idx="110">
                  <c:v>33.872249519333479</c:v>
                </c:pt>
                <c:pt idx="111">
                  <c:v>38.91668446913053</c:v>
                </c:pt>
                <c:pt idx="112">
                  <c:v>30.954924161503953</c:v>
                </c:pt>
                <c:pt idx="113">
                  <c:v>40.904080324716944</c:v>
                </c:pt>
                <c:pt idx="114">
                  <c:v>40.632343516342658</c:v>
                </c:pt>
                <c:pt idx="115">
                  <c:v>41.921811578722497</c:v>
                </c:pt>
                <c:pt idx="116">
                  <c:v>31.53621021149327</c:v>
                </c:pt>
                <c:pt idx="117">
                  <c:v>24.033326212347788</c:v>
                </c:pt>
                <c:pt idx="118">
                  <c:v>32.64879299295022</c:v>
                </c:pt>
                <c:pt idx="119">
                  <c:v>28.578508865627004</c:v>
                </c:pt>
                <c:pt idx="120">
                  <c:v>24.670369579149753</c:v>
                </c:pt>
                <c:pt idx="121">
                  <c:v>31.624011963255718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7-4D84-83CF-AAE5DB716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6351"/>
        <c:axId val="672335871"/>
      </c:scatterChart>
      <c:valAx>
        <c:axId val="67233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335871"/>
        <c:crosses val="autoZero"/>
        <c:crossBetween val="midCat"/>
      </c:valAx>
      <c:valAx>
        <c:axId val="6723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33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'1.2.2 Нормальное'!$D$29:$D$40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'1.2.2 Нормальное'!$J$29:$J$40</c:f>
              <c:numCache>
                <c:formatCode>General</c:formatCode>
                <c:ptCount val="12"/>
                <c:pt idx="0">
                  <c:v>8.4033613445378148E-3</c:v>
                </c:pt>
                <c:pt idx="1">
                  <c:v>1.680672268907563E-2</c:v>
                </c:pt>
                <c:pt idx="2">
                  <c:v>3.3613445378151259E-2</c:v>
                </c:pt>
                <c:pt idx="3">
                  <c:v>5.8823529411764705E-2</c:v>
                </c:pt>
                <c:pt idx="4">
                  <c:v>0.18487394957983194</c:v>
                </c:pt>
                <c:pt idx="5">
                  <c:v>0.2857142857142857</c:v>
                </c:pt>
                <c:pt idx="6">
                  <c:v>0.45378151260504201</c:v>
                </c:pt>
                <c:pt idx="7">
                  <c:v>0.58823529411764708</c:v>
                </c:pt>
                <c:pt idx="8">
                  <c:v>0.75630252100840334</c:v>
                </c:pt>
                <c:pt idx="9" formatCode="0">
                  <c:v>0.87394957983193278</c:v>
                </c:pt>
                <c:pt idx="10">
                  <c:v>0.92436974789915971</c:v>
                </c:pt>
                <c:pt idx="11">
                  <c:v>0.95798319327731096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E-409C-BF74-FED5BE686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574944"/>
        <c:axId val="910575904"/>
      </c:scatterChart>
      <c:valAx>
        <c:axId val="910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5904"/>
        <c:crosses val="autoZero"/>
        <c:crossBetween val="midCat"/>
      </c:valAx>
      <c:valAx>
        <c:axId val="9105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57245309614076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914727325750947"/>
          <c:y val="0.18332252586073799"/>
          <c:w val="0.67923609548806396"/>
          <c:h val="0.61550066045665863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Отн.частота</c:v>
          </c:tx>
          <c:invertIfNegative val="0"/>
          <c:cat>
            <c:numRef>
              <c:f>'1.2.2 Нормальное'!$F$29:$F$40</c:f>
              <c:numCache>
                <c:formatCode>General</c:formatCode>
                <c:ptCount val="12"/>
                <c:pt idx="0">
                  <c:v>21.510638735955581</c:v>
                </c:pt>
                <c:pt idx="1">
                  <c:v>21.589638735955582</c:v>
                </c:pt>
                <c:pt idx="2">
                  <c:v>21.668638735955582</c:v>
                </c:pt>
                <c:pt idx="3">
                  <c:v>21.747638735955583</c:v>
                </c:pt>
                <c:pt idx="4">
                  <c:v>21.826638735955584</c:v>
                </c:pt>
                <c:pt idx="5">
                  <c:v>21.905638735955584</c:v>
                </c:pt>
                <c:pt idx="6">
                  <c:v>21.984638735955585</c:v>
                </c:pt>
                <c:pt idx="7">
                  <c:v>22.063638735955585</c:v>
                </c:pt>
                <c:pt idx="8">
                  <c:v>22.142638735955586</c:v>
                </c:pt>
                <c:pt idx="9">
                  <c:v>22.221638735955587</c:v>
                </c:pt>
                <c:pt idx="10">
                  <c:v>22.300638735955587</c:v>
                </c:pt>
                <c:pt idx="11">
                  <c:v>22.379638735955599</c:v>
                </c:pt>
              </c:numCache>
            </c:numRef>
          </c:cat>
          <c:val>
            <c:numRef>
              <c:f>'1.2.2 Нормальное'!$H$29:$H$40</c:f>
              <c:numCache>
                <c:formatCode>General</c:formatCode>
                <c:ptCount val="12"/>
                <c:pt idx="0">
                  <c:v>8.4033613445378148E-3</c:v>
                </c:pt>
                <c:pt idx="1">
                  <c:v>8.4033613445378148E-3</c:v>
                </c:pt>
                <c:pt idx="2">
                  <c:v>1.680672268907563E-2</c:v>
                </c:pt>
                <c:pt idx="3">
                  <c:v>2.5210084033613446E-2</c:v>
                </c:pt>
                <c:pt idx="4">
                  <c:v>0.12605042016806722</c:v>
                </c:pt>
                <c:pt idx="5">
                  <c:v>0.10084033613445378</c:v>
                </c:pt>
                <c:pt idx="6">
                  <c:v>0.16806722689075632</c:v>
                </c:pt>
                <c:pt idx="7">
                  <c:v>0.13445378151260504</c:v>
                </c:pt>
                <c:pt idx="8">
                  <c:v>0.16806722689075632</c:v>
                </c:pt>
                <c:pt idx="9">
                  <c:v>0.11764705882352941</c:v>
                </c:pt>
                <c:pt idx="10">
                  <c:v>5.0420168067226892E-2</c:v>
                </c:pt>
                <c:pt idx="11">
                  <c:v>3.3613445378151259E-2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9-4CE1-861F-96A5D87D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78768"/>
        <c:axId val="438380688"/>
      </c:barChart>
      <c:lineChart>
        <c:grouping val="standard"/>
        <c:varyColors val="0"/>
        <c:ser>
          <c:idx val="1"/>
          <c:order val="1"/>
          <c:tx>
            <c:v>Плотность</c:v>
          </c:tx>
          <c:cat>
            <c:numRef>
              <c:f>'1.2.1 Равномерное'!$F$29:$F$43</c:f>
              <c:numCache>
                <c:formatCode>General</c:formatCode>
                <c:ptCount val="15"/>
                <c:pt idx="0">
                  <c:v>4.2</c:v>
                </c:pt>
                <c:pt idx="1">
                  <c:v>8.4</c:v>
                </c:pt>
                <c:pt idx="2">
                  <c:v>12.600000000000001</c:v>
                </c:pt>
                <c:pt idx="3">
                  <c:v>16.8</c:v>
                </c:pt>
                <c:pt idx="4">
                  <c:v>21</c:v>
                </c:pt>
                <c:pt idx="5">
                  <c:v>25.2</c:v>
                </c:pt>
                <c:pt idx="6">
                  <c:v>29.4</c:v>
                </c:pt>
                <c:pt idx="7">
                  <c:v>33.6</c:v>
                </c:pt>
                <c:pt idx="8">
                  <c:v>37.800000000000004</c:v>
                </c:pt>
                <c:pt idx="9">
                  <c:v>42.000000000000007</c:v>
                </c:pt>
                <c:pt idx="10">
                  <c:v>46.20000000000001</c:v>
                </c:pt>
                <c:pt idx="11">
                  <c:v>50.400000000000013</c:v>
                </c:pt>
                <c:pt idx="12">
                  <c:v>54.600000000000016</c:v>
                </c:pt>
                <c:pt idx="13">
                  <c:v>58.800000000000018</c:v>
                </c:pt>
                <c:pt idx="14">
                  <c:v>63.000000000000021</c:v>
                </c:pt>
              </c:numCache>
            </c:numRef>
          </c:cat>
          <c:val>
            <c:numRef>
              <c:f>'1.2.2 Нормальное'!$K$29:$K$40</c:f>
              <c:numCache>
                <c:formatCode>General</c:formatCode>
                <c:ptCount val="12"/>
                <c:pt idx="0">
                  <c:v>1.2514855952375134E-2</c:v>
                </c:pt>
                <c:pt idx="1">
                  <c:v>2.6080661418279659E-2</c:v>
                </c:pt>
                <c:pt idx="2">
                  <c:v>4.7776099305692266E-2</c:v>
                </c:pt>
                <c:pt idx="3">
                  <c:v>7.6931131149847259E-2</c:v>
                </c:pt>
                <c:pt idx="4">
                  <c:v>0.10889122640252333</c:v>
                </c:pt>
                <c:pt idx="5">
                  <c:v>0.13548243760398285</c:v>
                </c:pt>
                <c:pt idx="6">
                  <c:v>0.14817415400552414</c:v>
                </c:pt>
                <c:pt idx="7">
                  <c:v>0.1424496060384168</c:v>
                </c:pt>
                <c:pt idx="8">
                  <c:v>0.12037862831538661</c:v>
                </c:pt>
                <c:pt idx="9">
                  <c:v>8.9420453873871208E-2</c:v>
                </c:pt>
                <c:pt idx="10">
                  <c:v>5.8388012343231606E-2</c:v>
                </c:pt>
                <c:pt idx="11">
                  <c:v>3.3512733590869148E-2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9-4CE1-861F-96A5D87D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78768"/>
        <c:axId val="438380688"/>
      </c:lineChart>
      <c:catAx>
        <c:axId val="4383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80688"/>
        <c:crosses val="autoZero"/>
        <c:auto val="1"/>
        <c:lblAlgn val="ctr"/>
        <c:lblOffset val="100"/>
        <c:noMultiLvlLbl val="0"/>
      </c:catAx>
      <c:valAx>
        <c:axId val="4383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7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1.0614603570573049E-2"/>
          <c:y val="0.81126624444810003"/>
          <c:w val="0.23825230157964439"/>
          <c:h val="0.11462495797099805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'1.2.2 Нормальное'!$F$29:$F$40</c:f>
              <c:numCache>
                <c:formatCode>General</c:formatCode>
                <c:ptCount val="12"/>
                <c:pt idx="0">
                  <c:v>21.510638735955581</c:v>
                </c:pt>
                <c:pt idx="1">
                  <c:v>21.589638735955582</c:v>
                </c:pt>
                <c:pt idx="2">
                  <c:v>21.668638735955582</c:v>
                </c:pt>
                <c:pt idx="3">
                  <c:v>21.747638735955583</c:v>
                </c:pt>
                <c:pt idx="4">
                  <c:v>21.826638735955584</c:v>
                </c:pt>
                <c:pt idx="5">
                  <c:v>21.905638735955584</c:v>
                </c:pt>
                <c:pt idx="6">
                  <c:v>21.984638735955585</c:v>
                </c:pt>
                <c:pt idx="7">
                  <c:v>22.063638735955585</c:v>
                </c:pt>
                <c:pt idx="8">
                  <c:v>22.142638735955586</c:v>
                </c:pt>
                <c:pt idx="9">
                  <c:v>22.221638735955587</c:v>
                </c:pt>
                <c:pt idx="10">
                  <c:v>22.300638735955587</c:v>
                </c:pt>
                <c:pt idx="11">
                  <c:v>22.379638735955599</c:v>
                </c:pt>
              </c:numCache>
            </c:numRef>
          </c:cat>
          <c:val>
            <c:numRef>
              <c:f>'1.2.2 Нормальное'!$G$29:$G$40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15</c:v>
                </c:pt>
                <c:pt idx="5">
                  <c:v>12</c:v>
                </c:pt>
                <c:pt idx="6">
                  <c:v>20</c:v>
                </c:pt>
                <c:pt idx="7">
                  <c:v>16</c:v>
                </c:pt>
                <c:pt idx="8">
                  <c:v>20</c:v>
                </c:pt>
                <c:pt idx="9">
                  <c:v>14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CD-431B-B8C9-4B234256E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41375"/>
        <c:axId val="188644735"/>
      </c:barChart>
      <c:catAx>
        <c:axId val="188641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644735"/>
        <c:crosses val="autoZero"/>
        <c:auto val="1"/>
        <c:lblAlgn val="ctr"/>
        <c:lblOffset val="100"/>
        <c:noMultiLvlLbl val="0"/>
      </c:catAx>
      <c:valAx>
        <c:axId val="188644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64137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025371828521437E-2"/>
          <c:y val="0.16708333333333336"/>
          <c:w val="0.88397462817147854"/>
          <c:h val="0.702739501312336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'1.2.1 Равномерное'!$A$12:$A$133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'1.2.1 Равномерное'!$B$12:$B$133</c:f>
              <c:numCache>
                <c:formatCode>General</c:formatCode>
                <c:ptCount val="122"/>
                <c:pt idx="0">
                  <c:v>25.324076052125612</c:v>
                </c:pt>
                <c:pt idx="1">
                  <c:v>33.637684255500957</c:v>
                </c:pt>
                <c:pt idx="2">
                  <c:v>41.886562700277722</c:v>
                </c:pt>
                <c:pt idx="3">
                  <c:v>21.865199743644521</c:v>
                </c:pt>
                <c:pt idx="4">
                  <c:v>38.372569963682977</c:v>
                </c:pt>
                <c:pt idx="5">
                  <c:v>29.151463362529377</c:v>
                </c:pt>
                <c:pt idx="6">
                  <c:v>28.519547105319376</c:v>
                </c:pt>
                <c:pt idx="7">
                  <c:v>36.990813928647725</c:v>
                </c:pt>
                <c:pt idx="8">
                  <c:v>27.275582140568254</c:v>
                </c:pt>
                <c:pt idx="9">
                  <c:v>39.543473616748557</c:v>
                </c:pt>
                <c:pt idx="10">
                  <c:v>36.220465712454605</c:v>
                </c:pt>
                <c:pt idx="11">
                  <c:v>28.71181371501816</c:v>
                </c:pt>
                <c:pt idx="12">
                  <c:v>33.277504806665242</c:v>
                </c:pt>
                <c:pt idx="13">
                  <c:v>22.138859218115787</c:v>
                </c:pt>
                <c:pt idx="14">
                  <c:v>23.341166417432174</c:v>
                </c:pt>
                <c:pt idx="15">
                  <c:v>32.484084597308268</c:v>
                </c:pt>
                <c:pt idx="16">
                  <c:v>39.967741935483872</c:v>
                </c:pt>
                <c:pt idx="17">
                  <c:v>39.797265541550949</c:v>
                </c:pt>
                <c:pt idx="18">
                  <c:v>22.92458876308481</c:v>
                </c:pt>
                <c:pt idx="19">
                  <c:v>29.830164494766073</c:v>
                </c:pt>
                <c:pt idx="20">
                  <c:v>39.340311899166849</c:v>
                </c:pt>
                <c:pt idx="21">
                  <c:v>23.359111301004059</c:v>
                </c:pt>
                <c:pt idx="22">
                  <c:v>28.474684896389661</c:v>
                </c:pt>
                <c:pt idx="23">
                  <c:v>41.640461439863273</c:v>
                </c:pt>
                <c:pt idx="24">
                  <c:v>38.007904293954283</c:v>
                </c:pt>
                <c:pt idx="25">
                  <c:v>28.628498184148686</c:v>
                </c:pt>
                <c:pt idx="26">
                  <c:v>34.158085879085661</c:v>
                </c:pt>
                <c:pt idx="27">
                  <c:v>31.204229865413375</c:v>
                </c:pt>
                <c:pt idx="28">
                  <c:v>25.236274300363171</c:v>
                </c:pt>
                <c:pt idx="29">
                  <c:v>40.897671437726984</c:v>
                </c:pt>
                <c:pt idx="30">
                  <c:v>25.327280495620592</c:v>
                </c:pt>
                <c:pt idx="31">
                  <c:v>40.256141850032044</c:v>
                </c:pt>
                <c:pt idx="32">
                  <c:v>39.943388164922027</c:v>
                </c:pt>
                <c:pt idx="33">
                  <c:v>28.570818201239053</c:v>
                </c:pt>
                <c:pt idx="34">
                  <c:v>40.79192480239265</c:v>
                </c:pt>
                <c:pt idx="35">
                  <c:v>25.798974578081605</c:v>
                </c:pt>
                <c:pt idx="36">
                  <c:v>22.327280495620595</c:v>
                </c:pt>
                <c:pt idx="37">
                  <c:v>33.906857509079259</c:v>
                </c:pt>
                <c:pt idx="38">
                  <c:v>39.717795342875455</c:v>
                </c:pt>
                <c:pt idx="39">
                  <c:v>31.01837214270455</c:v>
                </c:pt>
                <c:pt idx="40">
                  <c:v>28.281136509292885</c:v>
                </c:pt>
                <c:pt idx="41">
                  <c:v>36.402478102969454</c:v>
                </c:pt>
                <c:pt idx="42">
                  <c:v>30.588976714377271</c:v>
                </c:pt>
                <c:pt idx="43">
                  <c:v>32.031617175817132</c:v>
                </c:pt>
                <c:pt idx="44">
                  <c:v>30.24161503952147</c:v>
                </c:pt>
                <c:pt idx="45">
                  <c:v>27.8684041871395</c:v>
                </c:pt>
                <c:pt idx="46">
                  <c:v>27.116000854518266</c:v>
                </c:pt>
                <c:pt idx="47">
                  <c:v>30.787011322367015</c:v>
                </c:pt>
                <c:pt idx="48">
                  <c:v>29.634693441572313</c:v>
                </c:pt>
                <c:pt idx="49">
                  <c:v>34.712454603717156</c:v>
                </c:pt>
                <c:pt idx="50">
                  <c:v>36.506302072206793</c:v>
                </c:pt>
                <c:pt idx="51">
                  <c:v>29.868617816705832</c:v>
                </c:pt>
                <c:pt idx="52">
                  <c:v>40.579790643024992</c:v>
                </c:pt>
                <c:pt idx="53">
                  <c:v>22.466353343302714</c:v>
                </c:pt>
                <c:pt idx="54">
                  <c:v>23.005981627857295</c:v>
                </c:pt>
                <c:pt idx="55">
                  <c:v>39.505020294808801</c:v>
                </c:pt>
                <c:pt idx="56">
                  <c:v>39.989532151249733</c:v>
                </c:pt>
                <c:pt idx="57">
                  <c:v>27.092928861354412</c:v>
                </c:pt>
                <c:pt idx="58">
                  <c:v>31.114505447553942</c:v>
                </c:pt>
                <c:pt idx="59">
                  <c:v>25.550950651570176</c:v>
                </c:pt>
                <c:pt idx="60">
                  <c:v>31.748344370860927</c:v>
                </c:pt>
                <c:pt idx="61">
                  <c:v>28.092074343089084</c:v>
                </c:pt>
                <c:pt idx="62">
                  <c:v>33.374279000213633</c:v>
                </c:pt>
                <c:pt idx="63">
                  <c:v>32.735312967314677</c:v>
                </c:pt>
                <c:pt idx="64">
                  <c:v>26.100192266609699</c:v>
                </c:pt>
                <c:pt idx="65">
                  <c:v>33.954283272804958</c:v>
                </c:pt>
                <c:pt idx="66">
                  <c:v>23.153386028626361</c:v>
                </c:pt>
                <c:pt idx="67">
                  <c:v>34.940610980559711</c:v>
                </c:pt>
                <c:pt idx="68">
                  <c:v>39.919675283059178</c:v>
                </c:pt>
                <c:pt idx="69">
                  <c:v>41.973723563341167</c:v>
                </c:pt>
                <c:pt idx="70">
                  <c:v>22.32023071993164</c:v>
                </c:pt>
                <c:pt idx="71">
                  <c:v>40.81820123905149</c:v>
                </c:pt>
                <c:pt idx="72">
                  <c:v>24.010895107882931</c:v>
                </c:pt>
                <c:pt idx="73">
                  <c:v>27.967741935483872</c:v>
                </c:pt>
                <c:pt idx="74">
                  <c:v>41.209143345439003</c:v>
                </c:pt>
                <c:pt idx="75">
                  <c:v>27.491561632129887</c:v>
                </c:pt>
                <c:pt idx="76">
                  <c:v>33.106387524033323</c:v>
                </c:pt>
                <c:pt idx="77">
                  <c:v>26.928220465712457</c:v>
                </c:pt>
                <c:pt idx="78">
                  <c:v>38.800683614612261</c:v>
                </c:pt>
                <c:pt idx="79">
                  <c:v>41.659047212134155</c:v>
                </c:pt>
                <c:pt idx="80">
                  <c:v>40.697714163640249</c:v>
                </c:pt>
                <c:pt idx="81">
                  <c:v>40.131809442426828</c:v>
                </c:pt>
                <c:pt idx="82">
                  <c:v>25.508651997436445</c:v>
                </c:pt>
                <c:pt idx="83">
                  <c:v>40.84960478530229</c:v>
                </c:pt>
                <c:pt idx="84">
                  <c:v>29.377056184575945</c:v>
                </c:pt>
                <c:pt idx="85">
                  <c:v>39.74535355693228</c:v>
                </c:pt>
                <c:pt idx="86">
                  <c:v>41.486007263405256</c:v>
                </c:pt>
                <c:pt idx="87">
                  <c:v>24.136509292886135</c:v>
                </c:pt>
                <c:pt idx="88">
                  <c:v>31.836787011322365</c:v>
                </c:pt>
                <c:pt idx="89">
                  <c:v>37.461867122409743</c:v>
                </c:pt>
                <c:pt idx="90">
                  <c:v>26.851313821832942</c:v>
                </c:pt>
                <c:pt idx="91">
                  <c:v>25.073488570818203</c:v>
                </c:pt>
                <c:pt idx="92">
                  <c:v>39.181371501815853</c:v>
                </c:pt>
                <c:pt idx="93">
                  <c:v>26.184789574877165</c:v>
                </c:pt>
                <c:pt idx="94">
                  <c:v>30.753044221320231</c:v>
                </c:pt>
                <c:pt idx="95">
                  <c:v>33.141636402478099</c:v>
                </c:pt>
                <c:pt idx="96">
                  <c:v>39.705618457594532</c:v>
                </c:pt>
                <c:pt idx="97">
                  <c:v>34.30869472334971</c:v>
                </c:pt>
                <c:pt idx="98">
                  <c:v>40.658619953001498</c:v>
                </c:pt>
                <c:pt idx="99">
                  <c:v>25.485580004272592</c:v>
                </c:pt>
                <c:pt idx="100">
                  <c:v>41.811578722495199</c:v>
                </c:pt>
                <c:pt idx="101">
                  <c:v>38.610980559709461</c:v>
                </c:pt>
                <c:pt idx="102">
                  <c:v>25.797692800683613</c:v>
                </c:pt>
                <c:pt idx="103">
                  <c:v>28.229865413373211</c:v>
                </c:pt>
                <c:pt idx="104">
                  <c:v>29.194402905362104</c:v>
                </c:pt>
                <c:pt idx="105">
                  <c:v>38.300149540696431</c:v>
                </c:pt>
                <c:pt idx="106">
                  <c:v>22.146549882503738</c:v>
                </c:pt>
                <c:pt idx="107">
                  <c:v>32.139286477248447</c:v>
                </c:pt>
                <c:pt idx="108">
                  <c:v>37.98162785729545</c:v>
                </c:pt>
                <c:pt idx="109">
                  <c:v>36.242255928220466</c:v>
                </c:pt>
                <c:pt idx="110">
                  <c:v>33.872249519333479</c:v>
                </c:pt>
                <c:pt idx="111">
                  <c:v>38.91668446913053</c:v>
                </c:pt>
                <c:pt idx="112">
                  <c:v>30.954924161503953</c:v>
                </c:pt>
                <c:pt idx="113">
                  <c:v>40.904080324716944</c:v>
                </c:pt>
                <c:pt idx="114">
                  <c:v>40.632343516342658</c:v>
                </c:pt>
                <c:pt idx="115">
                  <c:v>41.921811578722497</c:v>
                </c:pt>
                <c:pt idx="116">
                  <c:v>31.53621021149327</c:v>
                </c:pt>
                <c:pt idx="117">
                  <c:v>24.033326212347788</c:v>
                </c:pt>
                <c:pt idx="118">
                  <c:v>32.64879299295022</c:v>
                </c:pt>
                <c:pt idx="119">
                  <c:v>28.578508865627004</c:v>
                </c:pt>
                <c:pt idx="120">
                  <c:v>24.670369579149753</c:v>
                </c:pt>
                <c:pt idx="121">
                  <c:v>31.624011963255718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F-491A-AA9D-AF10859BC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6351"/>
        <c:axId val="672335871"/>
      </c:scatterChart>
      <c:valAx>
        <c:axId val="67233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335871"/>
        <c:crosses val="autoZero"/>
        <c:crossBetween val="midCat"/>
      </c:valAx>
      <c:valAx>
        <c:axId val="6723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33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'1.2.3 Гамма-распределение'!$D$29:$D$40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'1.2.3 Гамма-распределение'!$J$29:$J$40</c:f>
              <c:numCache>
                <c:formatCode>General</c:formatCode>
                <c:ptCount val="12"/>
                <c:pt idx="0">
                  <c:v>8.4745762711864406E-3</c:v>
                </c:pt>
                <c:pt idx="1">
                  <c:v>5.9322033898305086E-2</c:v>
                </c:pt>
                <c:pt idx="2">
                  <c:v>0.15254237288135594</c:v>
                </c:pt>
                <c:pt idx="3">
                  <c:v>0.29661016949152541</c:v>
                </c:pt>
                <c:pt idx="4">
                  <c:v>0.48305084745762711</c:v>
                </c:pt>
                <c:pt idx="5">
                  <c:v>0.63559322033898302</c:v>
                </c:pt>
                <c:pt idx="6">
                  <c:v>0.69491525423728806</c:v>
                </c:pt>
                <c:pt idx="7">
                  <c:v>0.7966101694915253</c:v>
                </c:pt>
                <c:pt idx="8">
                  <c:v>0.87288135593220328</c:v>
                </c:pt>
                <c:pt idx="9" formatCode="0">
                  <c:v>0.93220338983050832</c:v>
                </c:pt>
                <c:pt idx="10">
                  <c:v>0.98305084745762694</c:v>
                </c:pt>
                <c:pt idx="11">
                  <c:v>0.99999999999999978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9-4955-B876-63D32B879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574944"/>
        <c:axId val="910575904"/>
      </c:scatterChart>
      <c:valAx>
        <c:axId val="910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5904"/>
        <c:crosses val="autoZero"/>
        <c:crossBetween val="midCat"/>
      </c:valAx>
      <c:valAx>
        <c:axId val="9105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57245309614076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914727325750947"/>
          <c:y val="0.18332252586073799"/>
          <c:w val="0.67923609548806396"/>
          <c:h val="0.61550066045665863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Отн.частота</c:v>
          </c:tx>
          <c:invertIfNegative val="0"/>
          <c:cat>
            <c:numRef>
              <c:f>'1.2.3 Гамма-распределение'!$F$29:$F$40</c:f>
              <c:numCache>
                <c:formatCode>General</c:formatCode>
                <c:ptCount val="12"/>
                <c:pt idx="0">
                  <c:v>16.132431866552068</c:v>
                </c:pt>
                <c:pt idx="1">
                  <c:v>22.292431866552068</c:v>
                </c:pt>
                <c:pt idx="2">
                  <c:v>28.452431866552068</c:v>
                </c:pt>
                <c:pt idx="3">
                  <c:v>34.612431866552072</c:v>
                </c:pt>
                <c:pt idx="4">
                  <c:v>40.772431866552068</c:v>
                </c:pt>
                <c:pt idx="5">
                  <c:v>46.932431866552065</c:v>
                </c:pt>
                <c:pt idx="6">
                  <c:v>53.092431866552062</c:v>
                </c:pt>
                <c:pt idx="7">
                  <c:v>59.252431866552058</c:v>
                </c:pt>
                <c:pt idx="8">
                  <c:v>65.412431866552055</c:v>
                </c:pt>
                <c:pt idx="9">
                  <c:v>71.572431866552051</c:v>
                </c:pt>
                <c:pt idx="10">
                  <c:v>77.732431866552048</c:v>
                </c:pt>
                <c:pt idx="11">
                  <c:v>83.892431866552045</c:v>
                </c:pt>
              </c:numCache>
            </c:numRef>
          </c:cat>
          <c:val>
            <c:numRef>
              <c:f>'1.2.3 Гамма-распределение'!$H$29:$H$40</c:f>
              <c:numCache>
                <c:formatCode>General</c:formatCode>
                <c:ptCount val="12"/>
                <c:pt idx="0">
                  <c:v>8.4745762711864406E-3</c:v>
                </c:pt>
                <c:pt idx="1">
                  <c:v>5.0847457627118647E-2</c:v>
                </c:pt>
                <c:pt idx="2">
                  <c:v>9.3220338983050849E-2</c:v>
                </c:pt>
                <c:pt idx="3">
                  <c:v>0.1440677966101695</c:v>
                </c:pt>
                <c:pt idx="4">
                  <c:v>0.1864406779661017</c:v>
                </c:pt>
                <c:pt idx="5">
                  <c:v>0.15254237288135594</c:v>
                </c:pt>
                <c:pt idx="6">
                  <c:v>5.9322033898305086E-2</c:v>
                </c:pt>
                <c:pt idx="7">
                  <c:v>0.10169491525423729</c:v>
                </c:pt>
                <c:pt idx="8">
                  <c:v>7.6271186440677971E-2</c:v>
                </c:pt>
                <c:pt idx="9">
                  <c:v>5.9322033898305086E-2</c:v>
                </c:pt>
                <c:pt idx="10">
                  <c:v>5.0847457627118647E-2</c:v>
                </c:pt>
                <c:pt idx="11">
                  <c:v>1.6949152542372881E-2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8A7-B1B1-DD65E04A4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78768"/>
        <c:axId val="438380688"/>
      </c:barChart>
      <c:lineChart>
        <c:grouping val="standard"/>
        <c:varyColors val="0"/>
        <c:ser>
          <c:idx val="1"/>
          <c:order val="1"/>
          <c:tx>
            <c:v>Плотность</c:v>
          </c:tx>
          <c:cat>
            <c:numRef>
              <c:f>'1.2.3 Гамма-распределение'!$F$29:$F$40</c:f>
              <c:numCache>
                <c:formatCode>General</c:formatCode>
                <c:ptCount val="12"/>
                <c:pt idx="0">
                  <c:v>16.132431866552068</c:v>
                </c:pt>
                <c:pt idx="1">
                  <c:v>22.292431866552068</c:v>
                </c:pt>
                <c:pt idx="2">
                  <c:v>28.452431866552068</c:v>
                </c:pt>
                <c:pt idx="3">
                  <c:v>34.612431866552072</c:v>
                </c:pt>
                <c:pt idx="4">
                  <c:v>40.772431866552068</c:v>
                </c:pt>
                <c:pt idx="5">
                  <c:v>46.932431866552065</c:v>
                </c:pt>
                <c:pt idx="6">
                  <c:v>53.092431866552062</c:v>
                </c:pt>
                <c:pt idx="7">
                  <c:v>59.252431866552058</c:v>
                </c:pt>
                <c:pt idx="8">
                  <c:v>65.412431866552055</c:v>
                </c:pt>
                <c:pt idx="9">
                  <c:v>71.572431866552051</c:v>
                </c:pt>
                <c:pt idx="10">
                  <c:v>77.732431866552048</c:v>
                </c:pt>
                <c:pt idx="11">
                  <c:v>83.892431866552045</c:v>
                </c:pt>
              </c:numCache>
            </c:numRef>
          </c:cat>
          <c:val>
            <c:numRef>
              <c:f>'1.2.3 Гамма-распределение'!$K$29:$K$40</c:f>
              <c:numCache>
                <c:formatCode>General</c:formatCode>
                <c:ptCount val="12"/>
                <c:pt idx="0">
                  <c:v>3.832457038812586E-2</c:v>
                </c:pt>
                <c:pt idx="1">
                  <c:v>9.2719151898849411E-2</c:v>
                </c:pt>
                <c:pt idx="2">
                  <c:v>0.14162710388567759</c:v>
                </c:pt>
                <c:pt idx="3">
                  <c:v>0.163838198877479</c:v>
                </c:pt>
                <c:pt idx="4">
                  <c:v>0.15730988157469994</c:v>
                </c:pt>
                <c:pt idx="5">
                  <c:v>0.13214132099322856</c:v>
                </c:pt>
                <c:pt idx="6">
                  <c:v>0.10037557402402952</c:v>
                </c:pt>
                <c:pt idx="7">
                  <c:v>7.0492028574457521E-2</c:v>
                </c:pt>
                <c:pt idx="8">
                  <c:v>4.6486665257794428E-2</c:v>
                </c:pt>
                <c:pt idx="9">
                  <c:v>2.911514862415255E-2</c:v>
                </c:pt>
                <c:pt idx="10">
                  <c:v>1.7466870804626271E-2</c:v>
                </c:pt>
                <c:pt idx="11">
                  <c:v>1.0103485096879212E-2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1-48A7-B1B1-DD65E04A4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78768"/>
        <c:axId val="438380688"/>
      </c:lineChart>
      <c:catAx>
        <c:axId val="4383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80688"/>
        <c:crosses val="autoZero"/>
        <c:auto val="1"/>
        <c:lblAlgn val="ctr"/>
        <c:lblOffset val="100"/>
        <c:noMultiLvlLbl val="0"/>
      </c:catAx>
      <c:valAx>
        <c:axId val="4383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7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3.9455623602605268E-3"/>
          <c:y val="0.80732420821975359"/>
          <c:w val="0.23825230157964439"/>
          <c:h val="0.11462495797099805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'1.2.3 Гамма-распределение'!$F$29:$F$41</c:f>
              <c:strCache>
                <c:ptCount val="13"/>
                <c:pt idx="0">
                  <c:v>16,13243187</c:v>
                </c:pt>
                <c:pt idx="1">
                  <c:v>22,29243187</c:v>
                </c:pt>
                <c:pt idx="2">
                  <c:v>28,45243187</c:v>
                </c:pt>
                <c:pt idx="3">
                  <c:v>34,61243187</c:v>
                </c:pt>
                <c:pt idx="4">
                  <c:v>40,77243187</c:v>
                </c:pt>
                <c:pt idx="5">
                  <c:v>46,93243187</c:v>
                </c:pt>
                <c:pt idx="6">
                  <c:v>53,09243187</c:v>
                </c:pt>
                <c:pt idx="7">
                  <c:v>59,25243187</c:v>
                </c:pt>
                <c:pt idx="8">
                  <c:v>65,41243187</c:v>
                </c:pt>
                <c:pt idx="9">
                  <c:v>71,57243187</c:v>
                </c:pt>
                <c:pt idx="10">
                  <c:v>77,73243187</c:v>
                </c:pt>
                <c:pt idx="11">
                  <c:v>83,89243187</c:v>
                </c:pt>
                <c:pt idx="12">
                  <c:v>Еще</c:v>
                </c:pt>
              </c:strCache>
            </c:strRef>
          </c:cat>
          <c:val>
            <c:numRef>
              <c:f>'1.2.3 Гамма-распределение'!$G$29:$G$41</c:f>
              <c:numCache>
                <c:formatCode>General</c:formatCode>
                <c:ptCount val="13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17</c:v>
                </c:pt>
                <c:pt idx="4">
                  <c:v>22</c:v>
                </c:pt>
                <c:pt idx="5">
                  <c:v>18</c:v>
                </c:pt>
                <c:pt idx="6">
                  <c:v>7</c:v>
                </c:pt>
                <c:pt idx="7">
                  <c:v>12</c:v>
                </c:pt>
                <c:pt idx="8">
                  <c:v>9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D-4B52-AFC3-E1D983733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0441615"/>
        <c:axId val="710442095"/>
      </c:barChart>
      <c:catAx>
        <c:axId val="71044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0442095"/>
        <c:crosses val="autoZero"/>
        <c:auto val="1"/>
        <c:lblAlgn val="ctr"/>
        <c:lblOffset val="100"/>
        <c:noMultiLvlLbl val="0"/>
      </c:catAx>
      <c:valAx>
        <c:axId val="710442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044161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Бета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Бета-распределение'!$A$12:$A$116</c:f>
              <c:numCache>
                <c:formatCode>General</c:formatCode>
                <c:ptCount val="10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</c:numCache>
            </c:numRef>
          </c:xVal>
          <c:yVal>
            <c:numRef>
              <c:f>'1.2.4 Бета-распределение'!$C$12:$C$116</c:f>
              <c:numCache>
                <c:formatCode>General</c:formatCode>
                <c:ptCount val="105"/>
                <c:pt idx="0">
                  <c:v>0.72483128545416098</c:v>
                </c:pt>
                <c:pt idx="1">
                  <c:v>0.47293621106592171</c:v>
                </c:pt>
                <c:pt idx="2">
                  <c:v>0.41637755115788172</c:v>
                </c:pt>
                <c:pt idx="3">
                  <c:v>0.43560943619205172</c:v>
                </c:pt>
                <c:pt idx="4">
                  <c:v>0.41315723221471995</c:v>
                </c:pt>
                <c:pt idx="5">
                  <c:v>0.33015706479029577</c:v>
                </c:pt>
                <c:pt idx="6">
                  <c:v>0.27566494478864456</c:v>
                </c:pt>
                <c:pt idx="7">
                  <c:v>0.34789409276290456</c:v>
                </c:pt>
                <c:pt idx="8">
                  <c:v>0.53871674632937316</c:v>
                </c:pt>
                <c:pt idx="9">
                  <c:v>0.25695502927388952</c:v>
                </c:pt>
                <c:pt idx="10">
                  <c:v>0.49804252567075424</c:v>
                </c:pt>
                <c:pt idx="11">
                  <c:v>0.58165296301080471</c:v>
                </c:pt>
                <c:pt idx="12">
                  <c:v>0.71599242283204323</c:v>
                </c:pt>
                <c:pt idx="13">
                  <c:v>0.35186616203138454</c:v>
                </c:pt>
                <c:pt idx="14">
                  <c:v>0.44470820769656744</c:v>
                </c:pt>
                <c:pt idx="15">
                  <c:v>0.32552149124231478</c:v>
                </c:pt>
                <c:pt idx="16">
                  <c:v>0.54541045619453876</c:v>
                </c:pt>
                <c:pt idx="17">
                  <c:v>0.50808283179896119</c:v>
                </c:pt>
                <c:pt idx="18">
                  <c:v>0.3864956741551801</c:v>
                </c:pt>
                <c:pt idx="19">
                  <c:v>0.72746525084852531</c:v>
                </c:pt>
                <c:pt idx="20">
                  <c:v>0.38197694771009316</c:v>
                </c:pt>
                <c:pt idx="21">
                  <c:v>0.38729023569385057</c:v>
                </c:pt>
                <c:pt idx="22">
                  <c:v>0.75270720619613285</c:v>
                </c:pt>
                <c:pt idx="23">
                  <c:v>0.18538444995248915</c:v>
                </c:pt>
                <c:pt idx="24">
                  <c:v>0.29939206116103051</c:v>
                </c:pt>
                <c:pt idx="25">
                  <c:v>0.40084291779857867</c:v>
                </c:pt>
                <c:pt idx="26">
                  <c:v>0.24275226297295088</c:v>
                </c:pt>
                <c:pt idx="27">
                  <c:v>0.40388561403964907</c:v>
                </c:pt>
                <c:pt idx="28">
                  <c:v>0.48703732140900879</c:v>
                </c:pt>
                <c:pt idx="29">
                  <c:v>0.43673434937041733</c:v>
                </c:pt>
                <c:pt idx="30">
                  <c:v>0.3200395922541821</c:v>
                </c:pt>
                <c:pt idx="31">
                  <c:v>0.66738247185237976</c:v>
                </c:pt>
                <c:pt idx="32">
                  <c:v>0.60341751844500524</c:v>
                </c:pt>
                <c:pt idx="33">
                  <c:v>0.49910886273451477</c:v>
                </c:pt>
                <c:pt idx="34">
                  <c:v>0.56443813008811983</c:v>
                </c:pt>
                <c:pt idx="35">
                  <c:v>0.39403880021299093</c:v>
                </c:pt>
                <c:pt idx="36">
                  <c:v>0.63319475623425991</c:v>
                </c:pt>
                <c:pt idx="37">
                  <c:v>0.56098887783654083</c:v>
                </c:pt>
                <c:pt idx="38">
                  <c:v>0.7753514749089967</c:v>
                </c:pt>
                <c:pt idx="39">
                  <c:v>0.67604189986161978</c:v>
                </c:pt>
                <c:pt idx="40">
                  <c:v>0.46418551493795213</c:v>
                </c:pt>
                <c:pt idx="41">
                  <c:v>0.24012232178167484</c:v>
                </c:pt>
                <c:pt idx="42">
                  <c:v>0.44334232820705138</c:v>
                </c:pt>
                <c:pt idx="43">
                  <c:v>0.26302679013613567</c:v>
                </c:pt>
                <c:pt idx="44">
                  <c:v>0.38164483532014243</c:v>
                </c:pt>
                <c:pt idx="45">
                  <c:v>0.55424127149209812</c:v>
                </c:pt>
                <c:pt idx="46">
                  <c:v>0.32837414393830472</c:v>
                </c:pt>
                <c:pt idx="47">
                  <c:v>0.68606388136667529</c:v>
                </c:pt>
                <c:pt idx="48">
                  <c:v>0.69150014516059866</c:v>
                </c:pt>
                <c:pt idx="49">
                  <c:v>0.31245184063017578</c:v>
                </c:pt>
                <c:pt idx="50">
                  <c:v>0.24943749987896355</c:v>
                </c:pt>
                <c:pt idx="51">
                  <c:v>0.42805712055363077</c:v>
                </c:pt>
                <c:pt idx="52">
                  <c:v>0.64087041132740918</c:v>
                </c:pt>
                <c:pt idx="53">
                  <c:v>0.42876143103472714</c:v>
                </c:pt>
                <c:pt idx="54">
                  <c:v>0.36123965523582724</c:v>
                </c:pt>
                <c:pt idx="55">
                  <c:v>0.65790636917304646</c:v>
                </c:pt>
                <c:pt idx="56">
                  <c:v>0.51088815058181414</c:v>
                </c:pt>
                <c:pt idx="57">
                  <c:v>0.64637369975575842</c:v>
                </c:pt>
                <c:pt idx="58">
                  <c:v>0.42720781874056746</c:v>
                </c:pt>
                <c:pt idx="59">
                  <c:v>0.26651901490516844</c:v>
                </c:pt>
                <c:pt idx="60">
                  <c:v>0.40676153349111027</c:v>
                </c:pt>
                <c:pt idx="61">
                  <c:v>0.77611311087865054</c:v>
                </c:pt>
                <c:pt idx="62">
                  <c:v>0.75591847144710622</c:v>
                </c:pt>
                <c:pt idx="63">
                  <c:v>0.33709593735801546</c:v>
                </c:pt>
                <c:pt idx="64">
                  <c:v>0.87122748219581958</c:v>
                </c:pt>
                <c:pt idx="65">
                  <c:v>0.36715024461518331</c:v>
                </c:pt>
                <c:pt idx="66">
                  <c:v>0.49551357073835745</c:v>
                </c:pt>
                <c:pt idx="67">
                  <c:v>0.50127196849938471</c:v>
                </c:pt>
                <c:pt idx="68">
                  <c:v>0.40423554763844144</c:v>
                </c:pt>
                <c:pt idx="69">
                  <c:v>0.57679630775275315</c:v>
                </c:pt>
                <c:pt idx="70">
                  <c:v>0.74174366912804035</c:v>
                </c:pt>
                <c:pt idx="71">
                  <c:v>0.28668606020257803</c:v>
                </c:pt>
                <c:pt idx="72">
                  <c:v>0.59342086855267617</c:v>
                </c:pt>
                <c:pt idx="73">
                  <c:v>0.38543977925960432</c:v>
                </c:pt>
                <c:pt idx="74">
                  <c:v>0.42650195765435545</c:v>
                </c:pt>
                <c:pt idx="75">
                  <c:v>0.28747282710672173</c:v>
                </c:pt>
                <c:pt idx="76">
                  <c:v>0.4856486317315688</c:v>
                </c:pt>
                <c:pt idx="77">
                  <c:v>0.76782691591275742</c:v>
                </c:pt>
                <c:pt idx="78">
                  <c:v>0.32726152984686263</c:v>
                </c:pt>
                <c:pt idx="79">
                  <c:v>0.69834771366796822</c:v>
                </c:pt>
                <c:pt idx="80">
                  <c:v>0.24499255157322844</c:v>
                </c:pt>
                <c:pt idx="81">
                  <c:v>0.53721854891063237</c:v>
                </c:pt>
                <c:pt idx="82">
                  <c:v>0.44888782278347134</c:v>
                </c:pt>
                <c:pt idx="83">
                  <c:v>0.78920142153530592</c:v>
                </c:pt>
                <c:pt idx="84">
                  <c:v>0.16692467504551231</c:v>
                </c:pt>
                <c:pt idx="85">
                  <c:v>0.64126052733871819</c:v>
                </c:pt>
                <c:pt idx="86">
                  <c:v>0.57446173760161523</c:v>
                </c:pt>
                <c:pt idx="87">
                  <c:v>0.24141105833469839</c:v>
                </c:pt>
                <c:pt idx="88">
                  <c:v>0.7929323862194283</c:v>
                </c:pt>
                <c:pt idx="89">
                  <c:v>0.29119292926645751</c:v>
                </c:pt>
                <c:pt idx="90">
                  <c:v>0.66232682616943439</c:v>
                </c:pt>
                <c:pt idx="91">
                  <c:v>0.6879206676054791</c:v>
                </c:pt>
                <c:pt idx="92">
                  <c:v>0.17919026225036308</c:v>
                </c:pt>
                <c:pt idx="93">
                  <c:v>0.68901966665264802</c:v>
                </c:pt>
                <c:pt idx="94">
                  <c:v>0.64207936795336829</c:v>
                </c:pt>
                <c:pt idx="95">
                  <c:v>0.71035495138149152</c:v>
                </c:pt>
                <c:pt idx="96">
                  <c:v>0.58676081654665024</c:v>
                </c:pt>
                <c:pt idx="97">
                  <c:v>0.32173232395600176</c:v>
                </c:pt>
                <c:pt idx="98">
                  <c:v>0.62299776017624919</c:v>
                </c:pt>
                <c:pt idx="99">
                  <c:v>0.67715238669819167</c:v>
                </c:pt>
                <c:pt idx="100">
                  <c:v>0.65360849501523921</c:v>
                </c:pt>
                <c:pt idx="101">
                  <c:v>0.34860432837685379</c:v>
                </c:pt>
                <c:pt idx="102">
                  <c:v>0.47877268272155421</c:v>
                </c:pt>
                <c:pt idx="103">
                  <c:v>0.24910243006866892</c:v>
                </c:pt>
                <c:pt idx="104">
                  <c:v>0.64306834090061826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8-4D52-B366-D7041B89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681600"/>
        <c:axId val="1795334272"/>
      </c:scatterChart>
      <c:valAx>
        <c:axId val="179668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334272"/>
        <c:crosses val="autoZero"/>
        <c:crossBetween val="midCat"/>
      </c:valAx>
      <c:valAx>
        <c:axId val="17953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668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Бета-распределение'!$H$15:$H$29</c:f>
              <c:numCache>
                <c:formatCode>0.000</c:formatCode>
                <c:ptCount val="15"/>
                <c:pt idx="0">
                  <c:v>0.16692467504551231</c:v>
                </c:pt>
                <c:pt idx="1">
                  <c:v>0.2172320184133914</c:v>
                </c:pt>
                <c:pt idx="2">
                  <c:v>0.26753936178127047</c:v>
                </c:pt>
                <c:pt idx="3">
                  <c:v>0.31784670514914953</c:v>
                </c:pt>
                <c:pt idx="4">
                  <c:v>0.3681540485170286</c:v>
                </c:pt>
                <c:pt idx="5">
                  <c:v>0.41846139188490766</c:v>
                </c:pt>
                <c:pt idx="6">
                  <c:v>0.46876873525278673</c:v>
                </c:pt>
                <c:pt idx="7">
                  <c:v>0.51907607862066585</c:v>
                </c:pt>
                <c:pt idx="8">
                  <c:v>0.56938342198854497</c:v>
                </c:pt>
                <c:pt idx="9">
                  <c:v>0.61969076535642409</c:v>
                </c:pt>
                <c:pt idx="10">
                  <c:v>0.66999810872430321</c:v>
                </c:pt>
                <c:pt idx="11">
                  <c:v>0.72030545209218233</c:v>
                </c:pt>
                <c:pt idx="12">
                  <c:v>0.77061279546006145</c:v>
                </c:pt>
                <c:pt idx="13">
                  <c:v>0.82092013882794057</c:v>
                </c:pt>
                <c:pt idx="14">
                  <c:v>0.87122748219581969</c:v>
                </c:pt>
              </c:numCache>
            </c:numRef>
          </c:xVal>
          <c:yVal>
            <c:numRef>
              <c:f>'1.2.4 Бета-распределение'!$N$15:$N$29</c:f>
              <c:numCache>
                <c:formatCode>General</c:formatCode>
                <c:ptCount val="15"/>
                <c:pt idx="0">
                  <c:v>7.0921985815602835E-3</c:v>
                </c:pt>
                <c:pt idx="1">
                  <c:v>2.1276595744680851E-2</c:v>
                </c:pt>
                <c:pt idx="2">
                  <c:v>8.5106382978723402E-2</c:v>
                </c:pt>
                <c:pt idx="3">
                  <c:v>0.1276595744680851</c:v>
                </c:pt>
                <c:pt idx="4">
                  <c:v>0.21276595744680848</c:v>
                </c:pt>
                <c:pt idx="5">
                  <c:v>0.2978723404255319</c:v>
                </c:pt>
                <c:pt idx="6">
                  <c:v>0.36879432624113473</c:v>
                </c:pt>
                <c:pt idx="7">
                  <c:v>0.43971631205673756</c:v>
                </c:pt>
                <c:pt idx="8">
                  <c:v>0.48226950354609927</c:v>
                </c:pt>
                <c:pt idx="9">
                  <c:v>0.52482269503546097</c:v>
                </c:pt>
                <c:pt idx="10">
                  <c:v>0.6028368794326241</c:v>
                </c:pt>
                <c:pt idx="11">
                  <c:v>0.66666666666666663</c:v>
                </c:pt>
                <c:pt idx="12">
                  <c:v>0.70921985815602828</c:v>
                </c:pt>
                <c:pt idx="13">
                  <c:v>0.73758865248226946</c:v>
                </c:pt>
                <c:pt idx="14">
                  <c:v>0.74468085106382975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E3-44AF-B72C-22BA2C854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202000"/>
        <c:axId val="1795318464"/>
      </c:scatterChart>
      <c:valAx>
        <c:axId val="179620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318464"/>
        <c:crosses val="autoZero"/>
        <c:crossBetween val="midCat"/>
      </c:valAx>
      <c:valAx>
        <c:axId val="17953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620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4614759449485"/>
          <c:y val="0.24182505204090868"/>
          <c:w val="0.73045567117932531"/>
          <c:h val="0.4315847588017015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</c:v>
          </c:tx>
          <c:invertIfNegative val="0"/>
          <c:cat>
            <c:numRef>
              <c:f>'1.2.4 Бета-распределение'!$H$15:$H$29</c:f>
              <c:numCache>
                <c:formatCode>General</c:formatCode>
                <c:ptCount val="15"/>
                <c:pt idx="0">
                  <c:v>0.16692467504551231</c:v>
                </c:pt>
                <c:pt idx="1">
                  <c:v>0.2172320184133914</c:v>
                </c:pt>
                <c:pt idx="2">
                  <c:v>0.26753936178127047</c:v>
                </c:pt>
                <c:pt idx="3">
                  <c:v>0.31784670514914953</c:v>
                </c:pt>
                <c:pt idx="4">
                  <c:v>0.3681540485170286</c:v>
                </c:pt>
                <c:pt idx="5">
                  <c:v>0.41846139188490766</c:v>
                </c:pt>
                <c:pt idx="6">
                  <c:v>0.46876873525278673</c:v>
                </c:pt>
                <c:pt idx="7">
                  <c:v>0.51907607862066585</c:v>
                </c:pt>
                <c:pt idx="8">
                  <c:v>0.56938342198854497</c:v>
                </c:pt>
                <c:pt idx="9">
                  <c:v>0.61969076535642409</c:v>
                </c:pt>
                <c:pt idx="10">
                  <c:v>0.66999810872430321</c:v>
                </c:pt>
                <c:pt idx="11">
                  <c:v>0.72030545209218233</c:v>
                </c:pt>
                <c:pt idx="12">
                  <c:v>0.77061279546006145</c:v>
                </c:pt>
                <c:pt idx="13">
                  <c:v>0.82092013882794057</c:v>
                </c:pt>
                <c:pt idx="14">
                  <c:v>0.87122748219581969</c:v>
                </c:pt>
              </c:numCache>
            </c:numRef>
          </c:cat>
          <c:val>
            <c:numRef>
              <c:f>'1.2.4 Бета-распределение'!$K$15:$K$29</c:f>
              <c:numCache>
                <c:formatCode>General</c:formatCode>
                <c:ptCount val="15"/>
                <c:pt idx="0">
                  <c:v>7.0921985815602835E-3</c:v>
                </c:pt>
                <c:pt idx="1">
                  <c:v>1.4184397163120567E-2</c:v>
                </c:pt>
                <c:pt idx="2">
                  <c:v>6.3829787234042548E-2</c:v>
                </c:pt>
                <c:pt idx="3">
                  <c:v>4.2553191489361701E-2</c:v>
                </c:pt>
                <c:pt idx="4">
                  <c:v>8.5106382978723402E-2</c:v>
                </c:pt>
                <c:pt idx="5">
                  <c:v>8.5106382978723402E-2</c:v>
                </c:pt>
                <c:pt idx="6">
                  <c:v>7.0921985815602842E-2</c:v>
                </c:pt>
                <c:pt idx="7">
                  <c:v>7.0921985815602842E-2</c:v>
                </c:pt>
                <c:pt idx="8">
                  <c:v>4.2553191489361701E-2</c:v>
                </c:pt>
                <c:pt idx="9">
                  <c:v>4.2553191489361701E-2</c:v>
                </c:pt>
                <c:pt idx="10">
                  <c:v>7.8014184397163122E-2</c:v>
                </c:pt>
                <c:pt idx="11">
                  <c:v>6.3829787234042548E-2</c:v>
                </c:pt>
                <c:pt idx="12">
                  <c:v>4.2553191489361701E-2</c:v>
                </c:pt>
                <c:pt idx="13">
                  <c:v>2.8368794326241134E-2</c:v>
                </c:pt>
                <c:pt idx="14">
                  <c:v>7.0921985815602835E-3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6-400F-A10D-7AFCFC548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5650464"/>
        <c:axId val="1795318048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'1.2.4 Бета-распределение'!$O$15:$O$29</c:f>
              <c:numCache>
                <c:formatCode>General</c:formatCode>
                <c:ptCount val="15"/>
                <c:pt idx="0">
                  <c:v>2.5314716718738809E-2</c:v>
                </c:pt>
                <c:pt idx="1">
                  <c:v>4.0961022902375986E-2</c:v>
                </c:pt>
                <c:pt idx="2">
                  <c:v>5.7516234006992267E-2</c:v>
                </c:pt>
                <c:pt idx="3">
                  <c:v>7.3264141256429424E-2</c:v>
                </c:pt>
                <c:pt idx="4">
                  <c:v>8.6688957461035651E-2</c:v>
                </c:pt>
                <c:pt idx="5">
                  <c:v>9.6569988817458E-2</c:v>
                </c:pt>
                <c:pt idx="6">
                  <c:v>0.10204411940338086</c:v>
                </c:pt>
                <c:pt idx="7">
                  <c:v>0.10264466940854537</c:v>
                </c:pt>
                <c:pt idx="8">
                  <c:v>9.8320910239616796E-2</c:v>
                </c:pt>
                <c:pt idx="9">
                  <c:v>8.9440128797273713E-2</c:v>
                </c:pt>
                <c:pt idx="10">
                  <c:v>7.6772431720670442E-2</c:v>
                </c:pt>
                <c:pt idx="11">
                  <c:v>6.145684347185295E-2</c:v>
                </c:pt>
                <c:pt idx="12">
                  <c:v>4.4945103225508473E-2</c:v>
                </c:pt>
                <c:pt idx="13">
                  <c:v>2.8915919817174139E-2</c:v>
                </c:pt>
                <c:pt idx="14">
                  <c:v>1.5144812752947216E-2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6-400F-A10D-7AFCFC548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650464"/>
        <c:axId val="1795318048"/>
      </c:lineChart>
      <c:catAx>
        <c:axId val="180565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5318048"/>
        <c:crosses val="autoZero"/>
        <c:auto val="1"/>
        <c:lblAlgn val="ctr"/>
        <c:lblOffset val="100"/>
        <c:noMultiLvlLbl val="0"/>
      </c:catAx>
      <c:valAx>
        <c:axId val="1795318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565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301112846331097"/>
          <c:y val="0.88546952464275297"/>
          <c:w val="0.35786879601967947"/>
          <c:h val="0.11453053662409846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Бета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Бета-распределение'!$S$12:$S$1061</c:f>
              <c:numCache>
                <c:formatCode>General</c:formatCode>
                <c:ptCount val="105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</c:numCache>
            </c:numRef>
          </c:xVal>
          <c:yVal>
            <c:numRef>
              <c:f>'1.2.4 Бета-распределение'!$U$12:$U$1061</c:f>
              <c:numCache>
                <c:formatCode>General</c:formatCode>
                <c:ptCount val="1050"/>
                <c:pt idx="0">
                  <c:v>0.5626484044099116</c:v>
                </c:pt>
                <c:pt idx="1">
                  <c:v>0.46595794724165657</c:v>
                </c:pt>
                <c:pt idx="2">
                  <c:v>0.75022814778496094</c:v>
                </c:pt>
                <c:pt idx="3">
                  <c:v>0.54323717902197499</c:v>
                </c:pt>
                <c:pt idx="4">
                  <c:v>0.36964637553551627</c:v>
                </c:pt>
                <c:pt idx="5">
                  <c:v>0.54758788084344656</c:v>
                </c:pt>
                <c:pt idx="6">
                  <c:v>0.66508417286020638</c:v>
                </c:pt>
                <c:pt idx="7">
                  <c:v>0.33397056979505085</c:v>
                </c:pt>
                <c:pt idx="8">
                  <c:v>0.39615947243679195</c:v>
                </c:pt>
                <c:pt idx="9">
                  <c:v>0.57529803587051576</c:v>
                </c:pt>
                <c:pt idx="10">
                  <c:v>0.56136790727317543</c:v>
                </c:pt>
                <c:pt idx="11">
                  <c:v>0.29042044643327347</c:v>
                </c:pt>
                <c:pt idx="12">
                  <c:v>0.40134570554674714</c:v>
                </c:pt>
                <c:pt idx="13">
                  <c:v>0.26755861646114748</c:v>
                </c:pt>
                <c:pt idx="14">
                  <c:v>0.71211045070191237</c:v>
                </c:pt>
                <c:pt idx="15">
                  <c:v>0.37097801870564545</c:v>
                </c:pt>
                <c:pt idx="16">
                  <c:v>0.30641991464274049</c:v>
                </c:pt>
                <c:pt idx="17">
                  <c:v>0.53478159434945605</c:v>
                </c:pt>
                <c:pt idx="18">
                  <c:v>0.54555030642728564</c:v>
                </c:pt>
                <c:pt idx="19">
                  <c:v>0.45334582300255072</c:v>
                </c:pt>
                <c:pt idx="20">
                  <c:v>0.67249082195686671</c:v>
                </c:pt>
                <c:pt idx="21">
                  <c:v>0.17221751664145446</c:v>
                </c:pt>
                <c:pt idx="22">
                  <c:v>0.5254690360744072</c:v>
                </c:pt>
                <c:pt idx="23">
                  <c:v>0.52579095081078464</c:v>
                </c:pt>
                <c:pt idx="24">
                  <c:v>0.30892250349680228</c:v>
                </c:pt>
                <c:pt idx="25">
                  <c:v>0.26201583972868298</c:v>
                </c:pt>
                <c:pt idx="26">
                  <c:v>0.60323151169267797</c:v>
                </c:pt>
                <c:pt idx="27">
                  <c:v>0.82261532363646106</c:v>
                </c:pt>
                <c:pt idx="28">
                  <c:v>0.47868088718729473</c:v>
                </c:pt>
                <c:pt idx="29">
                  <c:v>0.31253940538868541</c:v>
                </c:pt>
                <c:pt idx="30">
                  <c:v>0.69959027260351758</c:v>
                </c:pt>
                <c:pt idx="31">
                  <c:v>0.6977061558966362</c:v>
                </c:pt>
                <c:pt idx="32">
                  <c:v>0.60720409056289149</c:v>
                </c:pt>
                <c:pt idx="33">
                  <c:v>0.84051769546884891</c:v>
                </c:pt>
                <c:pt idx="34">
                  <c:v>0.83707123204790568</c:v>
                </c:pt>
                <c:pt idx="35">
                  <c:v>0.23086690723660663</c:v>
                </c:pt>
                <c:pt idx="36">
                  <c:v>0.48802894654952556</c:v>
                </c:pt>
                <c:pt idx="37">
                  <c:v>0.65195220590164338</c:v>
                </c:pt>
                <c:pt idx="38">
                  <c:v>0.88436458182323685</c:v>
                </c:pt>
                <c:pt idx="39">
                  <c:v>0.44382925334085804</c:v>
                </c:pt>
                <c:pt idx="40">
                  <c:v>0.44949685103833364</c:v>
                </c:pt>
                <c:pt idx="41">
                  <c:v>0.47255266290183123</c:v>
                </c:pt>
                <c:pt idx="42">
                  <c:v>0.5058577593041601</c:v>
                </c:pt>
                <c:pt idx="43">
                  <c:v>0.72648627457550785</c:v>
                </c:pt>
                <c:pt idx="44">
                  <c:v>0.89183989350160808</c:v>
                </c:pt>
                <c:pt idx="45">
                  <c:v>0.56653389166478973</c:v>
                </c:pt>
                <c:pt idx="46">
                  <c:v>0.44541391033026106</c:v>
                </c:pt>
                <c:pt idx="47">
                  <c:v>0.75478836546018435</c:v>
                </c:pt>
                <c:pt idx="48">
                  <c:v>0.77430684966890428</c:v>
                </c:pt>
                <c:pt idx="49">
                  <c:v>0.54649863644671925</c:v>
                </c:pt>
                <c:pt idx="50">
                  <c:v>0.51383245789284804</c:v>
                </c:pt>
                <c:pt idx="51">
                  <c:v>0.41977547929996933</c:v>
                </c:pt>
                <c:pt idx="52">
                  <c:v>0.48592335804039338</c:v>
                </c:pt>
                <c:pt idx="53">
                  <c:v>0.52875198753747088</c:v>
                </c:pt>
                <c:pt idx="54">
                  <c:v>0.66006879259966822</c:v>
                </c:pt>
                <c:pt idx="55">
                  <c:v>0.42346169833986774</c:v>
                </c:pt>
                <c:pt idx="56">
                  <c:v>0.28055645317316835</c:v>
                </c:pt>
                <c:pt idx="57">
                  <c:v>0.3853357816624422</c:v>
                </c:pt>
                <c:pt idx="58">
                  <c:v>0.51853611065484206</c:v>
                </c:pt>
                <c:pt idx="59">
                  <c:v>0.55301973432975671</c:v>
                </c:pt>
                <c:pt idx="60">
                  <c:v>0.39617639992876069</c:v>
                </c:pt>
                <c:pt idx="61">
                  <c:v>0.64068479843750525</c:v>
                </c:pt>
                <c:pt idx="62">
                  <c:v>0.50107393588393312</c:v>
                </c:pt>
                <c:pt idx="63">
                  <c:v>0.22042219322201712</c:v>
                </c:pt>
                <c:pt idx="64">
                  <c:v>0.19044609639219762</c:v>
                </c:pt>
                <c:pt idx="65">
                  <c:v>0.60899766789549581</c:v>
                </c:pt>
                <c:pt idx="66">
                  <c:v>0.57734490410699624</c:v>
                </c:pt>
                <c:pt idx="67">
                  <c:v>0.31657653414139997</c:v>
                </c:pt>
                <c:pt idx="68">
                  <c:v>0.49557451462698315</c:v>
                </c:pt>
                <c:pt idx="69">
                  <c:v>0.59870455083758878</c:v>
                </c:pt>
                <c:pt idx="70">
                  <c:v>0.62044131298999528</c:v>
                </c:pt>
                <c:pt idx="71">
                  <c:v>0.65665543521665493</c:v>
                </c:pt>
                <c:pt idx="72">
                  <c:v>0.39178894969857292</c:v>
                </c:pt>
                <c:pt idx="73">
                  <c:v>0.56136790727317543</c:v>
                </c:pt>
                <c:pt idx="74">
                  <c:v>0.11312208997399348</c:v>
                </c:pt>
                <c:pt idx="75">
                  <c:v>0.54325268823486317</c:v>
                </c:pt>
                <c:pt idx="76">
                  <c:v>0.51334413687149416</c:v>
                </c:pt>
                <c:pt idx="77">
                  <c:v>0.50808283179896119</c:v>
                </c:pt>
                <c:pt idx="78">
                  <c:v>0.26780394044306077</c:v>
                </c:pt>
                <c:pt idx="79">
                  <c:v>0.31818577917008595</c:v>
                </c:pt>
                <c:pt idx="80">
                  <c:v>0.45213185239584286</c:v>
                </c:pt>
                <c:pt idx="81">
                  <c:v>0.26162106330284529</c:v>
                </c:pt>
                <c:pt idx="82">
                  <c:v>0.40510105031828786</c:v>
                </c:pt>
                <c:pt idx="83">
                  <c:v>0.66718010710939146</c:v>
                </c:pt>
                <c:pt idx="84">
                  <c:v>0.39859097580307223</c:v>
                </c:pt>
                <c:pt idx="85">
                  <c:v>0.38748002671745246</c:v>
                </c:pt>
                <c:pt idx="86">
                  <c:v>0.38734200499546079</c:v>
                </c:pt>
                <c:pt idx="87">
                  <c:v>0.74380155665975978</c:v>
                </c:pt>
                <c:pt idx="88">
                  <c:v>0.42637354248084353</c:v>
                </c:pt>
                <c:pt idx="89">
                  <c:v>0.16870396689100683</c:v>
                </c:pt>
                <c:pt idx="90">
                  <c:v>0.51684016150882739</c:v>
                </c:pt>
                <c:pt idx="91">
                  <c:v>0.30769693455699709</c:v>
                </c:pt>
                <c:pt idx="92">
                  <c:v>0.3497908615310758</c:v>
                </c:pt>
                <c:pt idx="93">
                  <c:v>0.58196180515376228</c:v>
                </c:pt>
                <c:pt idx="94">
                  <c:v>0.58463407712356186</c:v>
                </c:pt>
                <c:pt idx="95">
                  <c:v>0.51561843650567796</c:v>
                </c:pt>
                <c:pt idx="96">
                  <c:v>0.34010873018159321</c:v>
                </c:pt>
                <c:pt idx="97">
                  <c:v>0.29415944169960118</c:v>
                </c:pt>
                <c:pt idx="98">
                  <c:v>0.58929026356065117</c:v>
                </c:pt>
                <c:pt idx="99">
                  <c:v>0.77954045609791134</c:v>
                </c:pt>
                <c:pt idx="100">
                  <c:v>0.44101401635763438</c:v>
                </c:pt>
                <c:pt idx="101">
                  <c:v>0.40526733101165602</c:v>
                </c:pt>
                <c:pt idx="102">
                  <c:v>0.38961389132579782</c:v>
                </c:pt>
                <c:pt idx="103">
                  <c:v>0.69766040100821525</c:v>
                </c:pt>
                <c:pt idx="104">
                  <c:v>0.71754666583678628</c:v>
                </c:pt>
                <c:pt idx="105">
                  <c:v>0.61584461829235604</c:v>
                </c:pt>
                <c:pt idx="106">
                  <c:v>0.61734217258848489</c:v>
                </c:pt>
                <c:pt idx="107">
                  <c:v>0.57227927325123273</c:v>
                </c:pt>
                <c:pt idx="108">
                  <c:v>0.78199125417910698</c:v>
                </c:pt>
                <c:pt idx="109">
                  <c:v>0.75926412275969146</c:v>
                </c:pt>
                <c:pt idx="110">
                  <c:v>0.6573975463468904</c:v>
                </c:pt>
                <c:pt idx="111">
                  <c:v>0.79427297402712138</c:v>
                </c:pt>
                <c:pt idx="112">
                  <c:v>0.1914580413209184</c:v>
                </c:pt>
                <c:pt idx="113">
                  <c:v>0.76892603270006854</c:v>
                </c:pt>
                <c:pt idx="114">
                  <c:v>0.60365435785588129</c:v>
                </c:pt>
                <c:pt idx="115">
                  <c:v>0.66750396164684145</c:v>
                </c:pt>
                <c:pt idx="116">
                  <c:v>0.5174664800990072</c:v>
                </c:pt>
                <c:pt idx="117">
                  <c:v>0.65038110034449814</c:v>
                </c:pt>
                <c:pt idx="118">
                  <c:v>0.52318639037412529</c:v>
                </c:pt>
                <c:pt idx="119">
                  <c:v>0.71336321529811397</c:v>
                </c:pt>
                <c:pt idx="120">
                  <c:v>0.30126186294416352</c:v>
                </c:pt>
                <c:pt idx="121">
                  <c:v>0.61410985317218714</c:v>
                </c:pt>
                <c:pt idx="122">
                  <c:v>0.67620921592747663</c:v>
                </c:pt>
                <c:pt idx="123">
                  <c:v>0.49176474033397255</c:v>
                </c:pt>
                <c:pt idx="124">
                  <c:v>0.7312723409809625</c:v>
                </c:pt>
                <c:pt idx="125">
                  <c:v>0.25007519019928542</c:v>
                </c:pt>
                <c:pt idx="126">
                  <c:v>0.724491616316295</c:v>
                </c:pt>
                <c:pt idx="127">
                  <c:v>0.72775731386143561</c:v>
                </c:pt>
                <c:pt idx="128">
                  <c:v>0.53157945277295249</c:v>
                </c:pt>
                <c:pt idx="129">
                  <c:v>0.46316732135055722</c:v>
                </c:pt>
                <c:pt idx="130">
                  <c:v>0.66619064276666684</c:v>
                </c:pt>
                <c:pt idx="131">
                  <c:v>0.41675240335675728</c:v>
                </c:pt>
                <c:pt idx="132">
                  <c:v>0.50922613313975962</c:v>
                </c:pt>
                <c:pt idx="133">
                  <c:v>0.66627128390662449</c:v>
                </c:pt>
                <c:pt idx="134">
                  <c:v>0.48005746695835544</c:v>
                </c:pt>
                <c:pt idx="135">
                  <c:v>0.46132961442179471</c:v>
                </c:pt>
                <c:pt idx="136">
                  <c:v>0.68645588910539035</c:v>
                </c:pt>
                <c:pt idx="137">
                  <c:v>0.79393637802883987</c:v>
                </c:pt>
                <c:pt idx="138">
                  <c:v>0.40124518781233415</c:v>
                </c:pt>
                <c:pt idx="139">
                  <c:v>0.43279808803969383</c:v>
                </c:pt>
                <c:pt idx="140">
                  <c:v>0.52242093226207786</c:v>
                </c:pt>
                <c:pt idx="141">
                  <c:v>0.30829938484757702</c:v>
                </c:pt>
                <c:pt idx="142">
                  <c:v>0.63102122696689511</c:v>
                </c:pt>
                <c:pt idx="143">
                  <c:v>0.54029397879505869</c:v>
                </c:pt>
                <c:pt idx="144">
                  <c:v>0.25599414767865647</c:v>
                </c:pt>
                <c:pt idx="145">
                  <c:v>0.53367241667054344</c:v>
                </c:pt>
                <c:pt idx="146">
                  <c:v>0.481234630705344</c:v>
                </c:pt>
                <c:pt idx="147">
                  <c:v>0.3730203507646872</c:v>
                </c:pt>
                <c:pt idx="148">
                  <c:v>0.58882953318118947</c:v>
                </c:pt>
                <c:pt idx="149">
                  <c:v>0.64815281636668354</c:v>
                </c:pt>
                <c:pt idx="150">
                  <c:v>0.57558776359501351</c:v>
                </c:pt>
                <c:pt idx="151">
                  <c:v>0.39891090055489542</c:v>
                </c:pt>
                <c:pt idx="152">
                  <c:v>0.53873220026909496</c:v>
                </c:pt>
                <c:pt idx="153">
                  <c:v>0.44118727713667044</c:v>
                </c:pt>
                <c:pt idx="154">
                  <c:v>0.52847563161837707</c:v>
                </c:pt>
                <c:pt idx="155">
                  <c:v>0.42342945304612928</c:v>
                </c:pt>
                <c:pt idx="156">
                  <c:v>0.37701992625292846</c:v>
                </c:pt>
                <c:pt idx="157">
                  <c:v>0.47097161436711688</c:v>
                </c:pt>
                <c:pt idx="158">
                  <c:v>0.3540224355256632</c:v>
                </c:pt>
                <c:pt idx="159">
                  <c:v>0.31321695053810567</c:v>
                </c:pt>
                <c:pt idx="160">
                  <c:v>0.37344893138139618</c:v>
                </c:pt>
                <c:pt idx="161">
                  <c:v>0.44455131264594971</c:v>
                </c:pt>
                <c:pt idx="162">
                  <c:v>0.68890953768842911</c:v>
                </c:pt>
                <c:pt idx="163">
                  <c:v>0.35820000448531658</c:v>
                </c:pt>
                <c:pt idx="164">
                  <c:v>0.52245154569196772</c:v>
                </c:pt>
                <c:pt idx="165">
                  <c:v>0.48358749524099498</c:v>
                </c:pt>
                <c:pt idx="166">
                  <c:v>0.53921136112847434</c:v>
                </c:pt>
                <c:pt idx="167">
                  <c:v>0.64490474563974698</c:v>
                </c:pt>
                <c:pt idx="168">
                  <c:v>0.56748838506808175</c:v>
                </c:pt>
                <c:pt idx="169">
                  <c:v>0.30930001535081636</c:v>
                </c:pt>
                <c:pt idx="170">
                  <c:v>0.46732823986313776</c:v>
                </c:pt>
                <c:pt idx="171">
                  <c:v>0.84817929498912692</c:v>
                </c:pt>
                <c:pt idx="172">
                  <c:v>0.77466613720715038</c:v>
                </c:pt>
                <c:pt idx="173">
                  <c:v>0.60394210501969126</c:v>
                </c:pt>
                <c:pt idx="174">
                  <c:v>0.67375210135313612</c:v>
                </c:pt>
                <c:pt idx="175">
                  <c:v>0.66500387187036303</c:v>
                </c:pt>
                <c:pt idx="176">
                  <c:v>0.55117466231672974</c:v>
                </c:pt>
                <c:pt idx="177">
                  <c:v>0.31117852866270507</c:v>
                </c:pt>
                <c:pt idx="178">
                  <c:v>0.45500899190120486</c:v>
                </c:pt>
                <c:pt idx="179">
                  <c:v>0.85176332754379769</c:v>
                </c:pt>
                <c:pt idx="180">
                  <c:v>0.50373988728560959</c:v>
                </c:pt>
                <c:pt idx="181">
                  <c:v>0.30794256618532329</c:v>
                </c:pt>
                <c:pt idx="182">
                  <c:v>0.32719958181950332</c:v>
                </c:pt>
                <c:pt idx="183">
                  <c:v>0.58787634468709216</c:v>
                </c:pt>
                <c:pt idx="184">
                  <c:v>0.49758551238298576</c:v>
                </c:pt>
                <c:pt idx="185">
                  <c:v>0.60670994392907751</c:v>
                </c:pt>
                <c:pt idx="186">
                  <c:v>0.77883284541771491</c:v>
                </c:pt>
                <c:pt idx="187">
                  <c:v>0.46356851450724623</c:v>
                </c:pt>
                <c:pt idx="188">
                  <c:v>0.53792882981981738</c:v>
                </c:pt>
                <c:pt idx="189">
                  <c:v>0.37925979930589027</c:v>
                </c:pt>
                <c:pt idx="190">
                  <c:v>0.39585467565648952</c:v>
                </c:pt>
                <c:pt idx="191">
                  <c:v>0.66724080103226391</c:v>
                </c:pt>
                <c:pt idx="192">
                  <c:v>0.34848926454166301</c:v>
                </c:pt>
                <c:pt idx="193">
                  <c:v>0.50236878588400946</c:v>
                </c:pt>
                <c:pt idx="194">
                  <c:v>0.54966047571370269</c:v>
                </c:pt>
                <c:pt idx="195">
                  <c:v>0.45060466872774013</c:v>
                </c:pt>
                <c:pt idx="196">
                  <c:v>0.44522577473410513</c:v>
                </c:pt>
                <c:pt idx="197">
                  <c:v>0.64083328068113488</c:v>
                </c:pt>
                <c:pt idx="198">
                  <c:v>0.50104346940298217</c:v>
                </c:pt>
                <c:pt idx="199">
                  <c:v>0.53197936729471929</c:v>
                </c:pt>
                <c:pt idx="200">
                  <c:v>0.50841817794827415</c:v>
                </c:pt>
                <c:pt idx="201">
                  <c:v>0.71140154867133387</c:v>
                </c:pt>
                <c:pt idx="202">
                  <c:v>0.67148196603354815</c:v>
                </c:pt>
                <c:pt idx="203">
                  <c:v>0.55295713297012417</c:v>
                </c:pt>
                <c:pt idx="204">
                  <c:v>0.85358132500239936</c:v>
                </c:pt>
                <c:pt idx="205">
                  <c:v>0.32109886882012462</c:v>
                </c:pt>
                <c:pt idx="206">
                  <c:v>0.43053516845241652</c:v>
                </c:pt>
                <c:pt idx="207">
                  <c:v>0.63953623582564423</c:v>
                </c:pt>
                <c:pt idx="208">
                  <c:v>0.43763632170327965</c:v>
                </c:pt>
                <c:pt idx="209">
                  <c:v>0.50847915190165105</c:v>
                </c:pt>
                <c:pt idx="210">
                  <c:v>0.44235196496351625</c:v>
                </c:pt>
                <c:pt idx="211">
                  <c:v>0.60458592857245874</c:v>
                </c:pt>
                <c:pt idx="212">
                  <c:v>0.26660131309924701</c:v>
                </c:pt>
                <c:pt idx="213">
                  <c:v>0.81745408831538247</c:v>
                </c:pt>
                <c:pt idx="214">
                  <c:v>0.38665124532692091</c:v>
                </c:pt>
                <c:pt idx="215">
                  <c:v>0.69391732535256501</c:v>
                </c:pt>
                <c:pt idx="216">
                  <c:v>0.51926980518438315</c:v>
                </c:pt>
                <c:pt idx="217">
                  <c:v>0.17163157717308977</c:v>
                </c:pt>
                <c:pt idx="218">
                  <c:v>0.32744728755456198</c:v>
                </c:pt>
                <c:pt idx="219">
                  <c:v>0.39422580002198809</c:v>
                </c:pt>
                <c:pt idx="220">
                  <c:v>0.41701303428646824</c:v>
                </c:pt>
                <c:pt idx="221">
                  <c:v>0.38293684380880105</c:v>
                </c:pt>
                <c:pt idx="222">
                  <c:v>0.35764102851835394</c:v>
                </c:pt>
                <c:pt idx="223">
                  <c:v>0.58131178923990823</c:v>
                </c:pt>
                <c:pt idx="224">
                  <c:v>0.29890468292756267</c:v>
                </c:pt>
                <c:pt idx="225">
                  <c:v>0.74099644651607144</c:v>
                </c:pt>
                <c:pt idx="226">
                  <c:v>0.78700152243885757</c:v>
                </c:pt>
                <c:pt idx="227">
                  <c:v>0.5107813991467911</c:v>
                </c:pt>
                <c:pt idx="228">
                  <c:v>0.37860851932737816</c:v>
                </c:pt>
                <c:pt idx="229">
                  <c:v>0.40641325790083088</c:v>
                </c:pt>
                <c:pt idx="230">
                  <c:v>0.56253766587754439</c:v>
                </c:pt>
                <c:pt idx="231">
                  <c:v>0.7169435577507226</c:v>
                </c:pt>
                <c:pt idx="232">
                  <c:v>0.50591871183570825</c:v>
                </c:pt>
                <c:pt idx="233">
                  <c:v>0.36405163800977619</c:v>
                </c:pt>
                <c:pt idx="234">
                  <c:v>0.32510549929427346</c:v>
                </c:pt>
                <c:pt idx="235">
                  <c:v>0.38257059684832001</c:v>
                </c:pt>
                <c:pt idx="236">
                  <c:v>0.69335553384320148</c:v>
                </c:pt>
                <c:pt idx="237">
                  <c:v>0.43259120160673581</c:v>
                </c:pt>
                <c:pt idx="238">
                  <c:v>0.39023150126834083</c:v>
                </c:pt>
                <c:pt idx="239">
                  <c:v>0.12152555824835419</c:v>
                </c:pt>
                <c:pt idx="240">
                  <c:v>0.14255752982737552</c:v>
                </c:pt>
                <c:pt idx="241">
                  <c:v>0.25191299490068431</c:v>
                </c:pt>
                <c:pt idx="242">
                  <c:v>0.374322478794411</c:v>
                </c:pt>
                <c:pt idx="243">
                  <c:v>0.21148282717311873</c:v>
                </c:pt>
                <c:pt idx="244">
                  <c:v>0.67708940148092034</c:v>
                </c:pt>
                <c:pt idx="245">
                  <c:v>0.44699591638705627</c:v>
                </c:pt>
                <c:pt idx="246">
                  <c:v>0.54864704905984207</c:v>
                </c:pt>
                <c:pt idx="247">
                  <c:v>0.2612253644515512</c:v>
                </c:pt>
                <c:pt idx="248">
                  <c:v>0.28227707547436881</c:v>
                </c:pt>
                <c:pt idx="249">
                  <c:v>0.42452492303971578</c:v>
                </c:pt>
                <c:pt idx="250">
                  <c:v>0.5280611759001469</c:v>
                </c:pt>
                <c:pt idx="251">
                  <c:v>0.4692969451448456</c:v>
                </c:pt>
                <c:pt idx="252">
                  <c:v>0.42189598896720254</c:v>
                </c:pt>
                <c:pt idx="253">
                  <c:v>0.4091932529993732</c:v>
                </c:pt>
                <c:pt idx="254">
                  <c:v>0.60024817569726996</c:v>
                </c:pt>
                <c:pt idx="255">
                  <c:v>0.84425655739273597</c:v>
                </c:pt>
                <c:pt idx="256">
                  <c:v>0.51500774364439939</c:v>
                </c:pt>
                <c:pt idx="257">
                  <c:v>0.43351380186833621</c:v>
                </c:pt>
                <c:pt idx="258">
                  <c:v>0.63896338648845652</c:v>
                </c:pt>
                <c:pt idx="259">
                  <c:v>0.32303652285178563</c:v>
                </c:pt>
                <c:pt idx="260">
                  <c:v>0.5849117565663875</c:v>
                </c:pt>
                <c:pt idx="261">
                  <c:v>0.74036679183534493</c:v>
                </c:pt>
                <c:pt idx="262">
                  <c:v>0.71030640290905689</c:v>
                </c:pt>
                <c:pt idx="263">
                  <c:v>0.32633078949263211</c:v>
                </c:pt>
                <c:pt idx="264">
                  <c:v>0.4629821168659688</c:v>
                </c:pt>
                <c:pt idx="265">
                  <c:v>0.27237550016962014</c:v>
                </c:pt>
                <c:pt idx="266">
                  <c:v>0.40391895111469595</c:v>
                </c:pt>
                <c:pt idx="267">
                  <c:v>0.76626198191820727</c:v>
                </c:pt>
                <c:pt idx="268">
                  <c:v>0.80537682896140939</c:v>
                </c:pt>
                <c:pt idx="269">
                  <c:v>0.34528881081958107</c:v>
                </c:pt>
                <c:pt idx="270">
                  <c:v>0.15921116585301051</c:v>
                </c:pt>
                <c:pt idx="271">
                  <c:v>0.50127196849938471</c:v>
                </c:pt>
                <c:pt idx="272">
                  <c:v>0.73931314296359707</c:v>
                </c:pt>
                <c:pt idx="273">
                  <c:v>0.94171782465609188</c:v>
                </c:pt>
                <c:pt idx="274">
                  <c:v>0.78010186122701997</c:v>
                </c:pt>
                <c:pt idx="275">
                  <c:v>0.53908769019950498</c:v>
                </c:pt>
                <c:pt idx="276">
                  <c:v>0.38760076028102713</c:v>
                </c:pt>
                <c:pt idx="277">
                  <c:v>0.66428218790926308</c:v>
                </c:pt>
                <c:pt idx="278">
                  <c:v>0.40659571599688921</c:v>
                </c:pt>
                <c:pt idx="279">
                  <c:v>0.28086120864073438</c:v>
                </c:pt>
                <c:pt idx="280">
                  <c:v>0.47595598663387989</c:v>
                </c:pt>
                <c:pt idx="281">
                  <c:v>0.41148289305187574</c:v>
                </c:pt>
                <c:pt idx="282">
                  <c:v>0.41605140458005502</c:v>
                </c:pt>
                <c:pt idx="283">
                  <c:v>0.36669622828142989</c:v>
                </c:pt>
                <c:pt idx="284">
                  <c:v>0.59260882243998492</c:v>
                </c:pt>
                <c:pt idx="285">
                  <c:v>0.46430888340656007</c:v>
                </c:pt>
                <c:pt idx="286">
                  <c:v>0.72215686346447705</c:v>
                </c:pt>
                <c:pt idx="287">
                  <c:v>0.46128325367062673</c:v>
                </c:pt>
                <c:pt idx="288">
                  <c:v>0.57090266445398696</c:v>
                </c:pt>
                <c:pt idx="289">
                  <c:v>0.42310691413930279</c:v>
                </c:pt>
                <c:pt idx="290">
                  <c:v>0.82955182712644726</c:v>
                </c:pt>
                <c:pt idx="291">
                  <c:v>0.71069511414970643</c:v>
                </c:pt>
                <c:pt idx="292">
                  <c:v>0.42842536940926546</c:v>
                </c:pt>
                <c:pt idx="293">
                  <c:v>0.47361107092799926</c:v>
                </c:pt>
                <c:pt idx="294">
                  <c:v>0.59438364858961046</c:v>
                </c:pt>
                <c:pt idx="295">
                  <c:v>0.43897954289356633</c:v>
                </c:pt>
                <c:pt idx="296">
                  <c:v>0.69692959461990378</c:v>
                </c:pt>
                <c:pt idx="297">
                  <c:v>0.80902261494304173</c:v>
                </c:pt>
                <c:pt idx="298">
                  <c:v>0.11257788657982462</c:v>
                </c:pt>
                <c:pt idx="299">
                  <c:v>0.45200726609803532</c:v>
                </c:pt>
                <c:pt idx="300">
                  <c:v>0.18878652537804277</c:v>
                </c:pt>
                <c:pt idx="301">
                  <c:v>0.66949591343156589</c:v>
                </c:pt>
                <c:pt idx="302">
                  <c:v>0.51505354183535734</c:v>
                </c:pt>
                <c:pt idx="303">
                  <c:v>0.55215931592476475</c:v>
                </c:pt>
                <c:pt idx="304">
                  <c:v>0.32788022005108369</c:v>
                </c:pt>
                <c:pt idx="305">
                  <c:v>0.1334657322454455</c:v>
                </c:pt>
                <c:pt idx="306">
                  <c:v>0.42610058128536221</c:v>
                </c:pt>
                <c:pt idx="307">
                  <c:v>0.61291690247854813</c:v>
                </c:pt>
                <c:pt idx="308">
                  <c:v>0.45348581047678715</c:v>
                </c:pt>
                <c:pt idx="309">
                  <c:v>0.60132481341180855</c:v>
                </c:pt>
                <c:pt idx="310">
                  <c:v>0.31378374675241916</c:v>
                </c:pt>
                <c:pt idx="311">
                  <c:v>7.3457602052811516E-2</c:v>
                </c:pt>
                <c:pt idx="312">
                  <c:v>0.50005331577018808</c:v>
                </c:pt>
                <c:pt idx="313">
                  <c:v>0.37792089927189265</c:v>
                </c:pt>
                <c:pt idx="314">
                  <c:v>0.69158922160851077</c:v>
                </c:pt>
                <c:pt idx="315">
                  <c:v>0.15016404257334434</c:v>
                </c:pt>
                <c:pt idx="316">
                  <c:v>0.60216756950933958</c:v>
                </c:pt>
                <c:pt idx="317">
                  <c:v>0.64247087780371692</c:v>
                </c:pt>
                <c:pt idx="318">
                  <c:v>0.50942432805307658</c:v>
                </c:pt>
                <c:pt idx="319">
                  <c:v>0.21831294435335563</c:v>
                </c:pt>
                <c:pt idx="320">
                  <c:v>0.51245920879920459</c:v>
                </c:pt>
                <c:pt idx="321">
                  <c:v>0.78464599005336</c:v>
                </c:pt>
                <c:pt idx="322">
                  <c:v>0.51134568393620228</c:v>
                </c:pt>
                <c:pt idx="323">
                  <c:v>0.8567705411928499</c:v>
                </c:pt>
                <c:pt idx="324">
                  <c:v>0.4496373444294316</c:v>
                </c:pt>
                <c:pt idx="325">
                  <c:v>0.196377530744475</c:v>
                </c:pt>
                <c:pt idx="326">
                  <c:v>0.22075795930862618</c:v>
                </c:pt>
                <c:pt idx="327">
                  <c:v>0.63404958742268802</c:v>
                </c:pt>
                <c:pt idx="328">
                  <c:v>0.30240821372843829</c:v>
                </c:pt>
                <c:pt idx="329">
                  <c:v>0.76078657067833566</c:v>
                </c:pt>
                <c:pt idx="330">
                  <c:v>0.26060167197766243</c:v>
                </c:pt>
                <c:pt idx="331">
                  <c:v>0.47939986119949102</c:v>
                </c:pt>
                <c:pt idx="332">
                  <c:v>0.25064992175404377</c:v>
                </c:pt>
                <c:pt idx="333">
                  <c:v>0.45500899190120486</c:v>
                </c:pt>
                <c:pt idx="334">
                  <c:v>0.39784929978151728</c:v>
                </c:pt>
                <c:pt idx="335">
                  <c:v>0.24411303482153218</c:v>
                </c:pt>
                <c:pt idx="336">
                  <c:v>0.67337929681390496</c:v>
                </c:pt>
                <c:pt idx="337">
                  <c:v>0.53117963528614198</c:v>
                </c:pt>
                <c:pt idx="338">
                  <c:v>0.48726617896913393</c:v>
                </c:pt>
                <c:pt idx="339">
                  <c:v>0.67943021655078195</c:v>
                </c:pt>
                <c:pt idx="340">
                  <c:v>0.44301232778827399</c:v>
                </c:pt>
                <c:pt idx="341">
                  <c:v>0.62848346278585376</c:v>
                </c:pt>
                <c:pt idx="342">
                  <c:v>0.44528849076633625</c:v>
                </c:pt>
                <c:pt idx="343">
                  <c:v>0.35857214317716374</c:v>
                </c:pt>
                <c:pt idx="344">
                  <c:v>0.17320503437171056</c:v>
                </c:pt>
                <c:pt idx="345">
                  <c:v>0.29280103672900337</c:v>
                </c:pt>
                <c:pt idx="346">
                  <c:v>0.4614068787849786</c:v>
                </c:pt>
                <c:pt idx="347">
                  <c:v>0.80631180854871587</c:v>
                </c:pt>
                <c:pt idx="348">
                  <c:v>0.18824383585107576</c:v>
                </c:pt>
                <c:pt idx="349">
                  <c:v>0.58664610412533258</c:v>
                </c:pt>
                <c:pt idx="350">
                  <c:v>0.71186572117755731</c:v>
                </c:pt>
                <c:pt idx="351">
                  <c:v>0.43061496537833271</c:v>
                </c:pt>
                <c:pt idx="352">
                  <c:v>0.14306206591727275</c:v>
                </c:pt>
                <c:pt idx="353">
                  <c:v>0.74383072610693701</c:v>
                </c:pt>
                <c:pt idx="354">
                  <c:v>0.44865348371209185</c:v>
                </c:pt>
                <c:pt idx="355">
                  <c:v>0.68558562170335668</c:v>
                </c:pt>
                <c:pt idx="356">
                  <c:v>0.28212586934420458</c:v>
                </c:pt>
                <c:pt idx="357">
                  <c:v>0.77691577508486864</c:v>
                </c:pt>
                <c:pt idx="358">
                  <c:v>0.50904319015127153</c:v>
                </c:pt>
                <c:pt idx="359">
                  <c:v>0.10603458226535212</c:v>
                </c:pt>
                <c:pt idx="360">
                  <c:v>0.49106352390838642</c:v>
                </c:pt>
                <c:pt idx="361">
                  <c:v>0.65951685176117447</c:v>
                </c:pt>
                <c:pt idx="362">
                  <c:v>0.47669111236548395</c:v>
                </c:pt>
                <c:pt idx="363">
                  <c:v>0.62945334904483508</c:v>
                </c:pt>
                <c:pt idx="364">
                  <c:v>0.44384495629333759</c:v>
                </c:pt>
                <c:pt idx="365">
                  <c:v>0.46129870743229812</c:v>
                </c:pt>
                <c:pt idx="366">
                  <c:v>0.43095001845951086</c:v>
                </c:pt>
                <c:pt idx="367">
                  <c:v>0.2756910254954642</c:v>
                </c:pt>
                <c:pt idx="368">
                  <c:v>0.50527873041940785</c:v>
                </c:pt>
                <c:pt idx="369">
                  <c:v>0.61987929276973885</c:v>
                </c:pt>
                <c:pt idx="370">
                  <c:v>0.39439573555406515</c:v>
                </c:pt>
                <c:pt idx="371">
                  <c:v>0.30800951147872818</c:v>
                </c:pt>
                <c:pt idx="372">
                  <c:v>0.60226879745565187</c:v>
                </c:pt>
                <c:pt idx="373">
                  <c:v>0.64265747099262582</c:v>
                </c:pt>
                <c:pt idx="374">
                  <c:v>0.64845662322835818</c:v>
                </c:pt>
                <c:pt idx="375">
                  <c:v>0.61556658463835801</c:v>
                </c:pt>
                <c:pt idx="376">
                  <c:v>0.54239997731194545</c:v>
                </c:pt>
                <c:pt idx="377">
                  <c:v>0.53167173208012541</c:v>
                </c:pt>
                <c:pt idx="378">
                  <c:v>0.48004217569998292</c:v>
                </c:pt>
                <c:pt idx="379">
                  <c:v>0.31801462244076256</c:v>
                </c:pt>
                <c:pt idx="380">
                  <c:v>0.56275915788386366</c:v>
                </c:pt>
                <c:pt idx="381">
                  <c:v>0.56114678601738177</c:v>
                </c:pt>
                <c:pt idx="382">
                  <c:v>0.61379833391317384</c:v>
                </c:pt>
                <c:pt idx="383">
                  <c:v>0.34404593218346835</c:v>
                </c:pt>
                <c:pt idx="384">
                  <c:v>0.61905521609743386</c:v>
                </c:pt>
                <c:pt idx="385">
                  <c:v>0.57579708869098045</c:v>
                </c:pt>
                <c:pt idx="386">
                  <c:v>0.55544868735405029</c:v>
                </c:pt>
                <c:pt idx="387">
                  <c:v>0.56492981494897521</c:v>
                </c:pt>
                <c:pt idx="388">
                  <c:v>0.30144567726886601</c:v>
                </c:pt>
                <c:pt idx="389">
                  <c:v>0.51175750279524568</c:v>
                </c:pt>
                <c:pt idx="390">
                  <c:v>0.26048802474524424</c:v>
                </c:pt>
                <c:pt idx="391">
                  <c:v>0.36441756952390808</c:v>
                </c:pt>
                <c:pt idx="392">
                  <c:v>0.64838064457087685</c:v>
                </c:pt>
                <c:pt idx="393">
                  <c:v>0.17285771750392134</c:v>
                </c:pt>
                <c:pt idx="394">
                  <c:v>0.81687983650274743</c:v>
                </c:pt>
                <c:pt idx="395">
                  <c:v>0.68219948903117156</c:v>
                </c:pt>
                <c:pt idx="396">
                  <c:v>0.49913932911235181</c:v>
                </c:pt>
                <c:pt idx="397">
                  <c:v>0.45569221048061292</c:v>
                </c:pt>
                <c:pt idx="398">
                  <c:v>0.38047157951141186</c:v>
                </c:pt>
                <c:pt idx="399">
                  <c:v>0.38961389132579782</c:v>
                </c:pt>
                <c:pt idx="400">
                  <c:v>0.64641145199213401</c:v>
                </c:pt>
                <c:pt idx="401">
                  <c:v>0.37133711605784619</c:v>
                </c:pt>
                <c:pt idx="402">
                  <c:v>0.69561104277330399</c:v>
                </c:pt>
                <c:pt idx="403">
                  <c:v>0.72290600186963627</c:v>
                </c:pt>
                <c:pt idx="404">
                  <c:v>0.2588601176578344</c:v>
                </c:pt>
                <c:pt idx="405">
                  <c:v>0.6296332314584554</c:v>
                </c:pt>
                <c:pt idx="406">
                  <c:v>0.56946483154758343</c:v>
                </c:pt>
                <c:pt idx="407">
                  <c:v>0.64648696957483009</c:v>
                </c:pt>
                <c:pt idx="408">
                  <c:v>0.49316694724467092</c:v>
                </c:pt>
                <c:pt idx="409">
                  <c:v>0.67824658790336756</c:v>
                </c:pt>
                <c:pt idx="410">
                  <c:v>0.43109356630287743</c:v>
                </c:pt>
                <c:pt idx="411">
                  <c:v>0.59110393205680367</c:v>
                </c:pt>
                <c:pt idx="412">
                  <c:v>0.57967348600184199</c:v>
                </c:pt>
                <c:pt idx="413">
                  <c:v>0.37694917583198734</c:v>
                </c:pt>
                <c:pt idx="414">
                  <c:v>0.44572738657426786</c:v>
                </c:pt>
                <c:pt idx="415">
                  <c:v>0.72906406581055816</c:v>
                </c:pt>
                <c:pt idx="416">
                  <c:v>0.20802176321099747</c:v>
                </c:pt>
                <c:pt idx="417">
                  <c:v>0.36430782950161966</c:v>
                </c:pt>
                <c:pt idx="418">
                  <c:v>0.33896279879187757</c:v>
                </c:pt>
                <c:pt idx="419">
                  <c:v>0.49290786473592307</c:v>
                </c:pt>
                <c:pt idx="420">
                  <c:v>0.43484803375476572</c:v>
                </c:pt>
                <c:pt idx="421">
                  <c:v>0.43096596958990557</c:v>
                </c:pt>
                <c:pt idx="422">
                  <c:v>0.4426979297559045</c:v>
                </c:pt>
                <c:pt idx="423">
                  <c:v>0.84229637464884299</c:v>
                </c:pt>
                <c:pt idx="424">
                  <c:v>0.63161767023969229</c:v>
                </c:pt>
                <c:pt idx="425">
                  <c:v>0.62326315079306593</c:v>
                </c:pt>
                <c:pt idx="426">
                  <c:v>0.5297502936654237</c:v>
                </c:pt>
                <c:pt idx="427">
                  <c:v>0.32069686445613599</c:v>
                </c:pt>
                <c:pt idx="428">
                  <c:v>0.37487412001604892</c:v>
                </c:pt>
                <c:pt idx="429">
                  <c:v>0.25908955567004516</c:v>
                </c:pt>
                <c:pt idx="430">
                  <c:v>0.27112319224884462</c:v>
                </c:pt>
                <c:pt idx="431">
                  <c:v>0.54162530132862297</c:v>
                </c:pt>
                <c:pt idx="432">
                  <c:v>0.73048824398963308</c:v>
                </c:pt>
                <c:pt idx="433">
                  <c:v>0.51858196088153874</c:v>
                </c:pt>
                <c:pt idx="434">
                  <c:v>0.32911333159960954</c:v>
                </c:pt>
                <c:pt idx="435">
                  <c:v>0.22558546594735174</c:v>
                </c:pt>
                <c:pt idx="436">
                  <c:v>0.56310733785288214</c:v>
                </c:pt>
                <c:pt idx="437">
                  <c:v>0.67232585078177798</c:v>
                </c:pt>
                <c:pt idx="438">
                  <c:v>0.67342069363383861</c:v>
                </c:pt>
                <c:pt idx="439">
                  <c:v>0.26607943572944687</c:v>
                </c:pt>
                <c:pt idx="440">
                  <c:v>0.6908331545433517</c:v>
                </c:pt>
                <c:pt idx="441">
                  <c:v>0.69947492656545296</c:v>
                </c:pt>
                <c:pt idx="442">
                  <c:v>0.53888674947580162</c:v>
                </c:pt>
                <c:pt idx="443">
                  <c:v>0.44841909008197883</c:v>
                </c:pt>
                <c:pt idx="444">
                  <c:v>0.5601840037412662</c:v>
                </c:pt>
                <c:pt idx="445">
                  <c:v>0.45005870952383942</c:v>
                </c:pt>
                <c:pt idx="446">
                  <c:v>0.62689032230576758</c:v>
                </c:pt>
                <c:pt idx="447">
                  <c:v>0.24949834444166399</c:v>
                </c:pt>
                <c:pt idx="448">
                  <c:v>0.31286748858160029</c:v>
                </c:pt>
                <c:pt idx="449">
                  <c:v>0.45643708526877691</c:v>
                </c:pt>
                <c:pt idx="450">
                  <c:v>0.36939390985786308</c:v>
                </c:pt>
                <c:pt idx="451">
                  <c:v>0.46457100675332091</c:v>
                </c:pt>
                <c:pt idx="452">
                  <c:v>0.82743272539448087</c:v>
                </c:pt>
                <c:pt idx="453">
                  <c:v>0.31657653414139997</c:v>
                </c:pt>
                <c:pt idx="454">
                  <c:v>0.49435557130394481</c:v>
                </c:pt>
                <c:pt idx="455">
                  <c:v>0.28270485585117777</c:v>
                </c:pt>
                <c:pt idx="456">
                  <c:v>0.73433367804393801</c:v>
                </c:pt>
                <c:pt idx="457">
                  <c:v>0.58929026356065117</c:v>
                </c:pt>
                <c:pt idx="458">
                  <c:v>0.33523689411885882</c:v>
                </c:pt>
                <c:pt idx="459">
                  <c:v>0.31153046770438841</c:v>
                </c:pt>
                <c:pt idx="460">
                  <c:v>0.6646427997723231</c:v>
                </c:pt>
                <c:pt idx="461">
                  <c:v>0.42866542949969511</c:v>
                </c:pt>
                <c:pt idx="462">
                  <c:v>0.50156140254216131</c:v>
                </c:pt>
                <c:pt idx="463">
                  <c:v>0.44895030402381758</c:v>
                </c:pt>
                <c:pt idx="464">
                  <c:v>0.76468082023728867</c:v>
                </c:pt>
                <c:pt idx="465">
                  <c:v>0.56448569920620595</c:v>
                </c:pt>
                <c:pt idx="466">
                  <c:v>0.45465169395962607</c:v>
                </c:pt>
                <c:pt idx="467">
                  <c:v>0.59694850563374602</c:v>
                </c:pt>
                <c:pt idx="468">
                  <c:v>0.54944211658018727</c:v>
                </c:pt>
                <c:pt idx="469">
                  <c:v>0.37574448789299425</c:v>
                </c:pt>
                <c:pt idx="470">
                  <c:v>0.59754990284068543</c:v>
                </c:pt>
                <c:pt idx="471">
                  <c:v>0.68932830052639649</c:v>
                </c:pt>
                <c:pt idx="472">
                  <c:v>0.5165499595125953</c:v>
                </c:pt>
                <c:pt idx="473">
                  <c:v>0.36425294682795023</c:v>
                </c:pt>
                <c:pt idx="474">
                  <c:v>0.53732661165240758</c:v>
                </c:pt>
                <c:pt idx="475">
                  <c:v>0.30930001535081636</c:v>
                </c:pt>
                <c:pt idx="476">
                  <c:v>0.38403368503241631</c:v>
                </c:pt>
                <c:pt idx="477">
                  <c:v>0.85718975784880569</c:v>
                </c:pt>
                <c:pt idx="478">
                  <c:v>0.30249966723395938</c:v>
                </c:pt>
                <c:pt idx="479">
                  <c:v>0.74659632719074354</c:v>
                </c:pt>
                <c:pt idx="480">
                  <c:v>0.15452946118373412</c:v>
                </c:pt>
                <c:pt idx="481">
                  <c:v>0.51952970262833276</c:v>
                </c:pt>
                <c:pt idx="482">
                  <c:v>0.70892758053200444</c:v>
                </c:pt>
                <c:pt idx="483">
                  <c:v>0.44390776541991561</c:v>
                </c:pt>
                <c:pt idx="484">
                  <c:v>0.45266118455294024</c:v>
                </c:pt>
                <c:pt idx="485">
                  <c:v>0.67016994868824531</c:v>
                </c:pt>
                <c:pt idx="486">
                  <c:v>0.20282559473209358</c:v>
                </c:pt>
                <c:pt idx="487">
                  <c:v>0.12814781240821144</c:v>
                </c:pt>
                <c:pt idx="488">
                  <c:v>0.49450794728826647</c:v>
                </c:pt>
                <c:pt idx="489">
                  <c:v>0.3783441886201433</c:v>
                </c:pt>
                <c:pt idx="490">
                  <c:v>0.71101148841048256</c:v>
                </c:pt>
                <c:pt idx="491">
                  <c:v>0.231142918352853</c:v>
                </c:pt>
                <c:pt idx="492">
                  <c:v>0.51348147090203811</c:v>
                </c:pt>
                <c:pt idx="493">
                  <c:v>0.35524554623247623</c:v>
                </c:pt>
                <c:pt idx="494">
                  <c:v>0.54810175871769939</c:v>
                </c:pt>
                <c:pt idx="495">
                  <c:v>0.51758870376814925</c:v>
                </c:pt>
                <c:pt idx="496">
                  <c:v>0.61776104460348424</c:v>
                </c:pt>
                <c:pt idx="497">
                  <c:v>0.35950071375779558</c:v>
                </c:pt>
                <c:pt idx="498">
                  <c:v>0.5681731757856715</c:v>
                </c:pt>
                <c:pt idx="499">
                  <c:v>0.56664518804899355</c:v>
                </c:pt>
                <c:pt idx="500">
                  <c:v>0.56016822949732314</c:v>
                </c:pt>
                <c:pt idx="501">
                  <c:v>0.52015661882558728</c:v>
                </c:pt>
                <c:pt idx="502">
                  <c:v>0.3139361186333246</c:v>
                </c:pt>
                <c:pt idx="503">
                  <c:v>0.49980958651474505</c:v>
                </c:pt>
                <c:pt idx="504">
                  <c:v>0.35683820937339189</c:v>
                </c:pt>
                <c:pt idx="505">
                  <c:v>0.36516655983128349</c:v>
                </c:pt>
                <c:pt idx="506">
                  <c:v>0.70538969900138104</c:v>
                </c:pt>
                <c:pt idx="507">
                  <c:v>0.60250507747974702</c:v>
                </c:pt>
                <c:pt idx="508">
                  <c:v>0.59082325311249118</c:v>
                </c:pt>
                <c:pt idx="509">
                  <c:v>0.28197454542907463</c:v>
                </c:pt>
                <c:pt idx="510">
                  <c:v>0.5171456666660712</c:v>
                </c:pt>
                <c:pt idx="511">
                  <c:v>0.6984854316542648</c:v>
                </c:pt>
                <c:pt idx="512">
                  <c:v>0.42901737248323601</c:v>
                </c:pt>
                <c:pt idx="513">
                  <c:v>0.58075980652242554</c:v>
                </c:pt>
                <c:pt idx="514">
                  <c:v>0.32213270196392713</c:v>
                </c:pt>
                <c:pt idx="515">
                  <c:v>0.33729511548566526</c:v>
                </c:pt>
                <c:pt idx="516">
                  <c:v>0.45979885231387768</c:v>
                </c:pt>
                <c:pt idx="517">
                  <c:v>0.40376891755017114</c:v>
                </c:pt>
                <c:pt idx="518">
                  <c:v>0.36140569208062268</c:v>
                </c:pt>
                <c:pt idx="519">
                  <c:v>0.4333548119510065</c:v>
                </c:pt>
                <c:pt idx="520">
                  <c:v>0.54550368777513558</c:v>
                </c:pt>
                <c:pt idx="521">
                  <c:v>0.54576788543649335</c:v>
                </c:pt>
                <c:pt idx="522">
                  <c:v>0.54511527302745966</c:v>
                </c:pt>
                <c:pt idx="523">
                  <c:v>0.24952875783753203</c:v>
                </c:pt>
                <c:pt idx="524">
                  <c:v>0.27969034281165328</c:v>
                </c:pt>
                <c:pt idx="525">
                  <c:v>0.73546789454329053</c:v>
                </c:pt>
                <c:pt idx="526">
                  <c:v>0.230070279944358</c:v>
                </c:pt>
                <c:pt idx="527">
                  <c:v>0.33711586139609451</c:v>
                </c:pt>
                <c:pt idx="528">
                  <c:v>0.75894222288547786</c:v>
                </c:pt>
                <c:pt idx="529">
                  <c:v>0.61858255203428636</c:v>
                </c:pt>
                <c:pt idx="530">
                  <c:v>0.14093584083690752</c:v>
                </c:pt>
                <c:pt idx="531">
                  <c:v>0.59494884404643367</c:v>
                </c:pt>
                <c:pt idx="532">
                  <c:v>0.53484323922564458</c:v>
                </c:pt>
                <c:pt idx="533">
                  <c:v>0.36798416558364483</c:v>
                </c:pt>
                <c:pt idx="534">
                  <c:v>0.59443349465622708</c:v>
                </c:pt>
                <c:pt idx="535">
                  <c:v>0.15846087730966862</c:v>
                </c:pt>
                <c:pt idx="536">
                  <c:v>0.44121877541216664</c:v>
                </c:pt>
                <c:pt idx="537">
                  <c:v>0.63868654082347343</c:v>
                </c:pt>
                <c:pt idx="538">
                  <c:v>0.82795786814089478</c:v>
                </c:pt>
                <c:pt idx="539">
                  <c:v>0.57910674021333697</c:v>
                </c:pt>
                <c:pt idx="540">
                  <c:v>0.29918331808662907</c:v>
                </c:pt>
                <c:pt idx="541">
                  <c:v>0.25268988536978076</c:v>
                </c:pt>
                <c:pt idx="542">
                  <c:v>0.41829828263715335</c:v>
                </c:pt>
                <c:pt idx="543">
                  <c:v>0.68211382233414986</c:v>
                </c:pt>
                <c:pt idx="544">
                  <c:v>0.6030455763209579</c:v>
                </c:pt>
                <c:pt idx="545">
                  <c:v>0.48250296445386154</c:v>
                </c:pt>
                <c:pt idx="546">
                  <c:v>0.42959290937582911</c:v>
                </c:pt>
                <c:pt idx="547">
                  <c:v>0.55367729249674558</c:v>
                </c:pt>
                <c:pt idx="548">
                  <c:v>0.1817045936519541</c:v>
                </c:pt>
                <c:pt idx="549">
                  <c:v>0.70340782695459958</c:v>
                </c:pt>
                <c:pt idx="550">
                  <c:v>0.64035094880830368</c:v>
                </c:pt>
                <c:pt idx="551">
                  <c:v>0.41379614771359846</c:v>
                </c:pt>
                <c:pt idx="552">
                  <c:v>0.18754895395065652</c:v>
                </c:pt>
                <c:pt idx="553">
                  <c:v>0.43822128403409666</c:v>
                </c:pt>
                <c:pt idx="554">
                  <c:v>0.45852957581681891</c:v>
                </c:pt>
                <c:pt idx="555">
                  <c:v>0.40154668150091249</c:v>
                </c:pt>
                <c:pt idx="556">
                  <c:v>0.52712515147619421</c:v>
                </c:pt>
                <c:pt idx="557">
                  <c:v>0.60706772189759706</c:v>
                </c:pt>
                <c:pt idx="558">
                  <c:v>0.29337406925572412</c:v>
                </c:pt>
                <c:pt idx="559">
                  <c:v>0.10695642409166818</c:v>
                </c:pt>
                <c:pt idx="560">
                  <c:v>0.75613920007553248</c:v>
                </c:pt>
                <c:pt idx="561">
                  <c:v>0.28149457251467569</c:v>
                </c:pt>
                <c:pt idx="562">
                  <c:v>0.62546389017720649</c:v>
                </c:pt>
                <c:pt idx="563">
                  <c:v>0.52183935302247275</c:v>
                </c:pt>
                <c:pt idx="564">
                  <c:v>0.55687765873466932</c:v>
                </c:pt>
                <c:pt idx="565">
                  <c:v>0.30329829401762104</c:v>
                </c:pt>
                <c:pt idx="566">
                  <c:v>0.34542444338174644</c:v>
                </c:pt>
                <c:pt idx="567">
                  <c:v>0.63123800434810518</c:v>
                </c:pt>
                <c:pt idx="568">
                  <c:v>0.34958067319787289</c:v>
                </c:pt>
                <c:pt idx="569">
                  <c:v>0.42536143854695802</c:v>
                </c:pt>
                <c:pt idx="570">
                  <c:v>0.48670164006497679</c:v>
                </c:pt>
                <c:pt idx="571">
                  <c:v>0.53860857373246995</c:v>
                </c:pt>
                <c:pt idx="572">
                  <c:v>0.39248893353403341</c:v>
                </c:pt>
                <c:pt idx="573">
                  <c:v>0.4017810534206529</c:v>
                </c:pt>
                <c:pt idx="574">
                  <c:v>0.52225256558620314</c:v>
                </c:pt>
                <c:pt idx="575">
                  <c:v>0.30718249685576238</c:v>
                </c:pt>
                <c:pt idx="576">
                  <c:v>0.41836328759162222</c:v>
                </c:pt>
                <c:pt idx="577">
                  <c:v>0.40142945516241169</c:v>
                </c:pt>
                <c:pt idx="578">
                  <c:v>0.55813575836921825</c:v>
                </c:pt>
                <c:pt idx="579">
                  <c:v>0.37164208159889972</c:v>
                </c:pt>
                <c:pt idx="580">
                  <c:v>0.52749336806609737</c:v>
                </c:pt>
                <c:pt idx="581">
                  <c:v>0.65187538361851582</c:v>
                </c:pt>
                <c:pt idx="582">
                  <c:v>0.70531859856466195</c:v>
                </c:pt>
                <c:pt idx="583">
                  <c:v>0.4720462604205245</c:v>
                </c:pt>
                <c:pt idx="584">
                  <c:v>0.47644609767952772</c:v>
                </c:pt>
                <c:pt idx="585">
                  <c:v>0.14179397833354282</c:v>
                </c:pt>
                <c:pt idx="586">
                  <c:v>0.46645077565478837</c:v>
                </c:pt>
                <c:pt idx="587">
                  <c:v>0.62163818395609183</c:v>
                </c:pt>
                <c:pt idx="588">
                  <c:v>0.23481647188589405</c:v>
                </c:pt>
                <c:pt idx="589">
                  <c:v>0.31225470269772682</c:v>
                </c:pt>
                <c:pt idx="590">
                  <c:v>0.5221454294604897</c:v>
                </c:pt>
                <c:pt idx="591">
                  <c:v>0.83733136621697668</c:v>
                </c:pt>
                <c:pt idx="592">
                  <c:v>0.747250510449605</c:v>
                </c:pt>
                <c:pt idx="593">
                  <c:v>0.26375321825802533</c:v>
                </c:pt>
                <c:pt idx="594">
                  <c:v>0.15024012781977372</c:v>
                </c:pt>
                <c:pt idx="595">
                  <c:v>0.66953671659776748</c:v>
                </c:pt>
                <c:pt idx="596">
                  <c:v>0.33271872897518229</c:v>
                </c:pt>
                <c:pt idx="597">
                  <c:v>0.31073786920577801</c:v>
                </c:pt>
                <c:pt idx="598">
                  <c:v>0.37085225404282474</c:v>
                </c:pt>
                <c:pt idx="599">
                  <c:v>0.46162319543238756</c:v>
                </c:pt>
                <c:pt idx="600">
                  <c:v>0.63216072814226831</c:v>
                </c:pt>
                <c:pt idx="601">
                  <c:v>0.36057471230144955</c:v>
                </c:pt>
                <c:pt idx="602">
                  <c:v>0.82316932898857997</c:v>
                </c:pt>
                <c:pt idx="603">
                  <c:v>0.75576100591953543</c:v>
                </c:pt>
                <c:pt idx="604">
                  <c:v>0.10445950405760594</c:v>
                </c:pt>
                <c:pt idx="605">
                  <c:v>0.42768868091488854</c:v>
                </c:pt>
                <c:pt idx="606">
                  <c:v>0.58028937971930539</c:v>
                </c:pt>
                <c:pt idx="607">
                  <c:v>0.52947378345568086</c:v>
                </c:pt>
                <c:pt idx="608">
                  <c:v>0.43019992693940601</c:v>
                </c:pt>
                <c:pt idx="609">
                  <c:v>0.33391012596822017</c:v>
                </c:pt>
                <c:pt idx="610">
                  <c:v>0.31782193040931567</c:v>
                </c:pt>
                <c:pt idx="611">
                  <c:v>0.60531551412999018</c:v>
                </c:pt>
                <c:pt idx="612">
                  <c:v>0.53262559131687515</c:v>
                </c:pt>
                <c:pt idx="613">
                  <c:v>0.54179568842196546</c:v>
                </c:pt>
                <c:pt idx="614">
                  <c:v>0.39281295770667179</c:v>
                </c:pt>
                <c:pt idx="615">
                  <c:v>0.57952770351119431</c:v>
                </c:pt>
                <c:pt idx="616">
                  <c:v>0.35948216706197755</c:v>
                </c:pt>
                <c:pt idx="617">
                  <c:v>0.52612824985611417</c:v>
                </c:pt>
                <c:pt idx="618">
                  <c:v>0.63265016685654452</c:v>
                </c:pt>
                <c:pt idx="619">
                  <c:v>0.37744416589163948</c:v>
                </c:pt>
                <c:pt idx="620">
                  <c:v>0.34497856702118451</c:v>
                </c:pt>
                <c:pt idx="621">
                  <c:v>0.76451364574308855</c:v>
                </c:pt>
                <c:pt idx="622">
                  <c:v>0.53114888407720195</c:v>
                </c:pt>
                <c:pt idx="623">
                  <c:v>0.51541994929615242</c:v>
                </c:pt>
                <c:pt idx="624">
                  <c:v>0.70953118837682427</c:v>
                </c:pt>
                <c:pt idx="625">
                  <c:v>2.8799220027676622E-2</c:v>
                </c:pt>
                <c:pt idx="626">
                  <c:v>0.26527986211471932</c:v>
                </c:pt>
                <c:pt idx="627">
                  <c:v>0.88620524861208261</c:v>
                </c:pt>
                <c:pt idx="628">
                  <c:v>0.18568927513336966</c:v>
                </c:pt>
                <c:pt idx="629">
                  <c:v>0.42515240597648912</c:v>
                </c:pt>
                <c:pt idx="630">
                  <c:v>0.69136659435632564</c:v>
                </c:pt>
                <c:pt idx="631">
                  <c:v>0.33663730144062431</c:v>
                </c:pt>
                <c:pt idx="632">
                  <c:v>0.64293755502306515</c:v>
                </c:pt>
                <c:pt idx="633">
                  <c:v>0.38981985519976259</c:v>
                </c:pt>
                <c:pt idx="634">
                  <c:v>0.24492989825797032</c:v>
                </c:pt>
                <c:pt idx="635">
                  <c:v>0.18117506685844362</c:v>
                </c:pt>
                <c:pt idx="636">
                  <c:v>0.4794304512592592</c:v>
                </c:pt>
                <c:pt idx="637">
                  <c:v>0.83338578636665983</c:v>
                </c:pt>
                <c:pt idx="638">
                  <c:v>0.61409254068551422</c:v>
                </c:pt>
                <c:pt idx="639">
                  <c:v>0.31245184063017573</c:v>
                </c:pt>
                <c:pt idx="640">
                  <c:v>0.56546943393754279</c:v>
                </c:pt>
                <c:pt idx="641">
                  <c:v>0.65478872055457926</c:v>
                </c:pt>
                <c:pt idx="642">
                  <c:v>0.39288114453651646</c:v>
                </c:pt>
                <c:pt idx="643">
                  <c:v>0.45513324342492395</c:v>
                </c:pt>
                <c:pt idx="644">
                  <c:v>0.77224181629956223</c:v>
                </c:pt>
                <c:pt idx="645">
                  <c:v>0.74847687954167208</c:v>
                </c:pt>
                <c:pt idx="646">
                  <c:v>0.42981660612968697</c:v>
                </c:pt>
                <c:pt idx="647">
                  <c:v>0.40939128818158615</c:v>
                </c:pt>
                <c:pt idx="648">
                  <c:v>0.53484323922564458</c:v>
                </c:pt>
                <c:pt idx="649">
                  <c:v>0.59594772179539324</c:v>
                </c:pt>
                <c:pt idx="650">
                  <c:v>0.50892123138555356</c:v>
                </c:pt>
                <c:pt idx="651">
                  <c:v>0.61560132895769926</c:v>
                </c:pt>
                <c:pt idx="652">
                  <c:v>0.65015183861132941</c:v>
                </c:pt>
                <c:pt idx="653">
                  <c:v>0.66661426875837893</c:v>
                </c:pt>
                <c:pt idx="654">
                  <c:v>0.92794164709672489</c:v>
                </c:pt>
                <c:pt idx="655">
                  <c:v>0.50328284096836107</c:v>
                </c:pt>
                <c:pt idx="656">
                  <c:v>0.52047778077344165</c:v>
                </c:pt>
                <c:pt idx="657">
                  <c:v>0.6660294302049492</c:v>
                </c:pt>
                <c:pt idx="658">
                  <c:v>0.38194200094906172</c:v>
                </c:pt>
                <c:pt idx="659">
                  <c:v>0.50169850372365543</c:v>
                </c:pt>
                <c:pt idx="660">
                  <c:v>0.30329829401762104</c:v>
                </c:pt>
                <c:pt idx="661">
                  <c:v>0.80001879500353879</c:v>
                </c:pt>
                <c:pt idx="662">
                  <c:v>0.51832215277532812</c:v>
                </c:pt>
                <c:pt idx="663">
                  <c:v>0.56863536328599451</c:v>
                </c:pt>
                <c:pt idx="664">
                  <c:v>0.69536183947398733</c:v>
                </c:pt>
                <c:pt idx="665">
                  <c:v>0.17875567636647968</c:v>
                </c:pt>
                <c:pt idx="666">
                  <c:v>0.49139889837652612</c:v>
                </c:pt>
                <c:pt idx="667">
                  <c:v>0.33449387102759082</c:v>
                </c:pt>
                <c:pt idx="668">
                  <c:v>0.2629707831691907</c:v>
                </c:pt>
                <c:pt idx="669">
                  <c:v>0.20325691059391124</c:v>
                </c:pt>
                <c:pt idx="670">
                  <c:v>0.39735985402708751</c:v>
                </c:pt>
                <c:pt idx="671">
                  <c:v>0.50370941708610006</c:v>
                </c:pt>
                <c:pt idx="672">
                  <c:v>0.65326109597957904</c:v>
                </c:pt>
                <c:pt idx="673">
                  <c:v>0.45149319502740926</c:v>
                </c:pt>
                <c:pt idx="674">
                  <c:v>0.38213417200259159</c:v>
                </c:pt>
                <c:pt idx="675">
                  <c:v>0.62868083072599057</c:v>
                </c:pt>
                <c:pt idx="676">
                  <c:v>0.66500387187036303</c:v>
                </c:pt>
                <c:pt idx="677">
                  <c:v>0.53439637127886663</c:v>
                </c:pt>
                <c:pt idx="678">
                  <c:v>0.73466487666692826</c:v>
                </c:pt>
                <c:pt idx="679">
                  <c:v>0.34164279273954073</c:v>
                </c:pt>
                <c:pt idx="680">
                  <c:v>0.45916437252829817</c:v>
                </c:pt>
                <c:pt idx="681">
                  <c:v>0.64853261987969035</c:v>
                </c:pt>
                <c:pt idx="682">
                  <c:v>0.748687210092567</c:v>
                </c:pt>
                <c:pt idx="683">
                  <c:v>0.67593738198267395</c:v>
                </c:pt>
                <c:pt idx="684">
                  <c:v>0.71365912331510128</c:v>
                </c:pt>
                <c:pt idx="685">
                  <c:v>0.6477734607554736</c:v>
                </c:pt>
                <c:pt idx="686">
                  <c:v>0.32987094952741286</c:v>
                </c:pt>
                <c:pt idx="687">
                  <c:v>0.29510750336546937</c:v>
                </c:pt>
                <c:pt idx="688">
                  <c:v>0.48505331967244902</c:v>
                </c:pt>
                <c:pt idx="689">
                  <c:v>0.31227661493872805</c:v>
                </c:pt>
                <c:pt idx="690">
                  <c:v>0.68739494204507223</c:v>
                </c:pt>
                <c:pt idx="691">
                  <c:v>0.5844544707171242</c:v>
                </c:pt>
                <c:pt idx="692">
                  <c:v>0.67932431129360604</c:v>
                </c:pt>
                <c:pt idx="693">
                  <c:v>0.42323594848254864</c:v>
                </c:pt>
                <c:pt idx="694">
                  <c:v>0.4678052534737242</c:v>
                </c:pt>
                <c:pt idx="695">
                  <c:v>0.60149324933981685</c:v>
                </c:pt>
                <c:pt idx="696">
                  <c:v>0.41860699581722449</c:v>
                </c:pt>
                <c:pt idx="697">
                  <c:v>0.58160421247523764</c:v>
                </c:pt>
                <c:pt idx="698">
                  <c:v>0.70336086314224633</c:v>
                </c:pt>
                <c:pt idx="699">
                  <c:v>0.53681724604155268</c:v>
                </c:pt>
                <c:pt idx="700">
                  <c:v>0.58730190789051273</c:v>
                </c:pt>
                <c:pt idx="701">
                  <c:v>0.56766350510823971</c:v>
                </c:pt>
                <c:pt idx="702">
                  <c:v>0.50297815082865727</c:v>
                </c:pt>
                <c:pt idx="703">
                  <c:v>0.51543521712791018</c:v>
                </c:pt>
                <c:pt idx="704">
                  <c:v>0.37045672049907519</c:v>
                </c:pt>
                <c:pt idx="705">
                  <c:v>0.14792366624556094</c:v>
                </c:pt>
                <c:pt idx="706">
                  <c:v>0.469942421496782</c:v>
                </c:pt>
                <c:pt idx="707">
                  <c:v>0.84597587402213736</c:v>
                </c:pt>
                <c:pt idx="708">
                  <c:v>0.55420993059043333</c:v>
                </c:pt>
                <c:pt idx="709">
                  <c:v>0.51175750279524568</c:v>
                </c:pt>
                <c:pt idx="710">
                  <c:v>0.37031278703494735</c:v>
                </c:pt>
                <c:pt idx="711">
                  <c:v>0.48808996208116917</c:v>
                </c:pt>
                <c:pt idx="712">
                  <c:v>0.51415295276473616</c:v>
                </c:pt>
                <c:pt idx="713">
                  <c:v>0.6891739332730038</c:v>
                </c:pt>
                <c:pt idx="714">
                  <c:v>0.29095183926678853</c:v>
                </c:pt>
                <c:pt idx="715">
                  <c:v>0.32622717187458317</c:v>
                </c:pt>
                <c:pt idx="716">
                  <c:v>0.70368982624577758</c:v>
                </c:pt>
                <c:pt idx="717">
                  <c:v>0.81651613722456262</c:v>
                </c:pt>
                <c:pt idx="718">
                  <c:v>8.8826165628675832E-2</c:v>
                </c:pt>
                <c:pt idx="719">
                  <c:v>0.23882216525928188</c:v>
                </c:pt>
                <c:pt idx="720">
                  <c:v>0.82378252534702079</c:v>
                </c:pt>
                <c:pt idx="721">
                  <c:v>0.43951623025881553</c:v>
                </c:pt>
                <c:pt idx="722">
                  <c:v>0.28835428255824763</c:v>
                </c:pt>
                <c:pt idx="723">
                  <c:v>0.60580819442688272</c:v>
                </c:pt>
                <c:pt idx="724">
                  <c:v>0.56342399425607881</c:v>
                </c:pt>
                <c:pt idx="725">
                  <c:v>0.24160340220177773</c:v>
                </c:pt>
                <c:pt idx="726">
                  <c:v>0.31295490172203039</c:v>
                </c:pt>
                <c:pt idx="727">
                  <c:v>0.63468747790425339</c:v>
                </c:pt>
                <c:pt idx="728">
                  <c:v>0.44210027015478692</c:v>
                </c:pt>
                <c:pt idx="729">
                  <c:v>0.1212917580902912</c:v>
                </c:pt>
                <c:pt idx="730">
                  <c:v>0.77146674043377594</c:v>
                </c:pt>
                <c:pt idx="731">
                  <c:v>0.36514831037978429</c:v>
                </c:pt>
                <c:pt idx="732">
                  <c:v>0.32267957745911319</c:v>
                </c:pt>
                <c:pt idx="733">
                  <c:v>0.77330596496368154</c:v>
                </c:pt>
                <c:pt idx="734">
                  <c:v>0.82305826719205055</c:v>
                </c:pt>
                <c:pt idx="735">
                  <c:v>0.54128459690587294</c:v>
                </c:pt>
                <c:pt idx="736">
                  <c:v>0.36383189843579494</c:v>
                </c:pt>
                <c:pt idx="737">
                  <c:v>0.37622325807145424</c:v>
                </c:pt>
                <c:pt idx="738">
                  <c:v>0.3002019520076894</c:v>
                </c:pt>
                <c:pt idx="739">
                  <c:v>0.39317082723161056</c:v>
                </c:pt>
                <c:pt idx="740">
                  <c:v>0.2124422777381729</c:v>
                </c:pt>
                <c:pt idx="741">
                  <c:v>0.733453548063283</c:v>
                </c:pt>
                <c:pt idx="742">
                  <c:v>0.41296050224315645</c:v>
                </c:pt>
                <c:pt idx="743">
                  <c:v>0.60596119978700913</c:v>
                </c:pt>
                <c:pt idx="744">
                  <c:v>0.46250355850539482</c:v>
                </c:pt>
                <c:pt idx="745">
                  <c:v>0.51974375479235357</c:v>
                </c:pt>
                <c:pt idx="746">
                  <c:v>0.46697423428700968</c:v>
                </c:pt>
                <c:pt idx="747">
                  <c:v>0.42175052755689602</c:v>
                </c:pt>
                <c:pt idx="748">
                  <c:v>0.44846597318613252</c:v>
                </c:pt>
                <c:pt idx="749">
                  <c:v>0.5776678209867836</c:v>
                </c:pt>
                <c:pt idx="750">
                  <c:v>0.6915446791227684</c:v>
                </c:pt>
                <c:pt idx="751">
                  <c:v>0.4339270226629956</c:v>
                </c:pt>
                <c:pt idx="752">
                  <c:v>0.28840313984138172</c:v>
                </c:pt>
                <c:pt idx="753">
                  <c:v>0.45651464945113124</c:v>
                </c:pt>
                <c:pt idx="754">
                  <c:v>0.51752759130633619</c:v>
                </c:pt>
                <c:pt idx="755">
                  <c:v>0.63424994581021488</c:v>
                </c:pt>
                <c:pt idx="756">
                  <c:v>0.45255222543871282</c:v>
                </c:pt>
                <c:pt idx="757">
                  <c:v>0.69457073601030661</c:v>
                </c:pt>
                <c:pt idx="758">
                  <c:v>0.72246649037288435</c:v>
                </c:pt>
                <c:pt idx="759">
                  <c:v>0.54357842817400015</c:v>
                </c:pt>
                <c:pt idx="760">
                  <c:v>0.73801232814001305</c:v>
                </c:pt>
                <c:pt idx="761">
                  <c:v>0.54095946519208504</c:v>
                </c:pt>
                <c:pt idx="762">
                  <c:v>0.47991984240639907</c:v>
                </c:pt>
                <c:pt idx="763">
                  <c:v>0.33409141832095218</c:v>
                </c:pt>
                <c:pt idx="764">
                  <c:v>0.76127581531974975</c:v>
                </c:pt>
                <c:pt idx="765">
                  <c:v>0.40124518781233415</c:v>
                </c:pt>
                <c:pt idx="766">
                  <c:v>0.69915227853950346</c:v>
                </c:pt>
                <c:pt idx="767">
                  <c:v>0.45767751221557107</c:v>
                </c:pt>
                <c:pt idx="768">
                  <c:v>0.62546389017720649</c:v>
                </c:pt>
                <c:pt idx="769">
                  <c:v>0.46309015577721868</c:v>
                </c:pt>
                <c:pt idx="770">
                  <c:v>0.65283702701440149</c:v>
                </c:pt>
                <c:pt idx="771">
                  <c:v>0.64705391042047689</c:v>
                </c:pt>
                <c:pt idx="772">
                  <c:v>0.29335022418521439</c:v>
                </c:pt>
                <c:pt idx="773">
                  <c:v>0.80158090758192502</c:v>
                </c:pt>
                <c:pt idx="774">
                  <c:v>0.52306389978726253</c:v>
                </c:pt>
                <c:pt idx="775">
                  <c:v>0.71644238548805228</c:v>
                </c:pt>
                <c:pt idx="776">
                  <c:v>0.45843665183486915</c:v>
                </c:pt>
                <c:pt idx="777">
                  <c:v>0.34189769824861055</c:v>
                </c:pt>
                <c:pt idx="778">
                  <c:v>0.23731246841463169</c:v>
                </c:pt>
                <c:pt idx="779">
                  <c:v>0.62882443560139634</c:v>
                </c:pt>
                <c:pt idx="780">
                  <c:v>0.46327534606466308</c:v>
                </c:pt>
                <c:pt idx="781">
                  <c:v>0.38644380478012363</c:v>
                </c:pt>
                <c:pt idx="782">
                  <c:v>0.56759982041808232</c:v>
                </c:pt>
                <c:pt idx="783">
                  <c:v>0.48622858564444432</c:v>
                </c:pt>
                <c:pt idx="784">
                  <c:v>0.69063342810260342</c:v>
                </c:pt>
                <c:pt idx="785">
                  <c:v>0.72051401875247389</c:v>
                </c:pt>
                <c:pt idx="786">
                  <c:v>0.47410173290925822</c:v>
                </c:pt>
                <c:pt idx="787">
                  <c:v>0.69998290229859839</c:v>
                </c:pt>
                <c:pt idx="788">
                  <c:v>0.3950069988435313</c:v>
                </c:pt>
                <c:pt idx="789">
                  <c:v>0.49898699705942973</c:v>
                </c:pt>
                <c:pt idx="790">
                  <c:v>0.38178470433221995</c:v>
                </c:pt>
                <c:pt idx="791">
                  <c:v>0.43779446038260111</c:v>
                </c:pt>
                <c:pt idx="792">
                  <c:v>0.53961337162511192</c:v>
                </c:pt>
                <c:pt idx="793">
                  <c:v>0.51459558684011419</c:v>
                </c:pt>
                <c:pt idx="794">
                  <c:v>0.35562097751525745</c:v>
                </c:pt>
                <c:pt idx="795">
                  <c:v>0.40530058090788723</c:v>
                </c:pt>
                <c:pt idx="796">
                  <c:v>0.48940159785250731</c:v>
                </c:pt>
                <c:pt idx="797">
                  <c:v>0.38401629695757417</c:v>
                </c:pt>
                <c:pt idx="798">
                  <c:v>0.7013045276086971</c:v>
                </c:pt>
                <c:pt idx="799">
                  <c:v>0.3315018670484427</c:v>
                </c:pt>
                <c:pt idx="800">
                  <c:v>0.50570537978846208</c:v>
                </c:pt>
                <c:pt idx="801">
                  <c:v>0.47494477998008927</c:v>
                </c:pt>
                <c:pt idx="802">
                  <c:v>0.64385413128725288</c:v>
                </c:pt>
                <c:pt idx="803">
                  <c:v>0.45752252825177808</c:v>
                </c:pt>
                <c:pt idx="804">
                  <c:v>0.28584672060849398</c:v>
                </c:pt>
                <c:pt idx="805">
                  <c:v>0.29318323267886892</c:v>
                </c:pt>
                <c:pt idx="806">
                  <c:v>0.70326696636375075</c:v>
                </c:pt>
                <c:pt idx="807">
                  <c:v>0.4342288526940104</c:v>
                </c:pt>
                <c:pt idx="808">
                  <c:v>0.54690308724948888</c:v>
                </c:pt>
                <c:pt idx="809">
                  <c:v>0.67970577740511784</c:v>
                </c:pt>
                <c:pt idx="810">
                  <c:v>0.43158779730164193</c:v>
                </c:pt>
                <c:pt idx="811">
                  <c:v>0.6164012300677616</c:v>
                </c:pt>
                <c:pt idx="812">
                  <c:v>0.31183798766342974</c:v>
                </c:pt>
                <c:pt idx="813">
                  <c:v>0.47350372244174693</c:v>
                </c:pt>
                <c:pt idx="814">
                  <c:v>0.69163377262375536</c:v>
                </c:pt>
                <c:pt idx="815">
                  <c:v>0.36832805994068635</c:v>
                </c:pt>
                <c:pt idx="816">
                  <c:v>0.63304945296245518</c:v>
                </c:pt>
                <c:pt idx="817">
                  <c:v>0.20204507551129872</c:v>
                </c:pt>
                <c:pt idx="818">
                  <c:v>0.40022212399361856</c:v>
                </c:pt>
                <c:pt idx="819">
                  <c:v>0.79082698413692731</c:v>
                </c:pt>
                <c:pt idx="820">
                  <c:v>0.61038610867420218</c:v>
                </c:pt>
                <c:pt idx="821">
                  <c:v>0.20147799935074914</c:v>
                </c:pt>
                <c:pt idx="822">
                  <c:v>0.53105663384396462</c:v>
                </c:pt>
                <c:pt idx="823">
                  <c:v>0.61172718417069127</c:v>
                </c:pt>
                <c:pt idx="824">
                  <c:v>0.74494305291980356</c:v>
                </c:pt>
                <c:pt idx="825">
                  <c:v>0.58354093958681008</c:v>
                </c:pt>
                <c:pt idx="826">
                  <c:v>0.21484745127671667</c:v>
                </c:pt>
                <c:pt idx="827">
                  <c:v>0.45101005409323336</c:v>
                </c:pt>
                <c:pt idx="828">
                  <c:v>0.60730639331385206</c:v>
                </c:pt>
                <c:pt idx="829">
                  <c:v>0.50724454097586991</c:v>
                </c:pt>
                <c:pt idx="830">
                  <c:v>0.33969434286195699</c:v>
                </c:pt>
                <c:pt idx="831">
                  <c:v>0.48828825671713599</c:v>
                </c:pt>
                <c:pt idx="832">
                  <c:v>0.26980827245581562</c:v>
                </c:pt>
                <c:pt idx="833">
                  <c:v>0.77495426857789051</c:v>
                </c:pt>
                <c:pt idx="834">
                  <c:v>0.52727856641997661</c:v>
                </c:pt>
                <c:pt idx="835">
                  <c:v>0.27285283018060208</c:v>
                </c:pt>
                <c:pt idx="836">
                  <c:v>0.54072727936570419</c:v>
                </c:pt>
                <c:pt idx="837">
                  <c:v>0.17793545348169193</c:v>
                </c:pt>
                <c:pt idx="838">
                  <c:v>0.63102122696689511</c:v>
                </c:pt>
                <c:pt idx="839">
                  <c:v>0.86770059309655778</c:v>
                </c:pt>
                <c:pt idx="840">
                  <c:v>0.67907031872287371</c:v>
                </c:pt>
                <c:pt idx="841">
                  <c:v>0.17401036005182149</c:v>
                </c:pt>
                <c:pt idx="842">
                  <c:v>0.5670905348041213</c:v>
                </c:pt>
                <c:pt idx="843">
                  <c:v>0.51604598766036491</c:v>
                </c:pt>
                <c:pt idx="844">
                  <c:v>0.26629936356362199</c:v>
                </c:pt>
                <c:pt idx="845">
                  <c:v>0.74022401910034352</c:v>
                </c:pt>
                <c:pt idx="846">
                  <c:v>0.4797669176831062</c:v>
                </c:pt>
                <c:pt idx="847">
                  <c:v>0.83332360551534534</c:v>
                </c:pt>
                <c:pt idx="848">
                  <c:v>0.40101056907791854</c:v>
                </c:pt>
                <c:pt idx="849">
                  <c:v>0.69704362586140989</c:v>
                </c:pt>
                <c:pt idx="850">
                  <c:v>0.53786705173707383</c:v>
                </c:pt>
                <c:pt idx="851">
                  <c:v>0.72834285226867768</c:v>
                </c:pt>
                <c:pt idx="852">
                  <c:v>0.4224290707260106</c:v>
                </c:pt>
                <c:pt idx="853">
                  <c:v>0.58192928822290335</c:v>
                </c:pt>
                <c:pt idx="854">
                  <c:v>0.49892606411606688</c:v>
                </c:pt>
                <c:pt idx="855">
                  <c:v>0.54917702743134467</c:v>
                </c:pt>
                <c:pt idx="856">
                  <c:v>0.29510750336546937</c:v>
                </c:pt>
                <c:pt idx="857">
                  <c:v>0.47601725652804366</c:v>
                </c:pt>
                <c:pt idx="858">
                  <c:v>0.6583768244412187</c:v>
                </c:pt>
                <c:pt idx="859">
                  <c:v>0.30943310953645708</c:v>
                </c:pt>
                <c:pt idx="860">
                  <c:v>0.63029954688148182</c:v>
                </c:pt>
                <c:pt idx="861">
                  <c:v>0.69775192017754817</c:v>
                </c:pt>
                <c:pt idx="862">
                  <c:v>0.58108444344491583</c:v>
                </c:pt>
                <c:pt idx="863">
                  <c:v>0.36423465072584532</c:v>
                </c:pt>
                <c:pt idx="864">
                  <c:v>0.7102336018055535</c:v>
                </c:pt>
                <c:pt idx="865">
                  <c:v>0.29112063182786974</c:v>
                </c:pt>
                <c:pt idx="866">
                  <c:v>0.56061001856499915</c:v>
                </c:pt>
                <c:pt idx="867">
                  <c:v>0.58924088169949607</c:v>
                </c:pt>
                <c:pt idx="868">
                  <c:v>0.41315723221472017</c:v>
                </c:pt>
                <c:pt idx="869">
                  <c:v>0.44073042451122846</c:v>
                </c:pt>
                <c:pt idx="870">
                  <c:v>0.36027877134667902</c:v>
                </c:pt>
                <c:pt idx="871">
                  <c:v>0.76281955838848226</c:v>
                </c:pt>
                <c:pt idx="872">
                  <c:v>0.63837304859924471</c:v>
                </c:pt>
                <c:pt idx="873">
                  <c:v>0.27833234312870581</c:v>
                </c:pt>
                <c:pt idx="874">
                  <c:v>0.36428953621559473</c:v>
                </c:pt>
                <c:pt idx="875">
                  <c:v>0.4118115784421012</c:v>
                </c:pt>
                <c:pt idx="876">
                  <c:v>0.18369109187364172</c:v>
                </c:pt>
                <c:pt idx="877">
                  <c:v>0.52600558909536477</c:v>
                </c:pt>
                <c:pt idx="878">
                  <c:v>0.12751682903448311</c:v>
                </c:pt>
                <c:pt idx="879">
                  <c:v>0.40584890490728975</c:v>
                </c:pt>
                <c:pt idx="880">
                  <c:v>0.62005484130683863</c:v>
                </c:pt>
                <c:pt idx="881">
                  <c:v>0.71025786596091345</c:v>
                </c:pt>
                <c:pt idx="882">
                  <c:v>0.63374016069450478</c:v>
                </c:pt>
                <c:pt idx="883">
                  <c:v>0.46682029404868663</c:v>
                </c:pt>
                <c:pt idx="884">
                  <c:v>0.32181666609273768</c:v>
                </c:pt>
                <c:pt idx="885">
                  <c:v>0.58147422968256812</c:v>
                </c:pt>
                <c:pt idx="886">
                  <c:v>0.43079048828398769</c:v>
                </c:pt>
                <c:pt idx="887">
                  <c:v>0.46364565406403219</c:v>
                </c:pt>
                <c:pt idx="888">
                  <c:v>0.41056156501047569</c:v>
                </c:pt>
                <c:pt idx="889">
                  <c:v>0.14504561998792695</c:v>
                </c:pt>
                <c:pt idx="890">
                  <c:v>0.40554988895338717</c:v>
                </c:pt>
                <c:pt idx="891">
                  <c:v>0.33497605502521727</c:v>
                </c:pt>
                <c:pt idx="892">
                  <c:v>0.1517461711986525</c:v>
                </c:pt>
                <c:pt idx="893">
                  <c:v>0.37987491823819186</c:v>
                </c:pt>
                <c:pt idx="894">
                  <c:v>0.50497399221809003</c:v>
                </c:pt>
                <c:pt idx="895">
                  <c:v>0.71469827081797677</c:v>
                </c:pt>
                <c:pt idx="896">
                  <c:v>0.73219605955693923</c:v>
                </c:pt>
                <c:pt idx="897">
                  <c:v>0.82026926214627804</c:v>
                </c:pt>
                <c:pt idx="898">
                  <c:v>0.48964558330009972</c:v>
                </c:pt>
                <c:pt idx="899">
                  <c:v>0.66880319018797241</c:v>
                </c:pt>
                <c:pt idx="900">
                  <c:v>0.49621440729033495</c:v>
                </c:pt>
                <c:pt idx="901">
                  <c:v>0.24943749987896344</c:v>
                </c:pt>
                <c:pt idx="902">
                  <c:v>0.71385663893376905</c:v>
                </c:pt>
                <c:pt idx="903">
                  <c:v>0.65387896535840673</c:v>
                </c:pt>
                <c:pt idx="904">
                  <c:v>0.6880084010780716</c:v>
                </c:pt>
                <c:pt idx="905">
                  <c:v>0.19646908212806813</c:v>
                </c:pt>
                <c:pt idx="906">
                  <c:v>0.54729212200793032</c:v>
                </c:pt>
                <c:pt idx="907">
                  <c:v>0.31857045303006393</c:v>
                </c:pt>
                <c:pt idx="908">
                  <c:v>0.13766595665489034</c:v>
                </c:pt>
                <c:pt idx="909">
                  <c:v>0.48235018251111694</c:v>
                </c:pt>
                <c:pt idx="910">
                  <c:v>0.52714049241791749</c:v>
                </c:pt>
                <c:pt idx="911">
                  <c:v>0.43067879671083703</c:v>
                </c:pt>
                <c:pt idx="912">
                  <c:v>0.15366117618980019</c:v>
                </c:pt>
                <c:pt idx="913">
                  <c:v>0.41834703698919534</c:v>
                </c:pt>
                <c:pt idx="914">
                  <c:v>0.43294128425997275</c:v>
                </c:pt>
                <c:pt idx="915">
                  <c:v>0.36745865376043652</c:v>
                </c:pt>
                <c:pt idx="916">
                  <c:v>0.47950692479535112</c:v>
                </c:pt>
                <c:pt idx="917">
                  <c:v>0.51186427682760294</c:v>
                </c:pt>
                <c:pt idx="918">
                  <c:v>0.832150504102667</c:v>
                </c:pt>
                <c:pt idx="919">
                  <c:v>0.13180722929178312</c:v>
                </c:pt>
                <c:pt idx="920">
                  <c:v>0.38742827363920046</c:v>
                </c:pt>
                <c:pt idx="921">
                  <c:v>0.2944205828354306</c:v>
                </c:pt>
                <c:pt idx="922">
                  <c:v>0.51908636320619439</c:v>
                </c:pt>
                <c:pt idx="923">
                  <c:v>0.17186640753154464</c:v>
                </c:pt>
                <c:pt idx="924">
                  <c:v>0.35494489406390933</c:v>
                </c:pt>
                <c:pt idx="925">
                  <c:v>0.7569619002113035</c:v>
                </c:pt>
                <c:pt idx="926">
                  <c:v>0.53927320092220032</c:v>
                </c:pt>
                <c:pt idx="927">
                  <c:v>0.29943842143235738</c:v>
                </c:pt>
                <c:pt idx="928">
                  <c:v>0.2432917192986763</c:v>
                </c:pt>
                <c:pt idx="929">
                  <c:v>0.90095280806742495</c:v>
                </c:pt>
                <c:pt idx="930">
                  <c:v>0.59041074693702966</c:v>
                </c:pt>
                <c:pt idx="931">
                  <c:v>0.29044463045095709</c:v>
                </c:pt>
                <c:pt idx="932">
                  <c:v>0.48283905727560067</c:v>
                </c:pt>
                <c:pt idx="933">
                  <c:v>0.34142693236692401</c:v>
                </c:pt>
                <c:pt idx="934">
                  <c:v>0.61954595700136306</c:v>
                </c:pt>
                <c:pt idx="935">
                  <c:v>0.54314412795371758</c:v>
                </c:pt>
                <c:pt idx="936">
                  <c:v>0.37724977858610836</c:v>
                </c:pt>
                <c:pt idx="937">
                  <c:v>0.45524195254377442</c:v>
                </c:pt>
                <c:pt idx="938">
                  <c:v>0.27061446683952844</c:v>
                </c:pt>
                <c:pt idx="939">
                  <c:v>0.18369109187364172</c:v>
                </c:pt>
                <c:pt idx="940">
                  <c:v>0.44228904791505652</c:v>
                </c:pt>
                <c:pt idx="941">
                  <c:v>0.70543711257754271</c:v>
                </c:pt>
                <c:pt idx="942">
                  <c:v>0.58914213088015943</c:v>
                </c:pt>
                <c:pt idx="943">
                  <c:v>0.55104969597618236</c:v>
                </c:pt>
                <c:pt idx="944">
                  <c:v>0.81983905801606827</c:v>
                </c:pt>
                <c:pt idx="945">
                  <c:v>0.31452294226423244</c:v>
                </c:pt>
                <c:pt idx="946">
                  <c:v>0.84590348464204168</c:v>
                </c:pt>
                <c:pt idx="947">
                  <c:v>0.74295789663176337</c:v>
                </c:pt>
                <c:pt idx="948">
                  <c:v>0.62079296833168174</c:v>
                </c:pt>
                <c:pt idx="949">
                  <c:v>0.72804984685481222</c:v>
                </c:pt>
                <c:pt idx="950">
                  <c:v>0.58695751886355052</c:v>
                </c:pt>
                <c:pt idx="951">
                  <c:v>0.53485865084245077</c:v>
                </c:pt>
                <c:pt idx="952">
                  <c:v>0.56038909541319426</c:v>
                </c:pt>
                <c:pt idx="953">
                  <c:v>0.37083428424312648</c:v>
                </c:pt>
                <c:pt idx="954">
                  <c:v>0.45062026336587546</c:v>
                </c:pt>
                <c:pt idx="955">
                  <c:v>0.24102561871464032</c:v>
                </c:pt>
                <c:pt idx="956">
                  <c:v>0.42642170095235721</c:v>
                </c:pt>
                <c:pt idx="957">
                  <c:v>0.25372976546920822</c:v>
                </c:pt>
                <c:pt idx="958">
                  <c:v>0.34785565558692105</c:v>
                </c:pt>
                <c:pt idx="959">
                  <c:v>0.37353815914521488</c:v>
                </c:pt>
                <c:pt idx="960">
                  <c:v>0.27074848134493268</c:v>
                </c:pt>
                <c:pt idx="961">
                  <c:v>0.47298223168849945</c:v>
                </c:pt>
                <c:pt idx="962">
                  <c:v>0.65459492901295335</c:v>
                </c:pt>
                <c:pt idx="963">
                  <c:v>0.32061215085604305</c:v>
                </c:pt>
                <c:pt idx="964">
                  <c:v>0.76865043468753369</c:v>
                </c:pt>
                <c:pt idx="965">
                  <c:v>0.796614012315079</c:v>
                </c:pt>
                <c:pt idx="966">
                  <c:v>0.46100505544025744</c:v>
                </c:pt>
                <c:pt idx="967">
                  <c:v>0.6270511257071667</c:v>
                </c:pt>
                <c:pt idx="968">
                  <c:v>0.19485564593945845</c:v>
                </c:pt>
                <c:pt idx="969">
                  <c:v>0.49211531906318584</c:v>
                </c:pt>
                <c:pt idx="970">
                  <c:v>0.36952016404910981</c:v>
                </c:pt>
                <c:pt idx="971">
                  <c:v>0.65857306763307599</c:v>
                </c:pt>
                <c:pt idx="972">
                  <c:v>0.64545012833882098</c:v>
                </c:pt>
                <c:pt idx="973">
                  <c:v>0.27432994187801235</c:v>
                </c:pt>
                <c:pt idx="974">
                  <c:v>0.49491935044498087</c:v>
                </c:pt>
                <c:pt idx="975">
                  <c:v>0.76548601137967764</c:v>
                </c:pt>
                <c:pt idx="976">
                  <c:v>0.28690765015534436</c:v>
                </c:pt>
                <c:pt idx="977">
                  <c:v>0.73942673263030401</c:v>
                </c:pt>
                <c:pt idx="978">
                  <c:v>0.32221691245187345</c:v>
                </c:pt>
                <c:pt idx="979">
                  <c:v>0.71787413065579542</c:v>
                </c:pt>
                <c:pt idx="980">
                  <c:v>0.67148196603354815</c:v>
                </c:pt>
                <c:pt idx="981">
                  <c:v>0.52118142079842245</c:v>
                </c:pt>
                <c:pt idx="982">
                  <c:v>0.4142871489458278</c:v>
                </c:pt>
                <c:pt idx="983">
                  <c:v>0.61357348638167919</c:v>
                </c:pt>
                <c:pt idx="984">
                  <c:v>0.61445624816703559</c:v>
                </c:pt>
                <c:pt idx="985">
                  <c:v>0.47698203246966608</c:v>
                </c:pt>
                <c:pt idx="986">
                  <c:v>0.72244066869574386</c:v>
                </c:pt>
                <c:pt idx="987">
                  <c:v>0.59057571279529242</c:v>
                </c:pt>
                <c:pt idx="988">
                  <c:v>0.58463407712356186</c:v>
                </c:pt>
                <c:pt idx="989">
                  <c:v>0.36767619813441466</c:v>
                </c:pt>
                <c:pt idx="990">
                  <c:v>0.40201531797698148</c:v>
                </c:pt>
                <c:pt idx="991">
                  <c:v>0.66837620484126692</c:v>
                </c:pt>
                <c:pt idx="992">
                  <c:v>0.4675436829347478</c:v>
                </c:pt>
                <c:pt idx="993">
                  <c:v>0.33779245755076737</c:v>
                </c:pt>
                <c:pt idx="994">
                  <c:v>0.45866894885540649</c:v>
                </c:pt>
                <c:pt idx="995">
                  <c:v>0.42964085017898668</c:v>
                </c:pt>
                <c:pt idx="996">
                  <c:v>0.69194586905583733</c:v>
                </c:pt>
                <c:pt idx="997">
                  <c:v>0.59821894657934704</c:v>
                </c:pt>
                <c:pt idx="998">
                  <c:v>0.25372976546920822</c:v>
                </c:pt>
                <c:pt idx="999">
                  <c:v>0.23878951240136348</c:v>
                </c:pt>
                <c:pt idx="1000">
                  <c:v>0.78904007178679825</c:v>
                </c:pt>
                <c:pt idx="1001">
                  <c:v>0.32651719900874604</c:v>
                </c:pt>
                <c:pt idx="1002">
                  <c:v>0.50399888671965964</c:v>
                </c:pt>
                <c:pt idx="1003">
                  <c:v>0.35336194275414062</c:v>
                </c:pt>
                <c:pt idx="1004">
                  <c:v>0.24185947300715491</c:v>
                </c:pt>
                <c:pt idx="1005">
                  <c:v>0.64012856287827014</c:v>
                </c:pt>
                <c:pt idx="1006">
                  <c:v>0.57681243645776825</c:v>
                </c:pt>
                <c:pt idx="1007">
                  <c:v>0.56994379484172697</c:v>
                </c:pt>
                <c:pt idx="1008">
                  <c:v>0.70622097855310439</c:v>
                </c:pt>
                <c:pt idx="1009">
                  <c:v>0.63129221849899131</c:v>
                </c:pt>
                <c:pt idx="1010">
                  <c:v>0.54373357374037878</c:v>
                </c:pt>
                <c:pt idx="1011">
                  <c:v>0.5234160782401498</c:v>
                </c:pt>
                <c:pt idx="1012">
                  <c:v>0.66653352850460945</c:v>
                </c:pt>
                <c:pt idx="1013">
                  <c:v>0.46783602368835436</c:v>
                </c:pt>
                <c:pt idx="1014">
                  <c:v>0.43244793959153133</c:v>
                </c:pt>
                <c:pt idx="1015">
                  <c:v>0.49354793507845762</c:v>
                </c:pt>
                <c:pt idx="1016">
                  <c:v>0.63284975538481669</c:v>
                </c:pt>
                <c:pt idx="1017">
                  <c:v>0.49307550737902145</c:v>
                </c:pt>
                <c:pt idx="1018">
                  <c:v>0.85052416953495713</c:v>
                </c:pt>
                <c:pt idx="1019">
                  <c:v>0.21075820717669877</c:v>
                </c:pt>
                <c:pt idx="1020">
                  <c:v>0.60670994392907751</c:v>
                </c:pt>
                <c:pt idx="1021">
                  <c:v>0.95523180851121015</c:v>
                </c:pt>
                <c:pt idx="1022">
                  <c:v>0.38089223238631842</c:v>
                </c:pt>
                <c:pt idx="1023">
                  <c:v>0.66131448176398155</c:v>
                </c:pt>
                <c:pt idx="1024">
                  <c:v>0.39226710223653488</c:v>
                </c:pt>
                <c:pt idx="1025">
                  <c:v>0.6612748540424116</c:v>
                </c:pt>
                <c:pt idx="1026">
                  <c:v>0.34115197333516101</c:v>
                </c:pt>
                <c:pt idx="1027">
                  <c:v>0.16888599711432864</c:v>
                </c:pt>
                <c:pt idx="1028">
                  <c:v>0.47348838646582464</c:v>
                </c:pt>
                <c:pt idx="1029">
                  <c:v>0.79700168281325112</c:v>
                </c:pt>
                <c:pt idx="1030">
                  <c:v>0.45639054433351267</c:v>
                </c:pt>
                <c:pt idx="1031">
                  <c:v>0.67987550247772521</c:v>
                </c:pt>
                <c:pt idx="1032">
                  <c:v>0.51551155732210785</c:v>
                </c:pt>
                <c:pt idx="1033">
                  <c:v>0.24836885544331014</c:v>
                </c:pt>
                <c:pt idx="1034">
                  <c:v>0.44888782278347145</c:v>
                </c:pt>
                <c:pt idx="1035">
                  <c:v>0.15373390041073151</c:v>
                </c:pt>
                <c:pt idx="1036">
                  <c:v>0.49883466455656755</c:v>
                </c:pt>
                <c:pt idx="1037">
                  <c:v>0.49761598021560161</c:v>
                </c:pt>
                <c:pt idx="1038">
                  <c:v>0.41766412739320929</c:v>
                </c:pt>
                <c:pt idx="1039">
                  <c:v>0.47227646027890696</c:v>
                </c:pt>
                <c:pt idx="1040">
                  <c:v>0.38899543298505479</c:v>
                </c:pt>
                <c:pt idx="1041">
                  <c:v>0.53950512595137379</c:v>
                </c:pt>
                <c:pt idx="1042">
                  <c:v>0.70541340446027556</c:v>
                </c:pt>
                <c:pt idx="1043">
                  <c:v>0.34166240862387709</c:v>
                </c:pt>
                <c:pt idx="1044">
                  <c:v>0.25197289062559591</c:v>
                </c:pt>
                <c:pt idx="1045">
                  <c:v>0.58776141162861983</c:v>
                </c:pt>
                <c:pt idx="1046">
                  <c:v>0.60990567245398253</c:v>
                </c:pt>
                <c:pt idx="1047">
                  <c:v>0.40194839618019368</c:v>
                </c:pt>
                <c:pt idx="1048">
                  <c:v>0.58326388976944044</c:v>
                </c:pt>
                <c:pt idx="1049">
                  <c:v>0.63530822784444063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B-479C-AFB7-C35FCE1E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704608"/>
        <c:axId val="1425411424"/>
      </c:scatterChart>
      <c:valAx>
        <c:axId val="180470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5411424"/>
        <c:crosses val="autoZero"/>
        <c:crossBetween val="midCat"/>
      </c:valAx>
      <c:valAx>
        <c:axId val="142541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470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427384076990377"/>
          <c:y val="0.27639695900081451"/>
          <c:w val="0.68946159990870703"/>
          <c:h val="0.39079826228617975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</c:v>
          </c:tx>
          <c:invertIfNegative val="0"/>
          <c:cat>
            <c:numRef>
              <c:f>'1.2.4 Бета-распределение'!$Y$15:$Y$30</c:f>
              <c:numCache>
                <c:formatCode>General</c:formatCode>
                <c:ptCount val="16"/>
                <c:pt idx="0">
                  <c:v>2.8799220027676622E-2</c:v>
                </c:pt>
                <c:pt idx="1">
                  <c:v>9.0561392593245527E-2</c:v>
                </c:pt>
                <c:pt idx="2">
                  <c:v>0.15232356515881443</c:v>
                </c:pt>
                <c:pt idx="3">
                  <c:v>0.21408573772438333</c:v>
                </c:pt>
                <c:pt idx="4">
                  <c:v>0.27584791028995226</c:v>
                </c:pt>
                <c:pt idx="5">
                  <c:v>0.33761008285552119</c:v>
                </c:pt>
                <c:pt idx="6">
                  <c:v>0.39937225542109012</c:v>
                </c:pt>
                <c:pt idx="7">
                  <c:v>0.46113442798665905</c:v>
                </c:pt>
                <c:pt idx="8">
                  <c:v>0.52289660055222797</c:v>
                </c:pt>
                <c:pt idx="9">
                  <c:v>0.5846587731177969</c:v>
                </c:pt>
                <c:pt idx="10">
                  <c:v>0.64642094568336583</c:v>
                </c:pt>
                <c:pt idx="11">
                  <c:v>0.70818311824893476</c:v>
                </c:pt>
                <c:pt idx="12">
                  <c:v>0.76994529081450369</c:v>
                </c:pt>
                <c:pt idx="13">
                  <c:v>0.83170746338007262</c:v>
                </c:pt>
                <c:pt idx="14">
                  <c:v>0.89346963594564155</c:v>
                </c:pt>
                <c:pt idx="15">
                  <c:v>0.95523180851121048</c:v>
                </c:pt>
              </c:numCache>
            </c:numRef>
          </c:cat>
          <c:val>
            <c:numRef>
              <c:f>'1.2.4 Бета-распределение'!$AB$15:$AB$30</c:f>
              <c:numCache>
                <c:formatCode>General</c:formatCode>
                <c:ptCount val="16"/>
                <c:pt idx="0">
                  <c:v>7.0721357850070724E-4</c:v>
                </c:pt>
                <c:pt idx="1">
                  <c:v>1.4144271570014145E-3</c:v>
                </c:pt>
                <c:pt idx="2">
                  <c:v>1.4851485148514851E-2</c:v>
                </c:pt>
                <c:pt idx="3">
                  <c:v>2.5459688826025461E-2</c:v>
                </c:pt>
                <c:pt idx="4">
                  <c:v>3.7482319660537479E-2</c:v>
                </c:pt>
                <c:pt idx="5">
                  <c:v>6.5770862800565766E-2</c:v>
                </c:pt>
                <c:pt idx="6">
                  <c:v>7.6379066478076379E-2</c:v>
                </c:pt>
                <c:pt idx="7">
                  <c:v>9.405940594059406E-2</c:v>
                </c:pt>
                <c:pt idx="8">
                  <c:v>0.10325318246110325</c:v>
                </c:pt>
                <c:pt idx="9">
                  <c:v>8.8401697312588401E-2</c:v>
                </c:pt>
                <c:pt idx="10">
                  <c:v>7.5671852899575676E-2</c:v>
                </c:pt>
                <c:pt idx="11">
                  <c:v>7.0014144271570017E-2</c:v>
                </c:pt>
                <c:pt idx="12">
                  <c:v>4.6676096181046678E-2</c:v>
                </c:pt>
                <c:pt idx="13">
                  <c:v>2.5459688826025461E-2</c:v>
                </c:pt>
                <c:pt idx="14">
                  <c:v>1.4144271570014143E-2</c:v>
                </c:pt>
                <c:pt idx="15">
                  <c:v>2.828854314002829E-3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D-4176-9FD1-164D12F9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725392"/>
        <c:axId val="1795306400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'1.2.4 Бета-распределение'!$AF$15:$AF$30</c:f>
              <c:numCache>
                <c:formatCode>General</c:formatCode>
                <c:ptCount val="16"/>
                <c:pt idx="0">
                  <c:v>6.5545771626515615E-4</c:v>
                </c:pt>
                <c:pt idx="1">
                  <c:v>8.6842715643639917E-3</c:v>
                </c:pt>
                <c:pt idx="2">
                  <c:v>2.546596458325253E-2</c:v>
                </c:pt>
                <c:pt idx="3">
                  <c:v>4.7976208920655787E-2</c:v>
                </c:pt>
                <c:pt idx="4">
                  <c:v>7.2337153041725985E-2</c:v>
                </c:pt>
                <c:pt idx="5">
                  <c:v>9.4769640226537791E-2</c:v>
                </c:pt>
                <c:pt idx="6">
                  <c:v>0.11208140108496052</c:v>
                </c:pt>
                <c:pt idx="7">
                  <c:v>0.12195490939229871</c:v>
                </c:pt>
                <c:pt idx="8">
                  <c:v>0.12311624655382833</c:v>
                </c:pt>
                <c:pt idx="9">
                  <c:v>0.11541765750471185</c:v>
                </c:pt>
                <c:pt idx="10">
                  <c:v>9.9846725796809185E-2</c:v>
                </c:pt>
                <c:pt idx="11">
                  <c:v>7.8463496600850308E-2</c:v>
                </c:pt>
                <c:pt idx="12">
                  <c:v>5.4256014848919877E-2</c:v>
                </c:pt>
                <c:pt idx="13">
                  <c:v>3.0888178547438493E-2</c:v>
                </c:pt>
                <c:pt idx="14">
                  <c:v>1.2276538611158745E-2</c:v>
                </c:pt>
                <c:pt idx="15">
                  <c:v>1.8101350062227825E-3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5D-4176-9FD1-164D12F9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725392"/>
        <c:axId val="1795306400"/>
      </c:lineChart>
      <c:catAx>
        <c:axId val="109572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5306400"/>
        <c:crosses val="autoZero"/>
        <c:auto val="1"/>
        <c:lblAlgn val="ctr"/>
        <c:lblOffset val="100"/>
        <c:noMultiLvlLbl val="0"/>
      </c:catAx>
      <c:valAx>
        <c:axId val="1795306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572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6161645687560514E-2"/>
          <c:y val="0.87830090910767289"/>
          <c:w val="0.33854065805579409"/>
          <c:h val="0.12169909089232699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Бета-распределение'!$X$15:$X$30</c:f>
              <c:numCache>
                <c:formatCode>0.000</c:formatCode>
                <c:ptCount val="16"/>
                <c:pt idx="0">
                  <c:v>2.8799220027676622E-2</c:v>
                </c:pt>
                <c:pt idx="1">
                  <c:v>9.0561392593245527E-2</c:v>
                </c:pt>
                <c:pt idx="2">
                  <c:v>0.15232356515881443</c:v>
                </c:pt>
                <c:pt idx="3">
                  <c:v>0.21408573772438333</c:v>
                </c:pt>
                <c:pt idx="4">
                  <c:v>0.27584791028995226</c:v>
                </c:pt>
                <c:pt idx="5">
                  <c:v>0.33761008285552119</c:v>
                </c:pt>
                <c:pt idx="6">
                  <c:v>0.39937225542109012</c:v>
                </c:pt>
                <c:pt idx="7">
                  <c:v>0.46113442798665905</c:v>
                </c:pt>
                <c:pt idx="8">
                  <c:v>0.52289660055222797</c:v>
                </c:pt>
                <c:pt idx="9">
                  <c:v>0.5846587731177969</c:v>
                </c:pt>
                <c:pt idx="10">
                  <c:v>0.64642094568336583</c:v>
                </c:pt>
                <c:pt idx="11">
                  <c:v>0.70818311824893476</c:v>
                </c:pt>
                <c:pt idx="12">
                  <c:v>0.76994529081450369</c:v>
                </c:pt>
                <c:pt idx="13">
                  <c:v>0.83170746338007262</c:v>
                </c:pt>
                <c:pt idx="14">
                  <c:v>0.89346963594564155</c:v>
                </c:pt>
                <c:pt idx="15">
                  <c:v>0.95523180851121048</c:v>
                </c:pt>
              </c:numCache>
            </c:numRef>
          </c:xVal>
          <c:yVal>
            <c:numRef>
              <c:f>'1.2.4 Бета-распределение'!$AE$15:$AE$30</c:f>
              <c:numCache>
                <c:formatCode>General</c:formatCode>
                <c:ptCount val="16"/>
                <c:pt idx="0">
                  <c:v>7.0721357850070724E-4</c:v>
                </c:pt>
                <c:pt idx="1">
                  <c:v>2.1216407355021216E-3</c:v>
                </c:pt>
                <c:pt idx="2">
                  <c:v>1.6973125884016973E-2</c:v>
                </c:pt>
                <c:pt idx="3">
                  <c:v>4.2432814710042434E-2</c:v>
                </c:pt>
                <c:pt idx="4">
                  <c:v>7.9915134370579913E-2</c:v>
                </c:pt>
                <c:pt idx="5">
                  <c:v>0.14568599717114566</c:v>
                </c:pt>
                <c:pt idx="6">
                  <c:v>0.22206506364922204</c:v>
                </c:pt>
                <c:pt idx="7">
                  <c:v>0.3161244695898161</c:v>
                </c:pt>
                <c:pt idx="8">
                  <c:v>0.41937765205091937</c:v>
                </c:pt>
                <c:pt idx="9">
                  <c:v>0.50777934936350777</c:v>
                </c:pt>
                <c:pt idx="10">
                  <c:v>0.58345120226308345</c:v>
                </c:pt>
                <c:pt idx="11">
                  <c:v>0.65346534653465349</c:v>
                </c:pt>
                <c:pt idx="12">
                  <c:v>0.70014144271570022</c:v>
                </c:pt>
                <c:pt idx="13">
                  <c:v>0.72560113154172567</c:v>
                </c:pt>
                <c:pt idx="14">
                  <c:v>0.73974540311173986</c:v>
                </c:pt>
                <c:pt idx="15">
                  <c:v>0.74257425742574268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6-415E-886F-F2F9AADE3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185312"/>
        <c:axId val="1906760288"/>
      </c:scatterChart>
      <c:valAx>
        <c:axId val="190718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6760288"/>
        <c:crosses val="autoZero"/>
        <c:crossBetween val="midCat"/>
      </c:valAx>
      <c:valAx>
        <c:axId val="190676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718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Бета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Бета-распределение'!$AI$12:$AI$1061</c:f>
              <c:numCache>
                <c:formatCode>General</c:formatCode>
                <c:ptCount val="105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</c:numCache>
            </c:numRef>
          </c:xVal>
          <c:yVal>
            <c:numRef>
              <c:f>'1.2.4 Бета-распределение'!$AK$12:$AK$1061</c:f>
              <c:numCache>
                <c:formatCode>General</c:formatCode>
                <c:ptCount val="1050"/>
                <c:pt idx="0">
                  <c:v>0.13511203708338085</c:v>
                </c:pt>
                <c:pt idx="1">
                  <c:v>0.21685980453215403</c:v>
                </c:pt>
                <c:pt idx="2">
                  <c:v>0.22426418068298215</c:v>
                </c:pt>
                <c:pt idx="3">
                  <c:v>0.20013444778921677</c:v>
                </c:pt>
                <c:pt idx="4">
                  <c:v>0.22362614517876045</c:v>
                </c:pt>
                <c:pt idx="5">
                  <c:v>0.459347451173442</c:v>
                </c:pt>
                <c:pt idx="6">
                  <c:v>0.28600522839558062</c:v>
                </c:pt>
                <c:pt idx="7">
                  <c:v>0.21349646225737351</c:v>
                </c:pt>
                <c:pt idx="8">
                  <c:v>0.31222619585441935</c:v>
                </c:pt>
                <c:pt idx="9">
                  <c:v>5.7056183401253791E-2</c:v>
                </c:pt>
                <c:pt idx="10">
                  <c:v>0.49217606432728123</c:v>
                </c:pt>
                <c:pt idx="11">
                  <c:v>0.13756470096194462</c:v>
                </c:pt>
                <c:pt idx="12">
                  <c:v>0.39864485582952514</c:v>
                </c:pt>
                <c:pt idx="13">
                  <c:v>0.20733164525202191</c:v>
                </c:pt>
                <c:pt idx="14">
                  <c:v>0.14441475261125233</c:v>
                </c:pt>
                <c:pt idx="15">
                  <c:v>0.2562547653458318</c:v>
                </c:pt>
                <c:pt idx="16">
                  <c:v>7.1044322617054373E-2</c:v>
                </c:pt>
                <c:pt idx="17">
                  <c:v>0.21738527056861401</c:v>
                </c:pt>
                <c:pt idx="18">
                  <c:v>0.1461639702314457</c:v>
                </c:pt>
                <c:pt idx="19">
                  <c:v>0.33522771038536792</c:v>
                </c:pt>
                <c:pt idx="20">
                  <c:v>0.10265933012208911</c:v>
                </c:pt>
                <c:pt idx="21">
                  <c:v>0.21569687467702481</c:v>
                </c:pt>
                <c:pt idx="22">
                  <c:v>0.13155349659879431</c:v>
                </c:pt>
                <c:pt idx="23">
                  <c:v>0.2325504526658847</c:v>
                </c:pt>
                <c:pt idx="24">
                  <c:v>0.11780034596657975</c:v>
                </c:pt>
                <c:pt idx="25">
                  <c:v>0.34671865203032015</c:v>
                </c:pt>
                <c:pt idx="26">
                  <c:v>0.11274127169425051</c:v>
                </c:pt>
                <c:pt idx="27">
                  <c:v>0.19108280115608872</c:v>
                </c:pt>
                <c:pt idx="28">
                  <c:v>0.2838462075435465</c:v>
                </c:pt>
                <c:pt idx="29">
                  <c:v>0.19743827074410647</c:v>
                </c:pt>
                <c:pt idx="30">
                  <c:v>0.13778396310082661</c:v>
                </c:pt>
                <c:pt idx="31">
                  <c:v>0.10988148478577695</c:v>
                </c:pt>
                <c:pt idx="32">
                  <c:v>0.21769766421187964</c:v>
                </c:pt>
                <c:pt idx="33">
                  <c:v>0.12139154479655979</c:v>
                </c:pt>
                <c:pt idx="34">
                  <c:v>0.24639895661302746</c:v>
                </c:pt>
                <c:pt idx="35">
                  <c:v>0.43361189962733737</c:v>
                </c:pt>
                <c:pt idx="36">
                  <c:v>0.29278697728193259</c:v>
                </c:pt>
                <c:pt idx="37">
                  <c:v>0.22049813269955787</c:v>
                </c:pt>
                <c:pt idx="38">
                  <c:v>0.19200871110311934</c:v>
                </c:pt>
                <c:pt idx="39">
                  <c:v>0.1477729428344578</c:v>
                </c:pt>
                <c:pt idx="40">
                  <c:v>0.16777743081168356</c:v>
                </c:pt>
                <c:pt idx="41">
                  <c:v>0.28330574348544657</c:v>
                </c:pt>
                <c:pt idx="42">
                  <c:v>0.12359160931854184</c:v>
                </c:pt>
                <c:pt idx="43">
                  <c:v>0.29218648494775923</c:v>
                </c:pt>
                <c:pt idx="44">
                  <c:v>0.17307798508360178</c:v>
                </c:pt>
                <c:pt idx="45">
                  <c:v>0.36918706832911363</c:v>
                </c:pt>
                <c:pt idx="46">
                  <c:v>0.20656460136912896</c:v>
                </c:pt>
                <c:pt idx="47">
                  <c:v>0.39969956253084638</c:v>
                </c:pt>
                <c:pt idx="48">
                  <c:v>0.33635687500532729</c:v>
                </c:pt>
                <c:pt idx="49">
                  <c:v>0.13713395972610201</c:v>
                </c:pt>
                <c:pt idx="50">
                  <c:v>0.20801194735406378</c:v>
                </c:pt>
                <c:pt idx="51">
                  <c:v>0.36279206145320109</c:v>
                </c:pt>
                <c:pt idx="52">
                  <c:v>0.23143427322621757</c:v>
                </c:pt>
                <c:pt idx="53">
                  <c:v>0.24983231582253851</c:v>
                </c:pt>
                <c:pt idx="54">
                  <c:v>0.14578073307808531</c:v>
                </c:pt>
                <c:pt idx="55">
                  <c:v>0.11650707550432141</c:v>
                </c:pt>
                <c:pt idx="56">
                  <c:v>0.19299796044531844</c:v>
                </c:pt>
                <c:pt idx="57">
                  <c:v>0.25842286460955199</c:v>
                </c:pt>
                <c:pt idx="58">
                  <c:v>9.6526354728319802E-2</c:v>
                </c:pt>
                <c:pt idx="59">
                  <c:v>0.28528192747525627</c:v>
                </c:pt>
                <c:pt idx="60">
                  <c:v>0.2476389850061832</c:v>
                </c:pt>
                <c:pt idx="61">
                  <c:v>8.2785292196365379E-2</c:v>
                </c:pt>
                <c:pt idx="62">
                  <c:v>8.6592522701896033E-2</c:v>
                </c:pt>
                <c:pt idx="63">
                  <c:v>7.7791757047687649E-2</c:v>
                </c:pt>
                <c:pt idx="64">
                  <c:v>7.1351135745512037E-2</c:v>
                </c:pt>
                <c:pt idx="65">
                  <c:v>0.37790393745322015</c:v>
                </c:pt>
                <c:pt idx="66">
                  <c:v>0.16538970690919708</c:v>
                </c:pt>
                <c:pt idx="67">
                  <c:v>0.28149212480200902</c:v>
                </c:pt>
                <c:pt idx="68">
                  <c:v>0.28275585347895249</c:v>
                </c:pt>
                <c:pt idx="69">
                  <c:v>7.3046797092452098E-2</c:v>
                </c:pt>
                <c:pt idx="70">
                  <c:v>0.26148505452110904</c:v>
                </c:pt>
                <c:pt idx="71">
                  <c:v>0.13901114913154958</c:v>
                </c:pt>
                <c:pt idx="72">
                  <c:v>0.19531626296958388</c:v>
                </c:pt>
                <c:pt idx="73">
                  <c:v>0.43427748881204442</c:v>
                </c:pt>
                <c:pt idx="74">
                  <c:v>0.1149370456119688</c:v>
                </c:pt>
                <c:pt idx="75">
                  <c:v>0.11951402461217372</c:v>
                </c:pt>
                <c:pt idx="76">
                  <c:v>0.24650046587303476</c:v>
                </c:pt>
                <c:pt idx="77">
                  <c:v>0.21887596114701258</c:v>
                </c:pt>
                <c:pt idx="78">
                  <c:v>0.29011135019307865</c:v>
                </c:pt>
                <c:pt idx="79">
                  <c:v>0.10038975896259335</c:v>
                </c:pt>
                <c:pt idx="80">
                  <c:v>8.7308220912466192E-2</c:v>
                </c:pt>
                <c:pt idx="81">
                  <c:v>0.22056452442537999</c:v>
                </c:pt>
                <c:pt idx="82">
                  <c:v>0.18994806414545054</c:v>
                </c:pt>
                <c:pt idx="83">
                  <c:v>0.11066428265836548</c:v>
                </c:pt>
                <c:pt idx="84">
                  <c:v>0.26701163680055096</c:v>
                </c:pt>
                <c:pt idx="85">
                  <c:v>0.12214098486035954</c:v>
                </c:pt>
                <c:pt idx="86">
                  <c:v>8.8755989293618318E-2</c:v>
                </c:pt>
                <c:pt idx="87">
                  <c:v>0.19603589471865923</c:v>
                </c:pt>
                <c:pt idx="88">
                  <c:v>0.18327781663287607</c:v>
                </c:pt>
                <c:pt idx="89">
                  <c:v>0.30509821153185734</c:v>
                </c:pt>
                <c:pt idx="90">
                  <c:v>0.41481313832542233</c:v>
                </c:pt>
                <c:pt idx="91">
                  <c:v>0.26119538792790709</c:v>
                </c:pt>
                <c:pt idx="92">
                  <c:v>0.27615889652760695</c:v>
                </c:pt>
                <c:pt idx="93">
                  <c:v>0.49466568892929463</c:v>
                </c:pt>
                <c:pt idx="94">
                  <c:v>0.14836398406693604</c:v>
                </c:pt>
                <c:pt idx="95">
                  <c:v>6.657032139423652E-2</c:v>
                </c:pt>
                <c:pt idx="96">
                  <c:v>7.9973648684661239E-2</c:v>
                </c:pt>
                <c:pt idx="97">
                  <c:v>8.8571794583553326E-2</c:v>
                </c:pt>
                <c:pt idx="98">
                  <c:v>4.8902923038670686E-2</c:v>
                </c:pt>
                <c:pt idx="99">
                  <c:v>0.40170588658939688</c:v>
                </c:pt>
                <c:pt idx="100">
                  <c:v>0.15365235134972949</c:v>
                </c:pt>
                <c:pt idx="101">
                  <c:v>0.15911352412317445</c:v>
                </c:pt>
                <c:pt idx="102">
                  <c:v>0.14615582160365381</c:v>
                </c:pt>
                <c:pt idx="103">
                  <c:v>0.17917488450168845</c:v>
                </c:pt>
                <c:pt idx="104">
                  <c:v>0.20802796768199028</c:v>
                </c:pt>
                <c:pt idx="105">
                  <c:v>0.33393689261614168</c:v>
                </c:pt>
                <c:pt idx="106">
                  <c:v>0.24227915781573273</c:v>
                </c:pt>
                <c:pt idx="107">
                  <c:v>0.20925536563470748</c:v>
                </c:pt>
                <c:pt idx="108">
                  <c:v>0.27917518769109906</c:v>
                </c:pt>
                <c:pt idx="109">
                  <c:v>0.27387852990165218</c:v>
                </c:pt>
                <c:pt idx="110">
                  <c:v>0.15797920874306282</c:v>
                </c:pt>
                <c:pt idx="111">
                  <c:v>0.26576663810181178</c:v>
                </c:pt>
                <c:pt idx="112">
                  <c:v>0.16373664665987361</c:v>
                </c:pt>
                <c:pt idx="113">
                  <c:v>0.30811831226591979</c:v>
                </c:pt>
                <c:pt idx="114">
                  <c:v>0.17466309551859885</c:v>
                </c:pt>
                <c:pt idx="115">
                  <c:v>0.33013825651008422</c:v>
                </c:pt>
                <c:pt idx="116">
                  <c:v>0.32718221888036358</c:v>
                </c:pt>
                <c:pt idx="117">
                  <c:v>0.12977884659743036</c:v>
                </c:pt>
                <c:pt idx="118">
                  <c:v>0.2456070648240587</c:v>
                </c:pt>
                <c:pt idx="119">
                  <c:v>0.32294571400396099</c:v>
                </c:pt>
                <c:pt idx="120">
                  <c:v>0.13852445062189636</c:v>
                </c:pt>
                <c:pt idx="121">
                  <c:v>0.40683695151749077</c:v>
                </c:pt>
                <c:pt idx="122">
                  <c:v>0.35145799412198597</c:v>
                </c:pt>
                <c:pt idx="123">
                  <c:v>0.42606790895413682</c:v>
                </c:pt>
                <c:pt idx="124">
                  <c:v>7.9317449699012527E-2</c:v>
                </c:pt>
                <c:pt idx="125">
                  <c:v>0.16526507607597346</c:v>
                </c:pt>
                <c:pt idx="126">
                  <c:v>0.28424999954827657</c:v>
                </c:pt>
                <c:pt idx="127">
                  <c:v>0.20861313193315956</c:v>
                </c:pt>
                <c:pt idx="128">
                  <c:v>0.22390301243475852</c:v>
                </c:pt>
                <c:pt idx="129">
                  <c:v>0.43333637923811719</c:v>
                </c:pt>
                <c:pt idx="130">
                  <c:v>0.41694278477225311</c:v>
                </c:pt>
                <c:pt idx="131">
                  <c:v>2.5658234495980106E-2</c:v>
                </c:pt>
                <c:pt idx="132">
                  <c:v>0.17197926033010913</c:v>
                </c:pt>
                <c:pt idx="133">
                  <c:v>0.26387069501654048</c:v>
                </c:pt>
                <c:pt idx="134">
                  <c:v>0.1639395855213357</c:v>
                </c:pt>
                <c:pt idx="135">
                  <c:v>0.20138863272590687</c:v>
                </c:pt>
                <c:pt idx="136">
                  <c:v>0.20898229257264689</c:v>
                </c:pt>
                <c:pt idx="137">
                  <c:v>0.2446260191378351</c:v>
                </c:pt>
                <c:pt idx="138">
                  <c:v>0.13622739069298126</c:v>
                </c:pt>
                <c:pt idx="139">
                  <c:v>0.11872152967615678</c:v>
                </c:pt>
                <c:pt idx="140">
                  <c:v>0.29897068745442323</c:v>
                </c:pt>
                <c:pt idx="141">
                  <c:v>0.1629320970904761</c:v>
                </c:pt>
                <c:pt idx="142">
                  <c:v>0.28626277054784954</c:v>
                </c:pt>
                <c:pt idx="143">
                  <c:v>6.1755687181673263E-2</c:v>
                </c:pt>
                <c:pt idx="144">
                  <c:v>0.3757971062466694</c:v>
                </c:pt>
                <c:pt idx="145">
                  <c:v>0.16980266332444924</c:v>
                </c:pt>
                <c:pt idx="146">
                  <c:v>0.22025758296254927</c:v>
                </c:pt>
                <c:pt idx="147">
                  <c:v>0.24038765299955933</c:v>
                </c:pt>
                <c:pt idx="148">
                  <c:v>0.22476048433314721</c:v>
                </c:pt>
                <c:pt idx="149">
                  <c:v>0.17034520910993209</c:v>
                </c:pt>
                <c:pt idx="150">
                  <c:v>0.15599551128086384</c:v>
                </c:pt>
                <c:pt idx="151">
                  <c:v>0.19433967372632396</c:v>
                </c:pt>
                <c:pt idx="152">
                  <c:v>0.29031625120798499</c:v>
                </c:pt>
                <c:pt idx="153">
                  <c:v>0.32529194966227215</c:v>
                </c:pt>
                <c:pt idx="154">
                  <c:v>0.44666911055482739</c:v>
                </c:pt>
                <c:pt idx="155">
                  <c:v>0.23600907155576256</c:v>
                </c:pt>
                <c:pt idx="156">
                  <c:v>0.32236670224024444</c:v>
                </c:pt>
                <c:pt idx="157">
                  <c:v>0.27670686144413126</c:v>
                </c:pt>
                <c:pt idx="158">
                  <c:v>0.34046255381353452</c:v>
                </c:pt>
                <c:pt idx="159">
                  <c:v>0.25331715418259471</c:v>
                </c:pt>
                <c:pt idx="160">
                  <c:v>0.12180839409633865</c:v>
                </c:pt>
                <c:pt idx="161">
                  <c:v>0.40012531545071173</c:v>
                </c:pt>
                <c:pt idx="162">
                  <c:v>0.16669716350575806</c:v>
                </c:pt>
                <c:pt idx="163">
                  <c:v>0.24265944678379581</c:v>
                </c:pt>
                <c:pt idx="164">
                  <c:v>8.9227331415077285E-2</c:v>
                </c:pt>
                <c:pt idx="165">
                  <c:v>9.3687918785887614E-2</c:v>
                </c:pt>
                <c:pt idx="166">
                  <c:v>0.19884377661572525</c:v>
                </c:pt>
                <c:pt idx="167">
                  <c:v>5.4687091824898663E-2</c:v>
                </c:pt>
                <c:pt idx="168">
                  <c:v>0.10876338370691692</c:v>
                </c:pt>
                <c:pt idx="169">
                  <c:v>0.21433425160154373</c:v>
                </c:pt>
                <c:pt idx="170">
                  <c:v>0.20263788667893906</c:v>
                </c:pt>
                <c:pt idx="171">
                  <c:v>0.30246620360324417</c:v>
                </c:pt>
                <c:pt idx="172">
                  <c:v>8.6060736974874832E-2</c:v>
                </c:pt>
                <c:pt idx="173">
                  <c:v>0.28232199381236112</c:v>
                </c:pt>
                <c:pt idx="174">
                  <c:v>0.12106646337213552</c:v>
                </c:pt>
                <c:pt idx="175">
                  <c:v>0.12925965860643143</c:v>
                </c:pt>
                <c:pt idx="176">
                  <c:v>0.3105211664656421</c:v>
                </c:pt>
                <c:pt idx="177">
                  <c:v>0.22035709796202985</c:v>
                </c:pt>
                <c:pt idx="178">
                  <c:v>9.4042450853878315E-2</c:v>
                </c:pt>
                <c:pt idx="179">
                  <c:v>0.15247154744024505</c:v>
                </c:pt>
                <c:pt idx="180">
                  <c:v>0.22015810008405923</c:v>
                </c:pt>
                <c:pt idx="181">
                  <c:v>0.29995235752005667</c:v>
                </c:pt>
                <c:pt idx="182">
                  <c:v>0.32454153919584749</c:v>
                </c:pt>
                <c:pt idx="183">
                  <c:v>0.12857083012256776</c:v>
                </c:pt>
                <c:pt idx="184">
                  <c:v>0.20981815882051846</c:v>
                </c:pt>
                <c:pt idx="185">
                  <c:v>0.14071479079666591</c:v>
                </c:pt>
                <c:pt idx="186">
                  <c:v>0.12919795520231023</c:v>
                </c:pt>
                <c:pt idx="187">
                  <c:v>0.35971813775697581</c:v>
                </c:pt>
                <c:pt idx="188">
                  <c:v>0.18928025726264674</c:v>
                </c:pt>
                <c:pt idx="189">
                  <c:v>0.16871681301831509</c:v>
                </c:pt>
                <c:pt idx="190">
                  <c:v>0.17776910443268079</c:v>
                </c:pt>
                <c:pt idx="191">
                  <c:v>0.20719571527574734</c:v>
                </c:pt>
                <c:pt idx="192">
                  <c:v>0.12641519652973901</c:v>
                </c:pt>
                <c:pt idx="193">
                  <c:v>0.18156969742737328</c:v>
                </c:pt>
                <c:pt idx="194">
                  <c:v>0.14255502030516456</c:v>
                </c:pt>
                <c:pt idx="195">
                  <c:v>0.30644202774570195</c:v>
                </c:pt>
                <c:pt idx="196">
                  <c:v>0.27544946092937794</c:v>
                </c:pt>
                <c:pt idx="197">
                  <c:v>0.38190274667361668</c:v>
                </c:pt>
                <c:pt idx="198">
                  <c:v>0.25072593918043184</c:v>
                </c:pt>
                <c:pt idx="199">
                  <c:v>0.16557661575907917</c:v>
                </c:pt>
                <c:pt idx="200">
                  <c:v>0.27024499451965245</c:v>
                </c:pt>
                <c:pt idx="201">
                  <c:v>0.30756619974759281</c:v>
                </c:pt>
                <c:pt idx="202">
                  <c:v>0.31915015288043735</c:v>
                </c:pt>
                <c:pt idx="203">
                  <c:v>0.16689155168171135</c:v>
                </c:pt>
                <c:pt idx="204">
                  <c:v>6.457568259130203E-2</c:v>
                </c:pt>
                <c:pt idx="205">
                  <c:v>0.37434101919688823</c:v>
                </c:pt>
                <c:pt idx="206">
                  <c:v>3.6211240432631235E-2</c:v>
                </c:pt>
                <c:pt idx="207">
                  <c:v>9.0417278596494857E-2</c:v>
                </c:pt>
                <c:pt idx="208">
                  <c:v>0.24231534685220601</c:v>
                </c:pt>
                <c:pt idx="209">
                  <c:v>0.30408969259454688</c:v>
                </c:pt>
                <c:pt idx="210">
                  <c:v>7.2838140447824468E-2</c:v>
                </c:pt>
                <c:pt idx="211">
                  <c:v>0.46744897604990365</c:v>
                </c:pt>
                <c:pt idx="212">
                  <c:v>0.25032095113233721</c:v>
                </c:pt>
                <c:pt idx="213">
                  <c:v>0.12963820508096072</c:v>
                </c:pt>
                <c:pt idx="214">
                  <c:v>0.1962785502886108</c:v>
                </c:pt>
                <c:pt idx="215">
                  <c:v>0.29728306933791526</c:v>
                </c:pt>
                <c:pt idx="216">
                  <c:v>0.23771320268043117</c:v>
                </c:pt>
                <c:pt idx="217">
                  <c:v>0.37845234809529993</c:v>
                </c:pt>
                <c:pt idx="218">
                  <c:v>0.19538662880390953</c:v>
                </c:pt>
                <c:pt idx="219">
                  <c:v>0.19035983648723673</c:v>
                </c:pt>
                <c:pt idx="220">
                  <c:v>0.16844518059163432</c:v>
                </c:pt>
                <c:pt idx="221">
                  <c:v>0.34529696479466343</c:v>
                </c:pt>
                <c:pt idx="222">
                  <c:v>0.19385576455054276</c:v>
                </c:pt>
                <c:pt idx="223">
                  <c:v>0.29671267215607766</c:v>
                </c:pt>
                <c:pt idx="224">
                  <c:v>0.22115438480606231</c:v>
                </c:pt>
                <c:pt idx="225">
                  <c:v>0.28249309991777238</c:v>
                </c:pt>
                <c:pt idx="226">
                  <c:v>0.25703308152223492</c:v>
                </c:pt>
                <c:pt idx="227">
                  <c:v>0.31053527608508658</c:v>
                </c:pt>
                <c:pt idx="228">
                  <c:v>0.27666295178831568</c:v>
                </c:pt>
                <c:pt idx="229">
                  <c:v>0.1156955210302744</c:v>
                </c:pt>
                <c:pt idx="230">
                  <c:v>0.15040391163576561</c:v>
                </c:pt>
                <c:pt idx="231">
                  <c:v>0.20882174701037048</c:v>
                </c:pt>
                <c:pt idx="232">
                  <c:v>0.13680398070693695</c:v>
                </c:pt>
                <c:pt idx="233">
                  <c:v>0.297079978318603</c:v>
                </c:pt>
                <c:pt idx="234">
                  <c:v>0.24201696877362466</c:v>
                </c:pt>
                <c:pt idx="235">
                  <c:v>4.5042454709046713E-2</c:v>
                </c:pt>
                <c:pt idx="236">
                  <c:v>0.14756215899796568</c:v>
                </c:pt>
                <c:pt idx="237">
                  <c:v>0.15782145663056424</c:v>
                </c:pt>
                <c:pt idx="238">
                  <c:v>0.10681641734136543</c:v>
                </c:pt>
                <c:pt idx="239">
                  <c:v>0.16791722987660965</c:v>
                </c:pt>
                <c:pt idx="240">
                  <c:v>0.24191760094790771</c:v>
                </c:pt>
                <c:pt idx="241">
                  <c:v>0.2197025454418482</c:v>
                </c:pt>
                <c:pt idx="242">
                  <c:v>0.1711431099544457</c:v>
                </c:pt>
                <c:pt idx="243">
                  <c:v>0.10706840903487863</c:v>
                </c:pt>
                <c:pt idx="244">
                  <c:v>0.35088372603127826</c:v>
                </c:pt>
                <c:pt idx="245">
                  <c:v>0.30550390212677658</c:v>
                </c:pt>
                <c:pt idx="246">
                  <c:v>0.27494936810739123</c:v>
                </c:pt>
                <c:pt idx="247">
                  <c:v>0.26270897488789913</c:v>
                </c:pt>
                <c:pt idx="248">
                  <c:v>0.34685603739439275</c:v>
                </c:pt>
                <c:pt idx="249">
                  <c:v>0.27019232919417613</c:v>
                </c:pt>
                <c:pt idx="250">
                  <c:v>0.21617957607538474</c:v>
                </c:pt>
                <c:pt idx="251">
                  <c:v>7.8653310992262804E-2</c:v>
                </c:pt>
                <c:pt idx="252">
                  <c:v>0.14776483846841695</c:v>
                </c:pt>
                <c:pt idx="253">
                  <c:v>0.22237932791792159</c:v>
                </c:pt>
                <c:pt idx="254">
                  <c:v>0.24328567699562509</c:v>
                </c:pt>
                <c:pt idx="255">
                  <c:v>8.2350343149473343E-2</c:v>
                </c:pt>
                <c:pt idx="256">
                  <c:v>0.33165530079582384</c:v>
                </c:pt>
                <c:pt idx="257">
                  <c:v>0.19260835245656252</c:v>
                </c:pt>
                <c:pt idx="258">
                  <c:v>0.21189946701784246</c:v>
                </c:pt>
                <c:pt idx="259">
                  <c:v>0.13148389336911251</c:v>
                </c:pt>
                <c:pt idx="260">
                  <c:v>0.25918099660733618</c:v>
                </c:pt>
                <c:pt idx="261">
                  <c:v>0.1456419878033659</c:v>
                </c:pt>
                <c:pt idx="262">
                  <c:v>0.10762265025260676</c:v>
                </c:pt>
                <c:pt idx="263">
                  <c:v>0.18201016187530275</c:v>
                </c:pt>
                <c:pt idx="264">
                  <c:v>0.15967186981375212</c:v>
                </c:pt>
                <c:pt idx="265">
                  <c:v>0.29780492741981868</c:v>
                </c:pt>
                <c:pt idx="266">
                  <c:v>9.8728120760298146E-2</c:v>
                </c:pt>
                <c:pt idx="267">
                  <c:v>0.16024532865253754</c:v>
                </c:pt>
                <c:pt idx="268">
                  <c:v>0.21292820469752138</c:v>
                </c:pt>
                <c:pt idx="269">
                  <c:v>0.35726321454818921</c:v>
                </c:pt>
                <c:pt idx="270">
                  <c:v>0.30474767339222708</c:v>
                </c:pt>
                <c:pt idx="271">
                  <c:v>0.1872327188414343</c:v>
                </c:pt>
                <c:pt idx="272">
                  <c:v>0.27943208921493567</c:v>
                </c:pt>
                <c:pt idx="273">
                  <c:v>0.14274489718570857</c:v>
                </c:pt>
                <c:pt idx="274">
                  <c:v>0.34099891518876113</c:v>
                </c:pt>
                <c:pt idx="275">
                  <c:v>0.18567595638300588</c:v>
                </c:pt>
                <c:pt idx="276">
                  <c:v>0.18772102117844849</c:v>
                </c:pt>
                <c:pt idx="277">
                  <c:v>0.16951579014025922</c:v>
                </c:pt>
                <c:pt idx="278">
                  <c:v>0.24991680026651297</c:v>
                </c:pt>
                <c:pt idx="279">
                  <c:v>0.12237149177925973</c:v>
                </c:pt>
                <c:pt idx="280">
                  <c:v>0.30077179839476531</c:v>
                </c:pt>
                <c:pt idx="281">
                  <c:v>0.19625506365796772</c:v>
                </c:pt>
                <c:pt idx="282">
                  <c:v>0.11139115377714429</c:v>
                </c:pt>
                <c:pt idx="283">
                  <c:v>0.3732967604615961</c:v>
                </c:pt>
                <c:pt idx="284">
                  <c:v>5.2030998057281196E-2</c:v>
                </c:pt>
                <c:pt idx="285">
                  <c:v>0.10861890203325149</c:v>
                </c:pt>
                <c:pt idx="286">
                  <c:v>0.36039264038998775</c:v>
                </c:pt>
                <c:pt idx="287">
                  <c:v>0.25881629793818428</c:v>
                </c:pt>
                <c:pt idx="288">
                  <c:v>0.17286912498591833</c:v>
                </c:pt>
                <c:pt idx="289">
                  <c:v>0.42626729243362282</c:v>
                </c:pt>
                <c:pt idx="290">
                  <c:v>0.22961915081133699</c:v>
                </c:pt>
                <c:pt idx="291">
                  <c:v>0.31222619585441935</c:v>
                </c:pt>
                <c:pt idx="292">
                  <c:v>0.16116318786107794</c:v>
                </c:pt>
                <c:pt idx="293">
                  <c:v>0.14513539271890122</c:v>
                </c:pt>
                <c:pt idx="294">
                  <c:v>0.18525025290048544</c:v>
                </c:pt>
                <c:pt idx="295">
                  <c:v>0.25720866157584732</c:v>
                </c:pt>
                <c:pt idx="296">
                  <c:v>0.14762703117335524</c:v>
                </c:pt>
                <c:pt idx="297">
                  <c:v>0.12294154945538195</c:v>
                </c:pt>
                <c:pt idx="298">
                  <c:v>0.19021220044970844</c:v>
                </c:pt>
                <c:pt idx="299">
                  <c:v>5.6847841026766578E-2</c:v>
                </c:pt>
                <c:pt idx="300">
                  <c:v>0.2677050624825108</c:v>
                </c:pt>
                <c:pt idx="301">
                  <c:v>0.1353594758617849</c:v>
                </c:pt>
                <c:pt idx="302">
                  <c:v>0.26801650123431286</c:v>
                </c:pt>
                <c:pt idx="303">
                  <c:v>0.21690903149147722</c:v>
                </c:pt>
                <c:pt idx="304">
                  <c:v>0.22212893048302385</c:v>
                </c:pt>
                <c:pt idx="305">
                  <c:v>0.18346337862557813</c:v>
                </c:pt>
                <c:pt idx="306">
                  <c:v>0.16997320363164531</c:v>
                </c:pt>
                <c:pt idx="307">
                  <c:v>0.31172639959391302</c:v>
                </c:pt>
                <c:pt idx="308">
                  <c:v>0.22854983199527801</c:v>
                </c:pt>
                <c:pt idx="309">
                  <c:v>0.10566377309156193</c:v>
                </c:pt>
                <c:pt idx="310">
                  <c:v>0.24398669827917019</c:v>
                </c:pt>
                <c:pt idx="311">
                  <c:v>0.15222374349110535</c:v>
                </c:pt>
                <c:pt idx="312">
                  <c:v>0.19860798879633373</c:v>
                </c:pt>
                <c:pt idx="313">
                  <c:v>6.3873728018273082E-2</c:v>
                </c:pt>
                <c:pt idx="314">
                  <c:v>0.3518495912936167</c:v>
                </c:pt>
                <c:pt idx="315">
                  <c:v>0.19011119895828463</c:v>
                </c:pt>
                <c:pt idx="316">
                  <c:v>0.23248975610662859</c:v>
                </c:pt>
                <c:pt idx="317">
                  <c:v>0.36189369644686775</c:v>
                </c:pt>
                <c:pt idx="318">
                  <c:v>0.24839226186551333</c:v>
                </c:pt>
                <c:pt idx="319">
                  <c:v>0.27732293072646386</c:v>
                </c:pt>
                <c:pt idx="320">
                  <c:v>0.47265023104777004</c:v>
                </c:pt>
                <c:pt idx="321">
                  <c:v>0.31642036821415997</c:v>
                </c:pt>
                <c:pt idx="322">
                  <c:v>0.22912244289529504</c:v>
                </c:pt>
                <c:pt idx="323">
                  <c:v>0.2892827988458212</c:v>
                </c:pt>
                <c:pt idx="324">
                  <c:v>0.22005864923948382</c:v>
                </c:pt>
                <c:pt idx="325">
                  <c:v>0.2648261966115496</c:v>
                </c:pt>
                <c:pt idx="326">
                  <c:v>0.27649840308524831</c:v>
                </c:pt>
                <c:pt idx="327">
                  <c:v>0.28670872156150806</c:v>
                </c:pt>
                <c:pt idx="328">
                  <c:v>6.7640183143335766E-2</c:v>
                </c:pt>
                <c:pt idx="329">
                  <c:v>0.17099595977530657</c:v>
                </c:pt>
                <c:pt idx="330">
                  <c:v>0.25551841272126707</c:v>
                </c:pt>
                <c:pt idx="331">
                  <c:v>0.13096973685935578</c:v>
                </c:pt>
                <c:pt idx="332">
                  <c:v>0.35017055496308458</c:v>
                </c:pt>
                <c:pt idx="333">
                  <c:v>0.16466500415753008</c:v>
                </c:pt>
                <c:pt idx="334">
                  <c:v>0.37793127699607321</c:v>
                </c:pt>
                <c:pt idx="335">
                  <c:v>0.26260832669721723</c:v>
                </c:pt>
                <c:pt idx="336">
                  <c:v>0.1592158014723086</c:v>
                </c:pt>
                <c:pt idx="337">
                  <c:v>0.22032392272115686</c:v>
                </c:pt>
                <c:pt idx="338">
                  <c:v>0.1975402384078101</c:v>
                </c:pt>
                <c:pt idx="339">
                  <c:v>0.23327128246316797</c:v>
                </c:pt>
                <c:pt idx="340">
                  <c:v>0.31842396109313031</c:v>
                </c:pt>
                <c:pt idx="341">
                  <c:v>0.39268435309030014</c:v>
                </c:pt>
                <c:pt idx="342">
                  <c:v>0.20153870032853097</c:v>
                </c:pt>
                <c:pt idx="343">
                  <c:v>0.32084720241983411</c:v>
                </c:pt>
                <c:pt idx="344">
                  <c:v>0.25881629793818428</c:v>
                </c:pt>
                <c:pt idx="345">
                  <c:v>0.17116634278241855</c:v>
                </c:pt>
                <c:pt idx="346">
                  <c:v>0.15469452966736214</c:v>
                </c:pt>
                <c:pt idx="347">
                  <c:v>0.15728470580846551</c:v>
                </c:pt>
                <c:pt idx="348">
                  <c:v>0.10599297497188338</c:v>
                </c:pt>
                <c:pt idx="349">
                  <c:v>0.26209593270956455</c:v>
                </c:pt>
                <c:pt idx="350">
                  <c:v>0.24828979882793556</c:v>
                </c:pt>
                <c:pt idx="351">
                  <c:v>0.10518389357954862</c:v>
                </c:pt>
                <c:pt idx="352">
                  <c:v>0.15346111837801557</c:v>
                </c:pt>
                <c:pt idx="353">
                  <c:v>0.22791031985447407</c:v>
                </c:pt>
                <c:pt idx="354">
                  <c:v>0.1070159633665938</c:v>
                </c:pt>
                <c:pt idx="355">
                  <c:v>0.19316165138477148</c:v>
                </c:pt>
                <c:pt idx="356">
                  <c:v>0.18762799686434048</c:v>
                </c:pt>
                <c:pt idx="357">
                  <c:v>0.25244951506049151</c:v>
                </c:pt>
                <c:pt idx="358">
                  <c:v>9.4987841374262E-2</c:v>
                </c:pt>
                <c:pt idx="359">
                  <c:v>0.3379834836738278</c:v>
                </c:pt>
                <c:pt idx="360">
                  <c:v>0.14044837515486375</c:v>
                </c:pt>
                <c:pt idx="361">
                  <c:v>0.28296181824202216</c:v>
                </c:pt>
                <c:pt idx="362">
                  <c:v>0.29628333498179671</c:v>
                </c:pt>
                <c:pt idx="363">
                  <c:v>0.12940941671407979</c:v>
                </c:pt>
                <c:pt idx="364">
                  <c:v>0.15280701661111959</c:v>
                </c:pt>
                <c:pt idx="365">
                  <c:v>0.31141330107128473</c:v>
                </c:pt>
                <c:pt idx="366">
                  <c:v>0.39562747359741457</c:v>
                </c:pt>
                <c:pt idx="367">
                  <c:v>0.25644903387654783</c:v>
                </c:pt>
                <c:pt idx="368">
                  <c:v>0.36244551861166185</c:v>
                </c:pt>
                <c:pt idx="369">
                  <c:v>0.13864202666432482</c:v>
                </c:pt>
                <c:pt idx="370">
                  <c:v>0.2908480037827883</c:v>
                </c:pt>
                <c:pt idx="371">
                  <c:v>0.15207178048504899</c:v>
                </c:pt>
                <c:pt idx="372">
                  <c:v>0.31271371297223982</c:v>
                </c:pt>
                <c:pt idx="373">
                  <c:v>0.11023801136092089</c:v>
                </c:pt>
                <c:pt idx="374">
                  <c:v>0.18264391729242524</c:v>
                </c:pt>
                <c:pt idx="375">
                  <c:v>0.19186859562437064</c:v>
                </c:pt>
                <c:pt idx="376">
                  <c:v>0.33877910634068653</c:v>
                </c:pt>
                <c:pt idx="377">
                  <c:v>0.17420700501197636</c:v>
                </c:pt>
                <c:pt idx="378">
                  <c:v>0.29278697728193259</c:v>
                </c:pt>
                <c:pt idx="379">
                  <c:v>0.21152755247048427</c:v>
                </c:pt>
                <c:pt idx="380">
                  <c:v>0.37539762492547224</c:v>
                </c:pt>
                <c:pt idx="381">
                  <c:v>0.32321274260041499</c:v>
                </c:pt>
                <c:pt idx="382">
                  <c:v>9.3724672508112922E-2</c:v>
                </c:pt>
                <c:pt idx="383">
                  <c:v>0.21395984953350267</c:v>
                </c:pt>
                <c:pt idx="384">
                  <c:v>0.20730765447612912</c:v>
                </c:pt>
                <c:pt idx="385">
                  <c:v>0.29670002465532441</c:v>
                </c:pt>
                <c:pt idx="386">
                  <c:v>0.28416915053272351</c:v>
                </c:pt>
                <c:pt idx="387">
                  <c:v>0.21691723669520779</c:v>
                </c:pt>
                <c:pt idx="388">
                  <c:v>0.1168244435572077</c:v>
                </c:pt>
                <c:pt idx="389">
                  <c:v>0.28444653658758756</c:v>
                </c:pt>
                <c:pt idx="390">
                  <c:v>0.3799783839119818</c:v>
                </c:pt>
                <c:pt idx="391">
                  <c:v>0.54074645876400496</c:v>
                </c:pt>
                <c:pt idx="392">
                  <c:v>0.10776854548341384</c:v>
                </c:pt>
                <c:pt idx="393">
                  <c:v>0.30902082060623426</c:v>
                </c:pt>
                <c:pt idx="394">
                  <c:v>0.24951347932854961</c:v>
                </c:pt>
                <c:pt idx="395">
                  <c:v>0.24452542530591581</c:v>
                </c:pt>
                <c:pt idx="396">
                  <c:v>0.15093400515245387</c:v>
                </c:pt>
                <c:pt idx="397">
                  <c:v>0.30143900017457814</c:v>
                </c:pt>
                <c:pt idx="398">
                  <c:v>0.25127354127198409</c:v>
                </c:pt>
                <c:pt idx="399">
                  <c:v>7.0258930976654282E-2</c:v>
                </c:pt>
                <c:pt idx="400">
                  <c:v>0.35149914158382078</c:v>
                </c:pt>
                <c:pt idx="401">
                  <c:v>7.5598739807944057E-2</c:v>
                </c:pt>
                <c:pt idx="402">
                  <c:v>0.28452754180271045</c:v>
                </c:pt>
                <c:pt idx="403">
                  <c:v>0.26705295366539838</c:v>
                </c:pt>
                <c:pt idx="404">
                  <c:v>0.16501575364010548</c:v>
                </c:pt>
                <c:pt idx="405">
                  <c:v>0.23459690827801227</c:v>
                </c:pt>
                <c:pt idx="406">
                  <c:v>6.1367830499995585E-2</c:v>
                </c:pt>
                <c:pt idx="407">
                  <c:v>0.20179944621138227</c:v>
                </c:pt>
                <c:pt idx="408">
                  <c:v>0.10700547091959721</c:v>
                </c:pt>
                <c:pt idx="409">
                  <c:v>7.0277351511675218E-2</c:v>
                </c:pt>
                <c:pt idx="410">
                  <c:v>0.25281134444844422</c:v>
                </c:pt>
                <c:pt idx="411">
                  <c:v>0.1647507582191963</c:v>
                </c:pt>
                <c:pt idx="412">
                  <c:v>0.19010343003509178</c:v>
                </c:pt>
                <c:pt idx="413">
                  <c:v>0.1416946486428953</c:v>
                </c:pt>
                <c:pt idx="414">
                  <c:v>0.2307101169506276</c:v>
                </c:pt>
                <c:pt idx="415">
                  <c:v>0.17990869224940825</c:v>
                </c:pt>
                <c:pt idx="416">
                  <c:v>0.2069559435828458</c:v>
                </c:pt>
                <c:pt idx="417">
                  <c:v>7.8404100138622243E-2</c:v>
                </c:pt>
                <c:pt idx="418">
                  <c:v>0.34489166069001953</c:v>
                </c:pt>
                <c:pt idx="419">
                  <c:v>0.54518216218464921</c:v>
                </c:pt>
                <c:pt idx="420">
                  <c:v>0.10545078883027634</c:v>
                </c:pt>
                <c:pt idx="421">
                  <c:v>0.10404385776893837</c:v>
                </c:pt>
                <c:pt idx="422">
                  <c:v>7.131514613470312E-2</c:v>
                </c:pt>
                <c:pt idx="423">
                  <c:v>0.37883828098569072</c:v>
                </c:pt>
                <c:pt idx="424">
                  <c:v>0.24450714071102631</c:v>
                </c:pt>
                <c:pt idx="425">
                  <c:v>6.5286106453105258E-2</c:v>
                </c:pt>
                <c:pt idx="426">
                  <c:v>7.4347743711619688E-2</c:v>
                </c:pt>
                <c:pt idx="427">
                  <c:v>0.18420578038609786</c:v>
                </c:pt>
                <c:pt idx="428">
                  <c:v>0.18179378651844141</c:v>
                </c:pt>
                <c:pt idx="429">
                  <c:v>0.3703100792961953</c:v>
                </c:pt>
                <c:pt idx="430">
                  <c:v>0.17317853918710072</c:v>
                </c:pt>
                <c:pt idx="431">
                  <c:v>0.11549178553658337</c:v>
                </c:pt>
                <c:pt idx="432">
                  <c:v>0.20078089753141817</c:v>
                </c:pt>
                <c:pt idx="433">
                  <c:v>0.24371329696520572</c:v>
                </c:pt>
                <c:pt idx="434">
                  <c:v>0.30178048396242219</c:v>
                </c:pt>
                <c:pt idx="435">
                  <c:v>0.41502775433531491</c:v>
                </c:pt>
                <c:pt idx="436">
                  <c:v>0.16157848541192316</c:v>
                </c:pt>
                <c:pt idx="437">
                  <c:v>0.27577648541808264</c:v>
                </c:pt>
                <c:pt idx="438">
                  <c:v>0.17875778649107926</c:v>
                </c:pt>
                <c:pt idx="439">
                  <c:v>0.10393559006892915</c:v>
                </c:pt>
                <c:pt idx="440">
                  <c:v>0.13076890164201588</c:v>
                </c:pt>
                <c:pt idx="441">
                  <c:v>0.17828662192531219</c:v>
                </c:pt>
                <c:pt idx="442">
                  <c:v>0.12531731198757884</c:v>
                </c:pt>
                <c:pt idx="443">
                  <c:v>0.15679477313992032</c:v>
                </c:pt>
                <c:pt idx="444">
                  <c:v>0.14904270313160037</c:v>
                </c:pt>
                <c:pt idx="445">
                  <c:v>0.16003329872069158</c:v>
                </c:pt>
                <c:pt idx="446">
                  <c:v>0.10671123173471216</c:v>
                </c:pt>
                <c:pt idx="447">
                  <c:v>0.42641718457575395</c:v>
                </c:pt>
                <c:pt idx="448">
                  <c:v>0.31369475010919023</c:v>
                </c:pt>
                <c:pt idx="449">
                  <c:v>6.6890179522076945E-2</c:v>
                </c:pt>
                <c:pt idx="450">
                  <c:v>0.32637047590217361</c:v>
                </c:pt>
                <c:pt idx="451">
                  <c:v>8.6101801583842175E-2</c:v>
                </c:pt>
                <c:pt idx="452">
                  <c:v>0.32524390048868801</c:v>
                </c:pt>
                <c:pt idx="453">
                  <c:v>0.19070181609033363</c:v>
                </c:pt>
                <c:pt idx="454">
                  <c:v>0.26101583642566872</c:v>
                </c:pt>
                <c:pt idx="455">
                  <c:v>0.13110931489141478</c:v>
                </c:pt>
                <c:pt idx="456">
                  <c:v>0.16222045096966353</c:v>
                </c:pt>
                <c:pt idx="457">
                  <c:v>0.39623568875083193</c:v>
                </c:pt>
                <c:pt idx="458">
                  <c:v>0.25746257737812139</c:v>
                </c:pt>
                <c:pt idx="459">
                  <c:v>0.27098412991467902</c:v>
                </c:pt>
                <c:pt idx="460">
                  <c:v>0.16605147813437743</c:v>
                </c:pt>
                <c:pt idx="461">
                  <c:v>0.17129798830761153</c:v>
                </c:pt>
                <c:pt idx="462">
                  <c:v>0.29522854462167158</c:v>
                </c:pt>
                <c:pt idx="463">
                  <c:v>0.10786222438582033</c:v>
                </c:pt>
                <c:pt idx="464">
                  <c:v>0.21385411180747638</c:v>
                </c:pt>
                <c:pt idx="465">
                  <c:v>0.24004711678242363</c:v>
                </c:pt>
                <c:pt idx="466">
                  <c:v>0.12539856965492371</c:v>
                </c:pt>
                <c:pt idx="467">
                  <c:v>0.18824829122099174</c:v>
                </c:pt>
                <c:pt idx="468">
                  <c:v>0.34740746462059768</c:v>
                </c:pt>
                <c:pt idx="469">
                  <c:v>0.19890666926884554</c:v>
                </c:pt>
                <c:pt idx="470">
                  <c:v>0.3645914760986908</c:v>
                </c:pt>
                <c:pt idx="471">
                  <c:v>0.15990761206055179</c:v>
                </c:pt>
                <c:pt idx="472">
                  <c:v>0.2084447123601002</c:v>
                </c:pt>
                <c:pt idx="473">
                  <c:v>0.18986262304275955</c:v>
                </c:pt>
                <c:pt idx="474">
                  <c:v>0.20591845167804126</c:v>
                </c:pt>
                <c:pt idx="475">
                  <c:v>0.14310774638507662</c:v>
                </c:pt>
                <c:pt idx="476">
                  <c:v>0.1313446064117878</c:v>
                </c:pt>
                <c:pt idx="477">
                  <c:v>0.52805459170197944</c:v>
                </c:pt>
                <c:pt idx="478">
                  <c:v>0.10753918683929282</c:v>
                </c:pt>
                <c:pt idx="479">
                  <c:v>0.14605801998514423</c:v>
                </c:pt>
                <c:pt idx="480">
                  <c:v>0.25446741837078035</c:v>
                </c:pt>
                <c:pt idx="481">
                  <c:v>0.18000911203132461</c:v>
                </c:pt>
                <c:pt idx="482">
                  <c:v>0.35741618161579347</c:v>
                </c:pt>
                <c:pt idx="483">
                  <c:v>0.1531182544222979</c:v>
                </c:pt>
                <c:pt idx="484">
                  <c:v>2.1403125886239632E-2</c:v>
                </c:pt>
                <c:pt idx="485">
                  <c:v>0.35924882072199738</c:v>
                </c:pt>
                <c:pt idx="486">
                  <c:v>0.2031923382756724</c:v>
                </c:pt>
                <c:pt idx="487">
                  <c:v>0.12398391037426222</c:v>
                </c:pt>
                <c:pt idx="488">
                  <c:v>0.19007235494321664</c:v>
                </c:pt>
                <c:pt idx="489">
                  <c:v>8.920123175961378E-2</c:v>
                </c:pt>
                <c:pt idx="490">
                  <c:v>0.10218574476722184</c:v>
                </c:pt>
                <c:pt idx="491">
                  <c:v>5.2364908851482435E-2</c:v>
                </c:pt>
                <c:pt idx="492">
                  <c:v>0.3926194012635229</c:v>
                </c:pt>
                <c:pt idx="493">
                  <c:v>0.32098590739809152</c:v>
                </c:pt>
                <c:pt idx="494">
                  <c:v>4.2834459658811136E-2</c:v>
                </c:pt>
                <c:pt idx="495">
                  <c:v>0.34770412323665079</c:v>
                </c:pt>
                <c:pt idx="496">
                  <c:v>0.22385265308529867</c:v>
                </c:pt>
                <c:pt idx="497">
                  <c:v>0.26602310732042533</c:v>
                </c:pt>
                <c:pt idx="498">
                  <c:v>0.10460483996661993</c:v>
                </c:pt>
                <c:pt idx="499">
                  <c:v>0.29155211388770697</c:v>
                </c:pt>
                <c:pt idx="500">
                  <c:v>0.15205578067744646</c:v>
                </c:pt>
                <c:pt idx="501">
                  <c:v>0.1517516493399689</c:v>
                </c:pt>
                <c:pt idx="502">
                  <c:v>0.18973059170014994</c:v>
                </c:pt>
                <c:pt idx="503">
                  <c:v>0.29881636316032478</c:v>
                </c:pt>
                <c:pt idx="504">
                  <c:v>9.0237519632053606E-2</c:v>
                </c:pt>
                <c:pt idx="505">
                  <c:v>0.14280265765002167</c:v>
                </c:pt>
                <c:pt idx="506">
                  <c:v>0.24341296305826676</c:v>
                </c:pt>
                <c:pt idx="507">
                  <c:v>0.15265529428268307</c:v>
                </c:pt>
                <c:pt idx="508">
                  <c:v>0.11802888235241045</c:v>
                </c:pt>
                <c:pt idx="509">
                  <c:v>0.29111465408875092</c:v>
                </c:pt>
                <c:pt idx="510">
                  <c:v>0.18424445431310851</c:v>
                </c:pt>
                <c:pt idx="511">
                  <c:v>8.8439915937565783E-2</c:v>
                </c:pt>
                <c:pt idx="512">
                  <c:v>0.34395219387584797</c:v>
                </c:pt>
                <c:pt idx="513">
                  <c:v>0.31326094530463511</c:v>
                </c:pt>
                <c:pt idx="514">
                  <c:v>0.12349108513134482</c:v>
                </c:pt>
                <c:pt idx="515">
                  <c:v>0.1920787773191098</c:v>
                </c:pt>
                <c:pt idx="516">
                  <c:v>0.19120723809182458</c:v>
                </c:pt>
                <c:pt idx="517">
                  <c:v>0.14409476358289222</c:v>
                </c:pt>
                <c:pt idx="518">
                  <c:v>0.20269330412932429</c:v>
                </c:pt>
                <c:pt idx="519">
                  <c:v>0.43923820294849636</c:v>
                </c:pt>
                <c:pt idx="520">
                  <c:v>0.32832876208797934</c:v>
                </c:pt>
                <c:pt idx="521">
                  <c:v>6.6890179522076945E-2</c:v>
                </c:pt>
                <c:pt idx="522">
                  <c:v>0.3401862115829406</c:v>
                </c:pt>
                <c:pt idx="523">
                  <c:v>8.5011400494903147E-2</c:v>
                </c:pt>
                <c:pt idx="524">
                  <c:v>0.1308824450775822</c:v>
                </c:pt>
                <c:pt idx="525">
                  <c:v>0.2332538881545162</c:v>
                </c:pt>
                <c:pt idx="526">
                  <c:v>0.22955915291795981</c:v>
                </c:pt>
                <c:pt idx="527">
                  <c:v>9.7663816506517745E-2</c:v>
                </c:pt>
                <c:pt idx="528">
                  <c:v>0.28837587984874136</c:v>
                </c:pt>
                <c:pt idx="529">
                  <c:v>0.23352363926566388</c:v>
                </c:pt>
                <c:pt idx="530">
                  <c:v>0.26656813039057103</c:v>
                </c:pt>
                <c:pt idx="531">
                  <c:v>0.39320580234690239</c:v>
                </c:pt>
                <c:pt idx="532">
                  <c:v>0.3899989698194879</c:v>
                </c:pt>
                <c:pt idx="533">
                  <c:v>0.12234385067178633</c:v>
                </c:pt>
                <c:pt idx="534">
                  <c:v>0.13033151503415336</c:v>
                </c:pt>
                <c:pt idx="535">
                  <c:v>7.7156290602793776E-2</c:v>
                </c:pt>
                <c:pt idx="536">
                  <c:v>0.25423680108724001</c:v>
                </c:pt>
                <c:pt idx="537">
                  <c:v>0.38968493861373754</c:v>
                </c:pt>
                <c:pt idx="538">
                  <c:v>0.21990125070369915</c:v>
                </c:pt>
                <c:pt idx="539">
                  <c:v>0.30334189831917036</c:v>
                </c:pt>
                <c:pt idx="540">
                  <c:v>0.13436787348794504</c:v>
                </c:pt>
                <c:pt idx="541">
                  <c:v>0.2474812473216641</c:v>
                </c:pt>
                <c:pt idx="542">
                  <c:v>0.1257591975037716</c:v>
                </c:pt>
                <c:pt idx="543">
                  <c:v>2.6138837117174019E-2</c:v>
                </c:pt>
                <c:pt idx="544">
                  <c:v>0.42778012925621944</c:v>
                </c:pt>
                <c:pt idx="545">
                  <c:v>7.6915994834518761E-2</c:v>
                </c:pt>
                <c:pt idx="546">
                  <c:v>0.28311075240829042</c:v>
                </c:pt>
                <c:pt idx="547">
                  <c:v>0.24011876511255048</c:v>
                </c:pt>
                <c:pt idx="548">
                  <c:v>0.11077564724441127</c:v>
                </c:pt>
                <c:pt idx="549">
                  <c:v>0.28720325783970291</c:v>
                </c:pt>
                <c:pt idx="550">
                  <c:v>0.10727791665323884</c:v>
                </c:pt>
                <c:pt idx="551">
                  <c:v>0.20172832077590563</c:v>
                </c:pt>
                <c:pt idx="552">
                  <c:v>0.10534411979186629</c:v>
                </c:pt>
                <c:pt idx="553">
                  <c:v>0.18869044731110021</c:v>
                </c:pt>
                <c:pt idx="554">
                  <c:v>0.16961659145033128</c:v>
                </c:pt>
                <c:pt idx="555">
                  <c:v>0.36077700093052523</c:v>
                </c:pt>
                <c:pt idx="556">
                  <c:v>0.15544863678973606</c:v>
                </c:pt>
                <c:pt idx="557">
                  <c:v>0.18327008519643712</c:v>
                </c:pt>
                <c:pt idx="558">
                  <c:v>0.18546696099353679</c:v>
                </c:pt>
                <c:pt idx="559">
                  <c:v>0.14596833908824217</c:v>
                </c:pt>
                <c:pt idx="560">
                  <c:v>0.42557179354654584</c:v>
                </c:pt>
                <c:pt idx="561">
                  <c:v>7.2994718287867272E-2</c:v>
                </c:pt>
                <c:pt idx="562">
                  <c:v>0.39085276600322827</c:v>
                </c:pt>
                <c:pt idx="563">
                  <c:v>0.1160633190922149</c:v>
                </c:pt>
                <c:pt idx="564">
                  <c:v>0.18563725150572999</c:v>
                </c:pt>
                <c:pt idx="565">
                  <c:v>0.25984330611200734</c:v>
                </c:pt>
                <c:pt idx="566">
                  <c:v>0.34435376047552757</c:v>
                </c:pt>
                <c:pt idx="567">
                  <c:v>0.18404335792004431</c:v>
                </c:pt>
                <c:pt idx="568">
                  <c:v>0.24006502669494634</c:v>
                </c:pt>
                <c:pt idx="569">
                  <c:v>0.24180925168512746</c:v>
                </c:pt>
                <c:pt idx="570">
                  <c:v>9.8336393117832363E-2</c:v>
                </c:pt>
                <c:pt idx="571">
                  <c:v>0.19758730599866153</c:v>
                </c:pt>
                <c:pt idx="572">
                  <c:v>0.23775751873961737</c:v>
                </c:pt>
                <c:pt idx="573">
                  <c:v>0.11596663762201927</c:v>
                </c:pt>
                <c:pt idx="574">
                  <c:v>9.4746551256222056E-2</c:v>
                </c:pt>
                <c:pt idx="575">
                  <c:v>0.18082024834833615</c:v>
                </c:pt>
                <c:pt idx="576">
                  <c:v>9.2874697152647581E-2</c:v>
                </c:pt>
                <c:pt idx="577">
                  <c:v>0.33312507175915362</c:v>
                </c:pt>
                <c:pt idx="578">
                  <c:v>0.22514803908112158</c:v>
                </c:pt>
                <c:pt idx="579">
                  <c:v>0.12578621074792731</c:v>
                </c:pt>
                <c:pt idx="580">
                  <c:v>0.14678259460541415</c:v>
                </c:pt>
                <c:pt idx="581">
                  <c:v>0.13447068340049623</c:v>
                </c:pt>
                <c:pt idx="582">
                  <c:v>0.15205578067744646</c:v>
                </c:pt>
                <c:pt idx="583">
                  <c:v>0.17739833307502589</c:v>
                </c:pt>
                <c:pt idx="584">
                  <c:v>0.19523808695409015</c:v>
                </c:pt>
                <c:pt idx="585">
                  <c:v>0.35338982841218325</c:v>
                </c:pt>
                <c:pt idx="586">
                  <c:v>0.33744445581074822</c:v>
                </c:pt>
                <c:pt idx="587">
                  <c:v>0.31407199717124801</c:v>
                </c:pt>
                <c:pt idx="588">
                  <c:v>0.21434239518337872</c:v>
                </c:pt>
                <c:pt idx="589">
                  <c:v>0.22802105835923858</c:v>
                </c:pt>
                <c:pt idx="590">
                  <c:v>0.32385936291697548</c:v>
                </c:pt>
                <c:pt idx="591">
                  <c:v>0.23752716872967361</c:v>
                </c:pt>
                <c:pt idx="592">
                  <c:v>0.25129245172631465</c:v>
                </c:pt>
                <c:pt idx="593">
                  <c:v>0.32213280718559067</c:v>
                </c:pt>
                <c:pt idx="594">
                  <c:v>0.27965584199799176</c:v>
                </c:pt>
                <c:pt idx="595">
                  <c:v>0.38233303778973771</c:v>
                </c:pt>
                <c:pt idx="596">
                  <c:v>0.19397281102606093</c:v>
                </c:pt>
                <c:pt idx="597">
                  <c:v>0.33510493394480267</c:v>
                </c:pt>
                <c:pt idx="598">
                  <c:v>0.21131750155200435</c:v>
                </c:pt>
                <c:pt idx="599">
                  <c:v>0.37373908362053732</c:v>
                </c:pt>
                <c:pt idx="600">
                  <c:v>0.44298063027986223</c:v>
                </c:pt>
                <c:pt idx="601">
                  <c:v>0.20070202127443801</c:v>
                </c:pt>
                <c:pt idx="602">
                  <c:v>8.385893464890129E-2</c:v>
                </c:pt>
                <c:pt idx="603">
                  <c:v>0.1364225921166469</c:v>
                </c:pt>
                <c:pt idx="604">
                  <c:v>0.27680570445637132</c:v>
                </c:pt>
                <c:pt idx="605">
                  <c:v>0.17695029617132493</c:v>
                </c:pt>
                <c:pt idx="606">
                  <c:v>0.11940110214524338</c:v>
                </c:pt>
                <c:pt idx="607">
                  <c:v>0.18148470162724309</c:v>
                </c:pt>
                <c:pt idx="608">
                  <c:v>8.4788220666203173E-2</c:v>
                </c:pt>
                <c:pt idx="609">
                  <c:v>5.8354605207638612E-2</c:v>
                </c:pt>
                <c:pt idx="610">
                  <c:v>0.20677220855633602</c:v>
                </c:pt>
                <c:pt idx="611">
                  <c:v>0.30255879454466683</c:v>
                </c:pt>
                <c:pt idx="612">
                  <c:v>0.10184276453555408</c:v>
                </c:pt>
                <c:pt idx="613">
                  <c:v>0.4159357636047365</c:v>
                </c:pt>
                <c:pt idx="614">
                  <c:v>0.13068151103164835</c:v>
                </c:pt>
                <c:pt idx="615">
                  <c:v>0.11400668699671469</c:v>
                </c:pt>
                <c:pt idx="616">
                  <c:v>0.26380988780591585</c:v>
                </c:pt>
                <c:pt idx="617">
                  <c:v>0.10110809941802246</c:v>
                </c:pt>
                <c:pt idx="618">
                  <c:v>0.24587375763211294</c:v>
                </c:pt>
                <c:pt idx="619">
                  <c:v>0.1884266848819221</c:v>
                </c:pt>
                <c:pt idx="620">
                  <c:v>0.17296969014979111</c:v>
                </c:pt>
                <c:pt idx="621">
                  <c:v>0.39705371752012464</c:v>
                </c:pt>
                <c:pt idx="622">
                  <c:v>0.23629956759150872</c:v>
                </c:pt>
                <c:pt idx="623">
                  <c:v>0.12467475896383014</c:v>
                </c:pt>
                <c:pt idx="624">
                  <c:v>0.46495462260344145</c:v>
                </c:pt>
                <c:pt idx="625">
                  <c:v>0.29392168291710907</c:v>
                </c:pt>
                <c:pt idx="626">
                  <c:v>0.38481270860609051</c:v>
                </c:pt>
                <c:pt idx="627">
                  <c:v>7.0680713345483967E-2</c:v>
                </c:pt>
                <c:pt idx="628">
                  <c:v>0.37423604335573402</c:v>
                </c:pt>
                <c:pt idx="629">
                  <c:v>0.16004115316190995</c:v>
                </c:pt>
                <c:pt idx="630">
                  <c:v>0.2280977504651811</c:v>
                </c:pt>
                <c:pt idx="631">
                  <c:v>0.1926317237431085</c:v>
                </c:pt>
                <c:pt idx="632">
                  <c:v>0.18638055307164081</c:v>
                </c:pt>
                <c:pt idx="633">
                  <c:v>0.25847199654066855</c:v>
                </c:pt>
                <c:pt idx="634">
                  <c:v>0.10189817322499164</c:v>
                </c:pt>
                <c:pt idx="635">
                  <c:v>0.16250989834568813</c:v>
                </c:pt>
                <c:pt idx="636">
                  <c:v>0.10829825593052173</c:v>
                </c:pt>
                <c:pt idx="637">
                  <c:v>0.37415739228844458</c:v>
                </c:pt>
                <c:pt idx="638">
                  <c:v>0.32473265595338019</c:v>
                </c:pt>
                <c:pt idx="639">
                  <c:v>0.39091635731574736</c:v>
                </c:pt>
                <c:pt idx="640">
                  <c:v>0.17785407113578289</c:v>
                </c:pt>
                <c:pt idx="641">
                  <c:v>0.17752192505053715</c:v>
                </c:pt>
                <c:pt idx="642">
                  <c:v>0.16088877134336046</c:v>
                </c:pt>
                <c:pt idx="643">
                  <c:v>0.17561369096438711</c:v>
                </c:pt>
                <c:pt idx="644">
                  <c:v>0.11574397904408319</c:v>
                </c:pt>
                <c:pt idx="645">
                  <c:v>0.32219513211805051</c:v>
                </c:pt>
                <c:pt idx="646">
                  <c:v>0.22426418068298215</c:v>
                </c:pt>
                <c:pt idx="647">
                  <c:v>5.7211582105725571E-2</c:v>
                </c:pt>
                <c:pt idx="648">
                  <c:v>0.17262155643070043</c:v>
                </c:pt>
                <c:pt idx="649">
                  <c:v>0.30121621380628372</c:v>
                </c:pt>
                <c:pt idx="650">
                  <c:v>0.29853390938727531</c:v>
                </c:pt>
                <c:pt idx="651">
                  <c:v>0.23083927888296185</c:v>
                </c:pt>
                <c:pt idx="652">
                  <c:v>0.19220335354830551</c:v>
                </c:pt>
                <c:pt idx="653">
                  <c:v>0.34202386773088667</c:v>
                </c:pt>
                <c:pt idx="654">
                  <c:v>0.3259990574545728</c:v>
                </c:pt>
                <c:pt idx="655">
                  <c:v>0.30410308642960238</c:v>
                </c:pt>
                <c:pt idx="656">
                  <c:v>0.28340908038608925</c:v>
                </c:pt>
                <c:pt idx="657">
                  <c:v>0.26660933679209298</c:v>
                </c:pt>
                <c:pt idx="658">
                  <c:v>0.13991463716572336</c:v>
                </c:pt>
                <c:pt idx="659">
                  <c:v>0.22754435767062775</c:v>
                </c:pt>
                <c:pt idx="660">
                  <c:v>0.3403519285210902</c:v>
                </c:pt>
                <c:pt idx="661">
                  <c:v>0.11769546322365398</c:v>
                </c:pt>
                <c:pt idx="662">
                  <c:v>0.38906036885848938</c:v>
                </c:pt>
                <c:pt idx="663">
                  <c:v>0.23904645210489961</c:v>
                </c:pt>
                <c:pt idx="664">
                  <c:v>0.15430502616127223</c:v>
                </c:pt>
                <c:pt idx="665">
                  <c:v>0.19732847787282409</c:v>
                </c:pt>
                <c:pt idx="666">
                  <c:v>0.31093101419978597</c:v>
                </c:pt>
                <c:pt idx="667">
                  <c:v>0.14905077437568767</c:v>
                </c:pt>
                <c:pt idx="668">
                  <c:v>0.21202082311015902</c:v>
                </c:pt>
                <c:pt idx="669">
                  <c:v>0.36388627564577358</c:v>
                </c:pt>
                <c:pt idx="670">
                  <c:v>0.44594182017491035</c:v>
                </c:pt>
                <c:pt idx="671">
                  <c:v>0.27201405085165575</c:v>
                </c:pt>
                <c:pt idx="672">
                  <c:v>0.11673796902095601</c:v>
                </c:pt>
                <c:pt idx="673">
                  <c:v>0.29692786540028249</c:v>
                </c:pt>
                <c:pt idx="674">
                  <c:v>0.26786070799441808</c:v>
                </c:pt>
                <c:pt idx="675">
                  <c:v>0.10802855159286064</c:v>
                </c:pt>
                <c:pt idx="676">
                  <c:v>3.1588213158068042E-2</c:v>
                </c:pt>
                <c:pt idx="677">
                  <c:v>0.14435734677769421</c:v>
                </c:pt>
                <c:pt idx="678">
                  <c:v>0.18955198780331309</c:v>
                </c:pt>
                <c:pt idx="679">
                  <c:v>6.5203179934625211E-2</c:v>
                </c:pt>
                <c:pt idx="680">
                  <c:v>0.24356762737036874</c:v>
                </c:pt>
                <c:pt idx="681">
                  <c:v>0.25865882082306857</c:v>
                </c:pt>
                <c:pt idx="682">
                  <c:v>0.16921333281466078</c:v>
                </c:pt>
                <c:pt idx="683">
                  <c:v>0.1968346439111871</c:v>
                </c:pt>
                <c:pt idx="684">
                  <c:v>0.21727846744180435</c:v>
                </c:pt>
                <c:pt idx="685">
                  <c:v>0.14889738583667961</c:v>
                </c:pt>
                <c:pt idx="686">
                  <c:v>0.10328331508581022</c:v>
                </c:pt>
                <c:pt idx="687">
                  <c:v>7.7140305196677139E-2</c:v>
                </c:pt>
                <c:pt idx="688">
                  <c:v>0.18586175285979553</c:v>
                </c:pt>
                <c:pt idx="689">
                  <c:v>0.2046925188595885</c:v>
                </c:pt>
                <c:pt idx="690">
                  <c:v>0.15463096285838587</c:v>
                </c:pt>
                <c:pt idx="691">
                  <c:v>0.3378934532448894</c:v>
                </c:pt>
                <c:pt idx="692">
                  <c:v>0.20822025952463885</c:v>
                </c:pt>
                <c:pt idx="693">
                  <c:v>8.0321482765087465E-2</c:v>
                </c:pt>
                <c:pt idx="694">
                  <c:v>0.33886990222574798</c:v>
                </c:pt>
                <c:pt idx="695">
                  <c:v>0.32938758913677513</c:v>
                </c:pt>
                <c:pt idx="696">
                  <c:v>0.23332347281651011</c:v>
                </c:pt>
                <c:pt idx="697">
                  <c:v>8.6971614346264145E-2</c:v>
                </c:pt>
                <c:pt idx="698">
                  <c:v>0.25280181380989664</c:v>
                </c:pt>
                <c:pt idx="699">
                  <c:v>0.33674782508119261</c:v>
                </c:pt>
                <c:pt idx="700">
                  <c:v>0.28234479636588716</c:v>
                </c:pt>
                <c:pt idx="701">
                  <c:v>3.559515377892522E-2</c:v>
                </c:pt>
                <c:pt idx="702">
                  <c:v>0.30994407995140627</c:v>
                </c:pt>
                <c:pt idx="703">
                  <c:v>0.13765749283996095</c:v>
                </c:pt>
                <c:pt idx="704">
                  <c:v>0.12398391037426222</c:v>
                </c:pt>
                <c:pt idx="705">
                  <c:v>0.10359915626510136</c:v>
                </c:pt>
                <c:pt idx="706">
                  <c:v>0.14327250866499514</c:v>
                </c:pt>
                <c:pt idx="707">
                  <c:v>0.22313180099051377</c:v>
                </c:pt>
                <c:pt idx="708">
                  <c:v>0.19261614281240541</c:v>
                </c:pt>
                <c:pt idx="709">
                  <c:v>0.10609893177694339</c:v>
                </c:pt>
                <c:pt idx="710">
                  <c:v>0.15358861752634451</c:v>
                </c:pt>
                <c:pt idx="711">
                  <c:v>0.48686523359523648</c:v>
                </c:pt>
                <c:pt idx="712">
                  <c:v>0.16158631839339851</c:v>
                </c:pt>
                <c:pt idx="713">
                  <c:v>0.21699109267544447</c:v>
                </c:pt>
                <c:pt idx="714">
                  <c:v>0.14621285714005613</c:v>
                </c:pt>
                <c:pt idx="715">
                  <c:v>0.20255872948030562</c:v>
                </c:pt>
                <c:pt idx="716">
                  <c:v>0.2327673479124408</c:v>
                </c:pt>
                <c:pt idx="717">
                  <c:v>0.22455849321731525</c:v>
                </c:pt>
                <c:pt idx="718">
                  <c:v>0.17602321416921474</c:v>
                </c:pt>
                <c:pt idx="719">
                  <c:v>0.16365857730057437</c:v>
                </c:pt>
                <c:pt idx="720">
                  <c:v>9.4867291415410726E-2</c:v>
                </c:pt>
                <c:pt idx="721">
                  <c:v>6.7561860856441905E-2</c:v>
                </c:pt>
                <c:pt idx="722">
                  <c:v>0.24549680985316813</c:v>
                </c:pt>
                <c:pt idx="723">
                  <c:v>0.22306483605919059</c:v>
                </c:pt>
                <c:pt idx="724">
                  <c:v>0.11880666904200353</c:v>
                </c:pt>
                <c:pt idx="725">
                  <c:v>0.13101336671742947</c:v>
                </c:pt>
                <c:pt idx="726">
                  <c:v>8.0366693484788532E-2</c:v>
                </c:pt>
                <c:pt idx="727">
                  <c:v>0.17071710570523185</c:v>
                </c:pt>
                <c:pt idx="728">
                  <c:v>0.45870882027187965</c:v>
                </c:pt>
                <c:pt idx="729">
                  <c:v>0.30935574338997462</c:v>
                </c:pt>
                <c:pt idx="730">
                  <c:v>6.5943456889980864E-2</c:v>
                </c:pt>
                <c:pt idx="731">
                  <c:v>0.12437517675341694</c:v>
                </c:pt>
                <c:pt idx="732">
                  <c:v>0.32286729600633635</c:v>
                </c:pt>
                <c:pt idx="733">
                  <c:v>0.18669037139736358</c:v>
                </c:pt>
                <c:pt idx="734">
                  <c:v>5.3227505161488976E-2</c:v>
                </c:pt>
                <c:pt idx="735">
                  <c:v>0.27964464637559205</c:v>
                </c:pt>
                <c:pt idx="736">
                  <c:v>0.35785457978569046</c:v>
                </c:pt>
                <c:pt idx="737">
                  <c:v>0.15804229506491002</c:v>
                </c:pt>
                <c:pt idx="738">
                  <c:v>0.19242919432647199</c:v>
                </c:pt>
                <c:pt idx="739">
                  <c:v>0.1888921891503608</c:v>
                </c:pt>
                <c:pt idx="740">
                  <c:v>0.1807970714613738</c:v>
                </c:pt>
                <c:pt idx="741">
                  <c:v>0.36558782840074644</c:v>
                </c:pt>
                <c:pt idx="742">
                  <c:v>5.7826022870395261E-2</c:v>
                </c:pt>
                <c:pt idx="743">
                  <c:v>0.20089134360825001</c:v>
                </c:pt>
                <c:pt idx="744">
                  <c:v>0.37190600445324185</c:v>
                </c:pt>
                <c:pt idx="745">
                  <c:v>0.11957044986072068</c:v>
                </c:pt>
                <c:pt idx="746">
                  <c:v>0.17322494702217539</c:v>
                </c:pt>
                <c:pt idx="747">
                  <c:v>0.17442346492047367</c:v>
                </c:pt>
                <c:pt idx="748">
                  <c:v>0.26729072634545292</c:v>
                </c:pt>
                <c:pt idx="749">
                  <c:v>0.27018179819836696</c:v>
                </c:pt>
                <c:pt idx="750">
                  <c:v>0.47588501783388693</c:v>
                </c:pt>
                <c:pt idx="751">
                  <c:v>0.29373602375921815</c:v>
                </c:pt>
                <c:pt idx="752">
                  <c:v>0.22402894953695363</c:v>
                </c:pt>
                <c:pt idx="753">
                  <c:v>0.15354081027705949</c:v>
                </c:pt>
                <c:pt idx="754">
                  <c:v>0.27005547997867885</c:v>
                </c:pt>
                <c:pt idx="755">
                  <c:v>0.22297278439807222</c:v>
                </c:pt>
                <c:pt idx="756">
                  <c:v>0.17406784203884082</c:v>
                </c:pt>
                <c:pt idx="757">
                  <c:v>0.15953037400914735</c:v>
                </c:pt>
                <c:pt idx="758">
                  <c:v>0.23611466480508991</c:v>
                </c:pt>
                <c:pt idx="759">
                  <c:v>9.7815048410470812E-2</c:v>
                </c:pt>
                <c:pt idx="760">
                  <c:v>0.28738029937201226</c:v>
                </c:pt>
                <c:pt idx="761">
                  <c:v>0.47516306072474146</c:v>
                </c:pt>
                <c:pt idx="762">
                  <c:v>0.14164492060362871</c:v>
                </c:pt>
                <c:pt idx="763">
                  <c:v>0.22988502305816461</c:v>
                </c:pt>
                <c:pt idx="764">
                  <c:v>0.43852485940194053</c:v>
                </c:pt>
                <c:pt idx="765">
                  <c:v>0.33800149903837873</c:v>
                </c:pt>
                <c:pt idx="766">
                  <c:v>0.2536902191373599</c:v>
                </c:pt>
                <c:pt idx="767">
                  <c:v>0.15606679155505573</c:v>
                </c:pt>
                <c:pt idx="768">
                  <c:v>0.18396601837089671</c:v>
                </c:pt>
                <c:pt idx="769">
                  <c:v>0.15555965348089831</c:v>
                </c:pt>
                <c:pt idx="770">
                  <c:v>0.25869817710367937</c:v>
                </c:pt>
                <c:pt idx="771">
                  <c:v>0.30096767445189088</c:v>
                </c:pt>
                <c:pt idx="772">
                  <c:v>0.41141715970843817</c:v>
                </c:pt>
                <c:pt idx="773">
                  <c:v>0.23157244362507368</c:v>
                </c:pt>
                <c:pt idx="774">
                  <c:v>0.38813209742742194</c:v>
                </c:pt>
                <c:pt idx="775">
                  <c:v>0.33433642204392855</c:v>
                </c:pt>
                <c:pt idx="776">
                  <c:v>0.22329928081648176</c:v>
                </c:pt>
                <c:pt idx="777">
                  <c:v>0.18371855067438228</c:v>
                </c:pt>
                <c:pt idx="778">
                  <c:v>0.18539730176784458</c:v>
                </c:pt>
                <c:pt idx="779">
                  <c:v>0.10637388305473386</c:v>
                </c:pt>
                <c:pt idx="780">
                  <c:v>0.10564249580421094</c:v>
                </c:pt>
                <c:pt idx="781">
                  <c:v>0.13327645387713033</c:v>
                </c:pt>
                <c:pt idx="782">
                  <c:v>0.27131255577850288</c:v>
                </c:pt>
                <c:pt idx="783">
                  <c:v>0.16703148462902712</c:v>
                </c:pt>
                <c:pt idx="784">
                  <c:v>0.14083125377452391</c:v>
                </c:pt>
                <c:pt idx="785">
                  <c:v>0.13023514368325786</c:v>
                </c:pt>
                <c:pt idx="786">
                  <c:v>0.34181806007850635</c:v>
                </c:pt>
                <c:pt idx="787">
                  <c:v>7.9867354111168562E-2</c:v>
                </c:pt>
                <c:pt idx="788">
                  <c:v>0.29575489261224641</c:v>
                </c:pt>
                <c:pt idx="789">
                  <c:v>0.24417829032628036</c:v>
                </c:pt>
                <c:pt idx="790">
                  <c:v>0.49653129606599111</c:v>
                </c:pt>
                <c:pt idx="791">
                  <c:v>0.33104593676155158</c:v>
                </c:pt>
                <c:pt idx="792">
                  <c:v>0.35956144116659861</c:v>
                </c:pt>
                <c:pt idx="793">
                  <c:v>0.4005890897994846</c:v>
                </c:pt>
                <c:pt idx="794">
                  <c:v>0.20359668847790102</c:v>
                </c:pt>
                <c:pt idx="795">
                  <c:v>0.26690838976532039</c:v>
                </c:pt>
                <c:pt idx="796">
                  <c:v>0.1998115056681678</c:v>
                </c:pt>
                <c:pt idx="797">
                  <c:v>0.23897514686583088</c:v>
                </c:pt>
                <c:pt idx="798">
                  <c:v>0.13290550320664599</c:v>
                </c:pt>
                <c:pt idx="799">
                  <c:v>0.27891872694502329</c:v>
                </c:pt>
                <c:pt idx="800">
                  <c:v>0.19889094547496602</c:v>
                </c:pt>
                <c:pt idx="801">
                  <c:v>8.4802193029471173E-2</c:v>
                </c:pt>
                <c:pt idx="802">
                  <c:v>0.14770810186095076</c:v>
                </c:pt>
                <c:pt idx="803">
                  <c:v>0.49815753107924976</c:v>
                </c:pt>
                <c:pt idx="804">
                  <c:v>0.17258287075103115</c:v>
                </c:pt>
                <c:pt idx="805">
                  <c:v>0.25963545035274171</c:v>
                </c:pt>
                <c:pt idx="806">
                  <c:v>0.27029767710319219</c:v>
                </c:pt>
                <c:pt idx="807">
                  <c:v>0.15715042154395165</c:v>
                </c:pt>
                <c:pt idx="808">
                  <c:v>6.8740958898878268E-2</c:v>
                </c:pt>
                <c:pt idx="809">
                  <c:v>0.10381634994537019</c:v>
                </c:pt>
                <c:pt idx="810">
                  <c:v>8.0049449299515657E-2</c:v>
                </c:pt>
                <c:pt idx="811">
                  <c:v>6.1160824170819049E-2</c:v>
                </c:pt>
                <c:pt idx="812">
                  <c:v>0.14624544379166293</c:v>
                </c:pt>
                <c:pt idx="813">
                  <c:v>9.2849913544304344E-2</c:v>
                </c:pt>
                <c:pt idx="814">
                  <c:v>0.28086996586305357</c:v>
                </c:pt>
                <c:pt idx="815">
                  <c:v>0.28163956604609497</c:v>
                </c:pt>
                <c:pt idx="816">
                  <c:v>0.13471891938621758</c:v>
                </c:pt>
                <c:pt idx="817">
                  <c:v>0.29520353226722795</c:v>
                </c:pt>
                <c:pt idx="818">
                  <c:v>0.17666446365468702</c:v>
                </c:pt>
                <c:pt idx="819">
                  <c:v>0.21966116446335815</c:v>
                </c:pt>
                <c:pt idx="820">
                  <c:v>0.13610848236408238</c:v>
                </c:pt>
                <c:pt idx="821">
                  <c:v>0.40280162118966945</c:v>
                </c:pt>
                <c:pt idx="822">
                  <c:v>0.10621535158006042</c:v>
                </c:pt>
                <c:pt idx="823">
                  <c:v>0.11607298303739169</c:v>
                </c:pt>
                <c:pt idx="824">
                  <c:v>5.7596928673406628E-2</c:v>
                </c:pt>
                <c:pt idx="825">
                  <c:v>8.4969615515625818E-2</c:v>
                </c:pt>
                <c:pt idx="826">
                  <c:v>0.33830823501922613</c:v>
                </c:pt>
                <c:pt idx="827">
                  <c:v>0.1991189818180038</c:v>
                </c:pt>
                <c:pt idx="828">
                  <c:v>0.31436300456467847</c:v>
                </c:pt>
                <c:pt idx="829">
                  <c:v>0.19403524315791684</c:v>
                </c:pt>
                <c:pt idx="830">
                  <c:v>0.22070565467324443</c:v>
                </c:pt>
                <c:pt idx="831">
                  <c:v>0.25578935806715475</c:v>
                </c:pt>
                <c:pt idx="832">
                  <c:v>0.20403313045507854</c:v>
                </c:pt>
                <c:pt idx="833">
                  <c:v>0.24803852071405852</c:v>
                </c:pt>
                <c:pt idx="834">
                  <c:v>0.18622566863840792</c:v>
                </c:pt>
                <c:pt idx="835">
                  <c:v>0.24613158222623877</c:v>
                </c:pt>
                <c:pt idx="836">
                  <c:v>5.4462676469348541E-2</c:v>
                </c:pt>
                <c:pt idx="837">
                  <c:v>0.13948006990414732</c:v>
                </c:pt>
                <c:pt idx="838">
                  <c:v>0.19948087845422469</c:v>
                </c:pt>
                <c:pt idx="839">
                  <c:v>0.27634498416060549</c:v>
                </c:pt>
                <c:pt idx="840">
                  <c:v>0.31090270424218747</c:v>
                </c:pt>
                <c:pt idx="841">
                  <c:v>0.12933014939683715</c:v>
                </c:pt>
                <c:pt idx="842">
                  <c:v>0.3407951403544176</c:v>
                </c:pt>
                <c:pt idx="843">
                  <c:v>0.24750907442947112</c:v>
                </c:pt>
                <c:pt idx="844">
                  <c:v>0.25885568890465271</c:v>
                </c:pt>
                <c:pt idx="845">
                  <c:v>0.35800849440489879</c:v>
                </c:pt>
                <c:pt idx="846">
                  <c:v>0.24924193716656828</c:v>
                </c:pt>
                <c:pt idx="847">
                  <c:v>0.20516976469437562</c:v>
                </c:pt>
                <c:pt idx="848">
                  <c:v>0.13928759454010131</c:v>
                </c:pt>
                <c:pt idx="849">
                  <c:v>7.2330074270708103E-2</c:v>
                </c:pt>
                <c:pt idx="850">
                  <c:v>0.17981599809054605</c:v>
                </c:pt>
                <c:pt idx="851">
                  <c:v>0.28981057679101574</c:v>
                </c:pt>
                <c:pt idx="852">
                  <c:v>0.25790289052642457</c:v>
                </c:pt>
                <c:pt idx="853">
                  <c:v>0.22739131240237198</c:v>
                </c:pt>
                <c:pt idx="854">
                  <c:v>0.16103775663121855</c:v>
                </c:pt>
                <c:pt idx="855">
                  <c:v>0.16349460247968328</c:v>
                </c:pt>
                <c:pt idx="856">
                  <c:v>0.18557532562864856</c:v>
                </c:pt>
                <c:pt idx="857">
                  <c:v>0.29377313509897085</c:v>
                </c:pt>
                <c:pt idx="858">
                  <c:v>0.18475502195285276</c:v>
                </c:pt>
                <c:pt idx="859">
                  <c:v>8.7052559368119883E-2</c:v>
                </c:pt>
                <c:pt idx="860">
                  <c:v>0.25709158936447263</c:v>
                </c:pt>
                <c:pt idx="861">
                  <c:v>0.26240720655119698</c:v>
                </c:pt>
                <c:pt idx="862">
                  <c:v>0.4166787993652632</c:v>
                </c:pt>
                <c:pt idx="863">
                  <c:v>0.20438257103947161</c:v>
                </c:pt>
                <c:pt idx="864">
                  <c:v>0.21718812266263743</c:v>
                </c:pt>
                <c:pt idx="865">
                  <c:v>7.8730954302477854E-2</c:v>
                </c:pt>
                <c:pt idx="866">
                  <c:v>0.14236500073329017</c:v>
                </c:pt>
                <c:pt idx="867">
                  <c:v>0.2439319896807961</c:v>
                </c:pt>
                <c:pt idx="868">
                  <c:v>0.20459712847933501</c:v>
                </c:pt>
                <c:pt idx="869">
                  <c:v>0.31855977549014292</c:v>
                </c:pt>
                <c:pt idx="870">
                  <c:v>0.27008705024103397</c:v>
                </c:pt>
                <c:pt idx="871">
                  <c:v>0.33290160596308505</c:v>
                </c:pt>
                <c:pt idx="872">
                  <c:v>0.49057239382637197</c:v>
                </c:pt>
                <c:pt idx="873">
                  <c:v>0.22807218397321172</c:v>
                </c:pt>
                <c:pt idx="874">
                  <c:v>0.16037093710547226</c:v>
                </c:pt>
                <c:pt idx="875">
                  <c:v>0.30698912886733476</c:v>
                </c:pt>
                <c:pt idx="876">
                  <c:v>9.6266102101368933E-2</c:v>
                </c:pt>
                <c:pt idx="877">
                  <c:v>0.27464575446658179</c:v>
                </c:pt>
                <c:pt idx="878">
                  <c:v>0.18734121456146391</c:v>
                </c:pt>
                <c:pt idx="879">
                  <c:v>0.33506988098705992</c:v>
                </c:pt>
                <c:pt idx="880">
                  <c:v>0.2615250463586789</c:v>
                </c:pt>
                <c:pt idx="881">
                  <c:v>8.1853464185370373E-2</c:v>
                </c:pt>
                <c:pt idx="882">
                  <c:v>0.46365683777451128</c:v>
                </c:pt>
                <c:pt idx="883">
                  <c:v>0.28844726447966329</c:v>
                </c:pt>
                <c:pt idx="884">
                  <c:v>0.1492605554764668</c:v>
                </c:pt>
                <c:pt idx="885">
                  <c:v>0.17032196201069366</c:v>
                </c:pt>
                <c:pt idx="886">
                  <c:v>0.15151136283462896</c:v>
                </c:pt>
                <c:pt idx="887">
                  <c:v>0.20094657512897671</c:v>
                </c:pt>
                <c:pt idx="888">
                  <c:v>1.7687146209676048E-2</c:v>
                </c:pt>
                <c:pt idx="889">
                  <c:v>0.20783576410115176</c:v>
                </c:pt>
                <c:pt idx="890">
                  <c:v>6.457568259130203E-2</c:v>
                </c:pt>
                <c:pt idx="891">
                  <c:v>4.7027614580500747E-2</c:v>
                </c:pt>
                <c:pt idx="892">
                  <c:v>0.31288625269842296</c:v>
                </c:pt>
                <c:pt idx="893">
                  <c:v>0.12754112046690383</c:v>
                </c:pt>
                <c:pt idx="894">
                  <c:v>0.10791423087464443</c:v>
                </c:pt>
                <c:pt idx="895">
                  <c:v>0.17372763055511142</c:v>
                </c:pt>
                <c:pt idx="896">
                  <c:v>0.16690710087714314</c:v>
                </c:pt>
                <c:pt idx="897">
                  <c:v>0.17966150981138085</c:v>
                </c:pt>
                <c:pt idx="898">
                  <c:v>0.29519102784996165</c:v>
                </c:pt>
                <c:pt idx="899">
                  <c:v>0.11371134912076229</c:v>
                </c:pt>
                <c:pt idx="900">
                  <c:v>0.20118334608305938</c:v>
                </c:pt>
                <c:pt idx="901">
                  <c:v>0.22896848431619243</c:v>
                </c:pt>
                <c:pt idx="902">
                  <c:v>0.17262155643070043</c:v>
                </c:pt>
                <c:pt idx="903">
                  <c:v>0.12457496449059623</c:v>
                </c:pt>
                <c:pt idx="904">
                  <c:v>0.1635961153778388</c:v>
                </c:pt>
                <c:pt idx="905">
                  <c:v>0.13085624918908362</c:v>
                </c:pt>
                <c:pt idx="906">
                  <c:v>0.28918705473261541</c:v>
                </c:pt>
                <c:pt idx="907">
                  <c:v>0.24913903585356378</c:v>
                </c:pt>
                <c:pt idx="908">
                  <c:v>0.18154651656840362</c:v>
                </c:pt>
                <c:pt idx="909">
                  <c:v>0.12642416381185628</c:v>
                </c:pt>
                <c:pt idx="910">
                  <c:v>0.1962785502886108</c:v>
                </c:pt>
                <c:pt idx="911">
                  <c:v>0.38113356013554467</c:v>
                </c:pt>
                <c:pt idx="912">
                  <c:v>0.24287705781959912</c:v>
                </c:pt>
                <c:pt idx="913">
                  <c:v>0.37947602205944264</c:v>
                </c:pt>
                <c:pt idx="914">
                  <c:v>0.10672175532464113</c:v>
                </c:pt>
                <c:pt idx="915">
                  <c:v>0.33032254120679183</c:v>
                </c:pt>
                <c:pt idx="916">
                  <c:v>0.1576320850889936</c:v>
                </c:pt>
                <c:pt idx="917">
                  <c:v>0.25468869402276029</c:v>
                </c:pt>
                <c:pt idx="918">
                  <c:v>0.11002423854140224</c:v>
                </c:pt>
                <c:pt idx="919">
                  <c:v>0.20326366993778205</c:v>
                </c:pt>
                <c:pt idx="920">
                  <c:v>0.17746785376604579</c:v>
                </c:pt>
                <c:pt idx="921">
                  <c:v>0.27261170454772099</c:v>
                </c:pt>
                <c:pt idx="922">
                  <c:v>0.22593321916729392</c:v>
                </c:pt>
                <c:pt idx="923">
                  <c:v>7.229483318684124E-2</c:v>
                </c:pt>
                <c:pt idx="924">
                  <c:v>0.13451350500104209</c:v>
                </c:pt>
                <c:pt idx="925">
                  <c:v>0.16759100029992988</c:v>
                </c:pt>
                <c:pt idx="926">
                  <c:v>0.11920325581391626</c:v>
                </c:pt>
                <c:pt idx="927">
                  <c:v>0.14735122799783634</c:v>
                </c:pt>
                <c:pt idx="928">
                  <c:v>0.1515434104323336</c:v>
                </c:pt>
                <c:pt idx="929">
                  <c:v>0.28235619897910957</c:v>
                </c:pt>
                <c:pt idx="930">
                  <c:v>0.40076817565432821</c:v>
                </c:pt>
                <c:pt idx="931">
                  <c:v>0.25023629238456735</c:v>
                </c:pt>
                <c:pt idx="932">
                  <c:v>0.32903903354963204</c:v>
                </c:pt>
                <c:pt idx="933">
                  <c:v>0.10394642250307855</c:v>
                </c:pt>
                <c:pt idx="934">
                  <c:v>0.2815714978348296</c:v>
                </c:pt>
                <c:pt idx="935">
                  <c:v>0.4609716016522476</c:v>
                </c:pt>
                <c:pt idx="936">
                  <c:v>0.14302532574931928</c:v>
                </c:pt>
                <c:pt idx="937">
                  <c:v>8.7509352289677697E-2</c:v>
                </c:pt>
                <c:pt idx="938">
                  <c:v>0.208340487012875</c:v>
                </c:pt>
                <c:pt idx="939">
                  <c:v>0.22662738416880224</c:v>
                </c:pt>
                <c:pt idx="940">
                  <c:v>0.23798810075153554</c:v>
                </c:pt>
                <c:pt idx="941">
                  <c:v>0.1924058286944989</c:v>
                </c:pt>
                <c:pt idx="942">
                  <c:v>0.22218733761645282</c:v>
                </c:pt>
                <c:pt idx="943">
                  <c:v>0.21559060882331715</c:v>
                </c:pt>
                <c:pt idx="944">
                  <c:v>0.28927082721918584</c:v>
                </c:pt>
                <c:pt idx="945">
                  <c:v>0.2832024802459352</c:v>
                </c:pt>
                <c:pt idx="946">
                  <c:v>0.26954070537188413</c:v>
                </c:pt>
                <c:pt idx="947">
                  <c:v>0.24723097552963857</c:v>
                </c:pt>
                <c:pt idx="948">
                  <c:v>0.1349412116095077</c:v>
                </c:pt>
                <c:pt idx="949">
                  <c:v>0.18606305726032116</c:v>
                </c:pt>
                <c:pt idx="950">
                  <c:v>0.18559854755569125</c:v>
                </c:pt>
                <c:pt idx="951">
                  <c:v>5.3721834310770669E-2</c:v>
                </c:pt>
                <c:pt idx="952">
                  <c:v>0.30465346492419221</c:v>
                </c:pt>
                <c:pt idx="953">
                  <c:v>0.39248964948525844</c:v>
                </c:pt>
                <c:pt idx="954">
                  <c:v>0.28184396047284965</c:v>
                </c:pt>
                <c:pt idx="955">
                  <c:v>0.13484719523227004</c:v>
                </c:pt>
                <c:pt idx="956">
                  <c:v>0.45652083859235326</c:v>
                </c:pt>
                <c:pt idx="957">
                  <c:v>7.60252609800985E-2</c:v>
                </c:pt>
                <c:pt idx="958">
                  <c:v>0.22558679121602332</c:v>
                </c:pt>
                <c:pt idx="959">
                  <c:v>0.37347862935662168</c:v>
                </c:pt>
                <c:pt idx="960">
                  <c:v>0.18064256149251665</c:v>
                </c:pt>
                <c:pt idx="961">
                  <c:v>0.14718887237367997</c:v>
                </c:pt>
                <c:pt idx="962">
                  <c:v>0.2296277230726973</c:v>
                </c:pt>
                <c:pt idx="963">
                  <c:v>0.34634669128962881</c:v>
                </c:pt>
                <c:pt idx="964">
                  <c:v>0.24794553457146795</c:v>
                </c:pt>
                <c:pt idx="965">
                  <c:v>0.24275915771904599</c:v>
                </c:pt>
                <c:pt idx="966">
                  <c:v>0.23153789390247226</c:v>
                </c:pt>
                <c:pt idx="967">
                  <c:v>0.15885380482435352</c:v>
                </c:pt>
                <c:pt idx="968">
                  <c:v>0.31801746941189946</c:v>
                </c:pt>
                <c:pt idx="969">
                  <c:v>0.13331954058802159</c:v>
                </c:pt>
                <c:pt idx="970">
                  <c:v>0.271641660108071</c:v>
                </c:pt>
                <c:pt idx="971">
                  <c:v>0.14643274557934394</c:v>
                </c:pt>
                <c:pt idx="972">
                  <c:v>0.37969893786158559</c:v>
                </c:pt>
                <c:pt idx="973">
                  <c:v>0.11738029426156887</c:v>
                </c:pt>
                <c:pt idx="974">
                  <c:v>0.37768552593088844</c:v>
                </c:pt>
                <c:pt idx="975">
                  <c:v>0.15658124993039105</c:v>
                </c:pt>
                <c:pt idx="976">
                  <c:v>0.1986629975664834</c:v>
                </c:pt>
                <c:pt idx="977">
                  <c:v>0.26265864343643963</c:v>
                </c:pt>
                <c:pt idx="978">
                  <c:v>0.21335025366258809</c:v>
                </c:pt>
                <c:pt idx="979">
                  <c:v>3.4826696619477418E-2</c:v>
                </c:pt>
                <c:pt idx="980">
                  <c:v>0.24123230006863738</c:v>
                </c:pt>
                <c:pt idx="981">
                  <c:v>7.033256794790621E-2</c:v>
                </c:pt>
                <c:pt idx="982">
                  <c:v>7.1584386982338696E-2</c:v>
                </c:pt>
                <c:pt idx="983">
                  <c:v>0.21736883705632448</c:v>
                </c:pt>
                <c:pt idx="984">
                  <c:v>0.11923153772144097</c:v>
                </c:pt>
                <c:pt idx="985">
                  <c:v>0.26340505976335871</c:v>
                </c:pt>
                <c:pt idx="986">
                  <c:v>0.13157959091308441</c:v>
                </c:pt>
                <c:pt idx="987">
                  <c:v>0.33288443551837688</c:v>
                </c:pt>
                <c:pt idx="988">
                  <c:v>0.17479449673323053</c:v>
                </c:pt>
                <c:pt idx="989">
                  <c:v>0.29200319001717268</c:v>
                </c:pt>
                <c:pt idx="990">
                  <c:v>0.14170293567067835</c:v>
                </c:pt>
                <c:pt idx="991">
                  <c:v>0.32566101498653</c:v>
                </c:pt>
                <c:pt idx="992">
                  <c:v>0.17572187122045499</c:v>
                </c:pt>
                <c:pt idx="993">
                  <c:v>0.1017429417787272</c:v>
                </c:pt>
                <c:pt idx="994">
                  <c:v>0.18922591942725403</c:v>
                </c:pt>
                <c:pt idx="995">
                  <c:v>0.33385023563808824</c:v>
                </c:pt>
                <c:pt idx="996">
                  <c:v>6.3680075622005755E-2</c:v>
                </c:pt>
                <c:pt idx="997">
                  <c:v>0.30595168933742445</c:v>
                </c:pt>
                <c:pt idx="998">
                  <c:v>6.1298958425756382E-2</c:v>
                </c:pt>
                <c:pt idx="999">
                  <c:v>3.4629212304841728E-2</c:v>
                </c:pt>
                <c:pt idx="1000">
                  <c:v>0.30600607604763741</c:v>
                </c:pt>
                <c:pt idx="1001">
                  <c:v>0.25470794779444161</c:v>
                </c:pt>
                <c:pt idx="1002">
                  <c:v>0.20804398862284523</c:v>
                </c:pt>
                <c:pt idx="1003">
                  <c:v>0.26230673434722851</c:v>
                </c:pt>
                <c:pt idx="1004">
                  <c:v>0.26203575082578212</c:v>
                </c:pt>
                <c:pt idx="1005">
                  <c:v>0.22342495416379071</c:v>
                </c:pt>
                <c:pt idx="1006">
                  <c:v>0.12223323251669961</c:v>
                </c:pt>
                <c:pt idx="1007">
                  <c:v>0.24891470911609781</c:v>
                </c:pt>
                <c:pt idx="1008">
                  <c:v>0.28390382289792226</c:v>
                </c:pt>
                <c:pt idx="1009">
                  <c:v>0.38840950994145451</c:v>
                </c:pt>
                <c:pt idx="1010">
                  <c:v>0.14469340757896348</c:v>
                </c:pt>
                <c:pt idx="1011">
                  <c:v>0.10182059139131643</c:v>
                </c:pt>
                <c:pt idx="1012">
                  <c:v>0.14878431537012829</c:v>
                </c:pt>
                <c:pt idx="1013">
                  <c:v>0.21253095082566109</c:v>
                </c:pt>
                <c:pt idx="1014">
                  <c:v>0.1748717886642096</c:v>
                </c:pt>
                <c:pt idx="1015">
                  <c:v>0.1458133691252691</c:v>
                </c:pt>
                <c:pt idx="1016">
                  <c:v>6.4911577513883018E-2</c:v>
                </c:pt>
                <c:pt idx="1017">
                  <c:v>0.22116270088355561</c:v>
                </c:pt>
                <c:pt idx="1018">
                  <c:v>0.20817217825669088</c:v>
                </c:pt>
                <c:pt idx="1019">
                  <c:v>0.22774004261710312</c:v>
                </c:pt>
                <c:pt idx="1020">
                  <c:v>0.31242669815112334</c:v>
                </c:pt>
                <c:pt idx="1021">
                  <c:v>0.20110441078459212</c:v>
                </c:pt>
                <c:pt idx="1022">
                  <c:v>0.21146290904211706</c:v>
                </c:pt>
                <c:pt idx="1023">
                  <c:v>0.16859264699965348</c:v>
                </c:pt>
                <c:pt idx="1024">
                  <c:v>0.22717889375407463</c:v>
                </c:pt>
                <c:pt idx="1025">
                  <c:v>0.20603006468225074</c:v>
                </c:pt>
                <c:pt idx="1026">
                  <c:v>0.10971810228259604</c:v>
                </c:pt>
                <c:pt idx="1027">
                  <c:v>0.35427493711006375</c:v>
                </c:pt>
                <c:pt idx="1028">
                  <c:v>0.1714528500238382</c:v>
                </c:pt>
                <c:pt idx="1029">
                  <c:v>0.35158148812926659</c:v>
                </c:pt>
                <c:pt idx="1030">
                  <c:v>0.23910886273995458</c:v>
                </c:pt>
                <c:pt idx="1031">
                  <c:v>0.26408369158737999</c:v>
                </c:pt>
                <c:pt idx="1032">
                  <c:v>0.22397017199720426</c:v>
                </c:pt>
                <c:pt idx="1033">
                  <c:v>0.21208556246371979</c:v>
                </c:pt>
                <c:pt idx="1034">
                  <c:v>0.33162135712963259</c:v>
                </c:pt>
                <c:pt idx="1035">
                  <c:v>9.7849908238283087E-2</c:v>
                </c:pt>
                <c:pt idx="1036">
                  <c:v>0.18262845822236912</c:v>
                </c:pt>
                <c:pt idx="1037">
                  <c:v>0.17722066649080434</c:v>
                </c:pt>
                <c:pt idx="1038">
                  <c:v>0.16478193904464858</c:v>
                </c:pt>
                <c:pt idx="1039">
                  <c:v>0.28791276625670814</c:v>
                </c:pt>
                <c:pt idx="1040">
                  <c:v>0.1562330669064883</c:v>
                </c:pt>
                <c:pt idx="1041">
                  <c:v>0.26475485602022042</c:v>
                </c:pt>
                <c:pt idx="1042">
                  <c:v>0.21115600273344515</c:v>
                </c:pt>
                <c:pt idx="1043">
                  <c:v>0.18354070046350052</c:v>
                </c:pt>
                <c:pt idx="1044">
                  <c:v>8.9682462734966606E-2</c:v>
                </c:pt>
                <c:pt idx="1045">
                  <c:v>0.16724911468511319</c:v>
                </c:pt>
                <c:pt idx="1046">
                  <c:v>0.11060348996200686</c:v>
                </c:pt>
                <c:pt idx="1047">
                  <c:v>0.12946224116204647</c:v>
                </c:pt>
                <c:pt idx="1048">
                  <c:v>0.24276822465168657</c:v>
                </c:pt>
                <c:pt idx="1049">
                  <c:v>0.10083941716692518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C-4E5F-ACDB-DCB4B899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961328"/>
        <c:axId val="1795293504"/>
      </c:scatterChart>
      <c:valAx>
        <c:axId val="19039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293504"/>
        <c:crosses val="autoZero"/>
        <c:crossBetween val="midCat"/>
      </c:valAx>
      <c:valAx>
        <c:axId val="17952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396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97480314960631"/>
          <c:y val="0.25893882495457299"/>
          <c:w val="0.79157143632907956"/>
          <c:h val="0.37929933373712899"/>
        </c:manualLayout>
      </c:layout>
      <c:barChart>
        <c:barDir val="col"/>
        <c:grouping val="clustered"/>
        <c:varyColors val="0"/>
        <c:ser>
          <c:idx val="0"/>
          <c:order val="0"/>
          <c:tx>
            <c:v> Отн. част</c:v>
          </c:tx>
          <c:invertIfNegative val="0"/>
          <c:cat>
            <c:numRef>
              <c:f>'1.2.4 Бета-распределение'!$AO$15:$AO$30</c:f>
              <c:numCache>
                <c:formatCode>General</c:formatCode>
                <c:ptCount val="16"/>
                <c:pt idx="0">
                  <c:v>1.7687146209676048E-2</c:v>
                </c:pt>
                <c:pt idx="1">
                  <c:v>5.285348060800759E-2</c:v>
                </c:pt>
                <c:pt idx="2">
                  <c:v>8.8019815006339125E-2</c:v>
                </c:pt>
                <c:pt idx="3">
                  <c:v>0.12318614940467067</c:v>
                </c:pt>
                <c:pt idx="4">
                  <c:v>0.15835248380300221</c:v>
                </c:pt>
                <c:pt idx="5">
                  <c:v>0.19351881820133376</c:v>
                </c:pt>
                <c:pt idx="6">
                  <c:v>0.22868515259966532</c:v>
                </c:pt>
                <c:pt idx="7">
                  <c:v>0.26385148699799688</c:v>
                </c:pt>
                <c:pt idx="8">
                  <c:v>0.29901782139632843</c:v>
                </c:pt>
                <c:pt idx="9">
                  <c:v>0.33418415579465999</c:v>
                </c:pt>
                <c:pt idx="10">
                  <c:v>0.36935049019299154</c:v>
                </c:pt>
                <c:pt idx="11">
                  <c:v>0.4045168245913231</c:v>
                </c:pt>
                <c:pt idx="12">
                  <c:v>0.43968315898965465</c:v>
                </c:pt>
                <c:pt idx="13">
                  <c:v>0.47484949338798621</c:v>
                </c:pt>
                <c:pt idx="14">
                  <c:v>0.51001582778631771</c:v>
                </c:pt>
                <c:pt idx="15">
                  <c:v>0.54518216218464921</c:v>
                </c:pt>
              </c:numCache>
            </c:numRef>
          </c:cat>
          <c:val>
            <c:numRef>
              <c:f>'1.2.4 Бета-распределение'!$AR$15:$AR$30</c:f>
              <c:numCache>
                <c:formatCode>General</c:formatCode>
                <c:ptCount val="16"/>
                <c:pt idx="0">
                  <c:v>7.0721357850070724E-4</c:v>
                </c:pt>
                <c:pt idx="1">
                  <c:v>9.9009900990099011E-3</c:v>
                </c:pt>
                <c:pt idx="2">
                  <c:v>5.0919377652050922E-2</c:v>
                </c:pt>
                <c:pt idx="3">
                  <c:v>7.355021216407355E-2</c:v>
                </c:pt>
                <c:pt idx="4">
                  <c:v>9.5473833097595467E-2</c:v>
                </c:pt>
                <c:pt idx="5">
                  <c:v>0.10891089108910891</c:v>
                </c:pt>
                <c:pt idx="6">
                  <c:v>9.7595473833097593E-2</c:v>
                </c:pt>
                <c:pt idx="7">
                  <c:v>8.4158415841584164E-2</c:v>
                </c:pt>
                <c:pt idx="8">
                  <c:v>7.355021216407355E-2</c:v>
                </c:pt>
                <c:pt idx="9">
                  <c:v>5.2333804809052337E-2</c:v>
                </c:pt>
                <c:pt idx="10">
                  <c:v>3.7482319660537479E-2</c:v>
                </c:pt>
                <c:pt idx="11">
                  <c:v>3.0410183875530409E-2</c:v>
                </c:pt>
                <c:pt idx="12">
                  <c:v>1.2022630834512023E-2</c:v>
                </c:pt>
                <c:pt idx="13">
                  <c:v>7.7793493635077791E-3</c:v>
                </c:pt>
                <c:pt idx="14">
                  <c:v>5.6577086280056579E-3</c:v>
                </c:pt>
                <c:pt idx="15">
                  <c:v>2.1216407355021216E-3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A-45EC-BF00-A39658D89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437072"/>
        <c:axId val="1906770272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'1.2.4 Бета-распределение'!$AV$15:$AV$30</c:f>
              <c:numCache>
                <c:formatCode>General</c:formatCode>
                <c:ptCount val="16"/>
                <c:pt idx="0">
                  <c:v>3.9437431283252363E-3</c:v>
                </c:pt>
                <c:pt idx="1">
                  <c:v>3.6243036031642528E-2</c:v>
                </c:pt>
                <c:pt idx="2">
                  <c:v>8.0993519491271718E-2</c:v>
                </c:pt>
                <c:pt idx="3">
                  <c:v>0.117453505814737</c:v>
                </c:pt>
                <c:pt idx="4">
                  <c:v>0.13654013523534603</c:v>
                </c:pt>
                <c:pt idx="5">
                  <c:v>0.13796052163820222</c:v>
                </c:pt>
                <c:pt idx="6">
                  <c:v>0.12596936046968954</c:v>
                </c:pt>
                <c:pt idx="7">
                  <c:v>0.10616164050042035</c:v>
                </c:pt>
                <c:pt idx="8">
                  <c:v>8.35856962837076E-2</c:v>
                </c:pt>
                <c:pt idx="9">
                  <c:v>6.1913572680149444E-2</c:v>
                </c:pt>
                <c:pt idx="10">
                  <c:v>4.3303596517477803E-2</c:v>
                </c:pt>
                <c:pt idx="11">
                  <c:v>2.8636638641579955E-2</c:v>
                </c:pt>
                <c:pt idx="12">
                  <c:v>1.7895652642828594E-2</c:v>
                </c:pt>
                <c:pt idx="13">
                  <c:v>1.0545081175717968E-2</c:v>
                </c:pt>
                <c:pt idx="14">
                  <c:v>5.8366993679019518E-3</c:v>
                </c:pt>
                <c:pt idx="15">
                  <c:v>3.0176003810019666E-3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A-45EC-BF00-A39658D89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437072"/>
        <c:axId val="1906770272"/>
      </c:lineChart>
      <c:catAx>
        <c:axId val="152243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6770272"/>
        <c:crosses val="autoZero"/>
        <c:auto val="1"/>
        <c:lblAlgn val="ctr"/>
        <c:lblOffset val="100"/>
        <c:noMultiLvlLbl val="0"/>
      </c:catAx>
      <c:valAx>
        <c:axId val="1906770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243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244279120282374"/>
          <c:y val="0.8535142337976982"/>
          <c:w val="0.32790203638338311"/>
          <c:h val="0.13883234845164508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Бета-распределение'!$AI$12:$AI$1061</c:f>
              <c:numCache>
                <c:formatCode>General</c:formatCode>
                <c:ptCount val="105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</c:numCache>
            </c:numRef>
          </c:xVal>
          <c:yVal>
            <c:numRef>
              <c:f>'1.2.4 Бета-распределение'!$AU$15:$AU$30</c:f>
              <c:numCache>
                <c:formatCode>General</c:formatCode>
                <c:ptCount val="16"/>
                <c:pt idx="0">
                  <c:v>7.0721357850070724E-4</c:v>
                </c:pt>
                <c:pt idx="1">
                  <c:v>1.0608203677510608E-2</c:v>
                </c:pt>
                <c:pt idx="2">
                  <c:v>6.1527581329561529E-2</c:v>
                </c:pt>
                <c:pt idx="3">
                  <c:v>0.13507779349363508</c:v>
                </c:pt>
                <c:pt idx="4">
                  <c:v>0.23055162659123055</c:v>
                </c:pt>
                <c:pt idx="5">
                  <c:v>0.33946251768033947</c:v>
                </c:pt>
                <c:pt idx="6">
                  <c:v>0.43705799151343705</c:v>
                </c:pt>
                <c:pt idx="7">
                  <c:v>0.52121640735502117</c:v>
                </c:pt>
                <c:pt idx="8">
                  <c:v>0.59476661951909471</c:v>
                </c:pt>
                <c:pt idx="9">
                  <c:v>0.64710042432814707</c:v>
                </c:pt>
                <c:pt idx="10">
                  <c:v>0.68458274398868457</c:v>
                </c:pt>
                <c:pt idx="11">
                  <c:v>0.71499292786421498</c:v>
                </c:pt>
                <c:pt idx="12">
                  <c:v>0.72701555869872703</c:v>
                </c:pt>
                <c:pt idx="13">
                  <c:v>0.7347949080622348</c:v>
                </c:pt>
                <c:pt idx="14">
                  <c:v>0.74045261669024043</c:v>
                </c:pt>
                <c:pt idx="15">
                  <c:v>0.74257425742574257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77-44FE-BB03-4707FCC08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35072"/>
        <c:axId val="1795310144"/>
      </c:scatterChart>
      <c:valAx>
        <c:axId val="2953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310144"/>
        <c:crosses val="autoZero"/>
        <c:crossBetween val="midCat"/>
      </c:valAx>
      <c:valAx>
        <c:axId val="179531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53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Бета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Бета-распределение'!$AY$12:$AY$1061</c:f>
              <c:numCache>
                <c:formatCode>General</c:formatCode>
                <c:ptCount val="105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</c:numCache>
            </c:numRef>
          </c:xVal>
          <c:yVal>
            <c:numRef>
              <c:f>'1.2.4 Бета-распределение'!$BA$12:$BA$1061</c:f>
              <c:numCache>
                <c:formatCode>General</c:formatCode>
                <c:ptCount val="1050"/>
                <c:pt idx="0">
                  <c:v>0.64827417828913236</c:v>
                </c:pt>
                <c:pt idx="1">
                  <c:v>0.66585283974730669</c:v>
                </c:pt>
                <c:pt idx="2">
                  <c:v>0.88485366374706265</c:v>
                </c:pt>
                <c:pt idx="3">
                  <c:v>0.35563219092379528</c:v>
                </c:pt>
                <c:pt idx="4">
                  <c:v>0.23114719077120274</c:v>
                </c:pt>
                <c:pt idx="5">
                  <c:v>0.22675252540665913</c:v>
                </c:pt>
                <c:pt idx="6">
                  <c:v>0.41599780266731773</c:v>
                </c:pt>
                <c:pt idx="7">
                  <c:v>0.69277016510513623</c:v>
                </c:pt>
                <c:pt idx="8">
                  <c:v>0.71138645588549454</c:v>
                </c:pt>
                <c:pt idx="9">
                  <c:v>0.46177556688131349</c:v>
                </c:pt>
                <c:pt idx="10">
                  <c:v>0.23273415326395461</c:v>
                </c:pt>
                <c:pt idx="11">
                  <c:v>3.0610065004425192E-2</c:v>
                </c:pt>
                <c:pt idx="12">
                  <c:v>0.27283547471541492</c:v>
                </c:pt>
                <c:pt idx="13">
                  <c:v>0.23374126407666249</c:v>
                </c:pt>
                <c:pt idx="14">
                  <c:v>2.8687398907437356E-3</c:v>
                </c:pt>
                <c:pt idx="15">
                  <c:v>9.6865749076815069E-2</c:v>
                </c:pt>
                <c:pt idx="16">
                  <c:v>3.9887691885128335E-2</c:v>
                </c:pt>
                <c:pt idx="17">
                  <c:v>0.74816125980407122</c:v>
                </c:pt>
                <c:pt idx="18">
                  <c:v>0.87405011139255961</c:v>
                </c:pt>
                <c:pt idx="19">
                  <c:v>0.65608691671498764</c:v>
                </c:pt>
                <c:pt idx="20">
                  <c:v>0.5960875270851772</c:v>
                </c:pt>
                <c:pt idx="21">
                  <c:v>0.12216559343241676</c:v>
                </c:pt>
                <c:pt idx="22">
                  <c:v>0.39176610614337598</c:v>
                </c:pt>
                <c:pt idx="23">
                  <c:v>0.88073366496780292</c:v>
                </c:pt>
                <c:pt idx="24">
                  <c:v>0.49687185277871027</c:v>
                </c:pt>
                <c:pt idx="25">
                  <c:v>0.9711600085451827</c:v>
                </c:pt>
                <c:pt idx="26">
                  <c:v>0.36490981780449844</c:v>
                </c:pt>
                <c:pt idx="27">
                  <c:v>0.87994018372142702</c:v>
                </c:pt>
                <c:pt idx="28">
                  <c:v>0.3078707235938597</c:v>
                </c:pt>
                <c:pt idx="29">
                  <c:v>0.41886654255806144</c:v>
                </c:pt>
                <c:pt idx="30">
                  <c:v>0.45942564165166172</c:v>
                </c:pt>
                <c:pt idx="31">
                  <c:v>4.2909024323252054E-2</c:v>
                </c:pt>
                <c:pt idx="32">
                  <c:v>0.1998046815393536</c:v>
                </c:pt>
                <c:pt idx="33">
                  <c:v>0.43824579607531966</c:v>
                </c:pt>
                <c:pt idx="34">
                  <c:v>0.80214850306711016</c:v>
                </c:pt>
                <c:pt idx="35">
                  <c:v>0.35312967314676352</c:v>
                </c:pt>
                <c:pt idx="36">
                  <c:v>0.63106173894466999</c:v>
                </c:pt>
                <c:pt idx="37">
                  <c:v>0.92797631763664667</c:v>
                </c:pt>
                <c:pt idx="38">
                  <c:v>0.37525559251686147</c:v>
                </c:pt>
                <c:pt idx="39">
                  <c:v>0.32923368022705773</c:v>
                </c:pt>
                <c:pt idx="40">
                  <c:v>0.14966277047029022</c:v>
                </c:pt>
                <c:pt idx="41">
                  <c:v>0.43183690908536027</c:v>
                </c:pt>
                <c:pt idx="42">
                  <c:v>0.4833826715903195</c:v>
                </c:pt>
                <c:pt idx="43">
                  <c:v>0.74932096316415908</c:v>
                </c:pt>
                <c:pt idx="44">
                  <c:v>0.84563737907040615</c:v>
                </c:pt>
                <c:pt idx="45">
                  <c:v>0.90701010162663653</c:v>
                </c:pt>
                <c:pt idx="46">
                  <c:v>7.3854792931913202E-2</c:v>
                </c:pt>
                <c:pt idx="47">
                  <c:v>0.8146916104617451</c:v>
                </c:pt>
                <c:pt idx="48">
                  <c:v>0.4847254860072634</c:v>
                </c:pt>
                <c:pt idx="49">
                  <c:v>0.44718771935178686</c:v>
                </c:pt>
                <c:pt idx="50">
                  <c:v>0.19214453566087833</c:v>
                </c:pt>
                <c:pt idx="51">
                  <c:v>0.90914639728995639</c:v>
                </c:pt>
                <c:pt idx="52">
                  <c:v>0.85534226508377331</c:v>
                </c:pt>
                <c:pt idx="53">
                  <c:v>0.36741233558153019</c:v>
                </c:pt>
                <c:pt idx="54">
                  <c:v>0.35282448805200356</c:v>
                </c:pt>
                <c:pt idx="55">
                  <c:v>0.61046174504837181</c:v>
                </c:pt>
                <c:pt idx="56">
                  <c:v>0.35947752311777093</c:v>
                </c:pt>
                <c:pt idx="57">
                  <c:v>0.55595568712424082</c:v>
                </c:pt>
                <c:pt idx="58">
                  <c:v>0.10818811609241004</c:v>
                </c:pt>
                <c:pt idx="59">
                  <c:v>0.10989715262306587</c:v>
                </c:pt>
                <c:pt idx="60">
                  <c:v>0.37897885067293313</c:v>
                </c:pt>
                <c:pt idx="61">
                  <c:v>0.50053407391582994</c:v>
                </c:pt>
                <c:pt idx="62">
                  <c:v>0.5952330088198492</c:v>
                </c:pt>
                <c:pt idx="63">
                  <c:v>0.69618823816644793</c:v>
                </c:pt>
                <c:pt idx="64">
                  <c:v>0.44859157078768275</c:v>
                </c:pt>
                <c:pt idx="65">
                  <c:v>0.89431440168462173</c:v>
                </c:pt>
                <c:pt idx="66">
                  <c:v>0.34244819483016448</c:v>
                </c:pt>
                <c:pt idx="67">
                  <c:v>0.46018860438856168</c:v>
                </c:pt>
                <c:pt idx="68">
                  <c:v>0.76680806909390542</c:v>
                </c:pt>
                <c:pt idx="69">
                  <c:v>0.22824793237098301</c:v>
                </c:pt>
                <c:pt idx="70">
                  <c:v>0.11746574297311321</c:v>
                </c:pt>
                <c:pt idx="71">
                  <c:v>0.8766747032074953</c:v>
                </c:pt>
                <c:pt idx="72">
                  <c:v>7.5777459028901026E-2</c:v>
                </c:pt>
                <c:pt idx="73">
                  <c:v>0.27625354777672656</c:v>
                </c:pt>
                <c:pt idx="74">
                  <c:v>9.7293008209479032E-2</c:v>
                </c:pt>
                <c:pt idx="75">
                  <c:v>0.41914120914334546</c:v>
                </c:pt>
                <c:pt idx="76">
                  <c:v>0.44193853572191533</c:v>
                </c:pt>
                <c:pt idx="77">
                  <c:v>0.87884151738029115</c:v>
                </c:pt>
                <c:pt idx="78">
                  <c:v>0.14172795800653096</c:v>
                </c:pt>
                <c:pt idx="79">
                  <c:v>0.86416211432233647</c:v>
                </c:pt>
                <c:pt idx="80">
                  <c:v>0.967741935483871</c:v>
                </c:pt>
                <c:pt idx="81">
                  <c:v>0.9320352793969543</c:v>
                </c:pt>
                <c:pt idx="82">
                  <c:v>0.45176549577318642</c:v>
                </c:pt>
                <c:pt idx="83">
                  <c:v>0.44126712851344341</c:v>
                </c:pt>
                <c:pt idx="84">
                  <c:v>0.966795861690115</c:v>
                </c:pt>
                <c:pt idx="85">
                  <c:v>0.98770104068117315</c:v>
                </c:pt>
                <c:pt idx="86">
                  <c:v>0.39381084627826779</c:v>
                </c:pt>
                <c:pt idx="87">
                  <c:v>0.48518326364940334</c:v>
                </c:pt>
                <c:pt idx="88">
                  <c:v>0.63289284951322977</c:v>
                </c:pt>
                <c:pt idx="89">
                  <c:v>0.37119663075655385</c:v>
                </c:pt>
                <c:pt idx="90">
                  <c:v>0.77153843806268507</c:v>
                </c:pt>
                <c:pt idx="91">
                  <c:v>0.7457808160649434</c:v>
                </c:pt>
                <c:pt idx="92">
                  <c:v>0.73445844904934843</c:v>
                </c:pt>
                <c:pt idx="93">
                  <c:v>0.22318185979796745</c:v>
                </c:pt>
                <c:pt idx="94">
                  <c:v>0.32569353312784205</c:v>
                </c:pt>
                <c:pt idx="95">
                  <c:v>1.2756736960966825E-2</c:v>
                </c:pt>
                <c:pt idx="96">
                  <c:v>0.36558122501297036</c:v>
                </c:pt>
                <c:pt idx="97">
                  <c:v>0.37110507522812586</c:v>
                </c:pt>
                <c:pt idx="98">
                  <c:v>0.74425489059114358</c:v>
                </c:pt>
                <c:pt idx="99">
                  <c:v>0.21115756706442457</c:v>
                </c:pt>
                <c:pt idx="100">
                  <c:v>0.28513443403424177</c:v>
                </c:pt>
                <c:pt idx="101">
                  <c:v>0.43739127780999176</c:v>
                </c:pt>
                <c:pt idx="102">
                  <c:v>0.96319467757194743</c:v>
                </c:pt>
                <c:pt idx="103">
                  <c:v>0.62340159306619469</c:v>
                </c:pt>
                <c:pt idx="104">
                  <c:v>0.87481307412945952</c:v>
                </c:pt>
                <c:pt idx="105">
                  <c:v>8.9968565935239705E-2</c:v>
                </c:pt>
                <c:pt idx="106">
                  <c:v>3.9582506790368358E-2</c:v>
                </c:pt>
                <c:pt idx="107">
                  <c:v>0.39484847560045166</c:v>
                </c:pt>
                <c:pt idx="108">
                  <c:v>0.24753563035981321</c:v>
                </c:pt>
                <c:pt idx="109">
                  <c:v>0.8418530838953826</c:v>
                </c:pt>
                <c:pt idx="110">
                  <c:v>0.37858211004974518</c:v>
                </c:pt>
                <c:pt idx="111">
                  <c:v>0.97894222846156198</c:v>
                </c:pt>
                <c:pt idx="112">
                  <c:v>0.53801080355235453</c:v>
                </c:pt>
                <c:pt idx="113">
                  <c:v>0.30539872432630388</c:v>
                </c:pt>
                <c:pt idx="114">
                  <c:v>0.59447004608294929</c:v>
                </c:pt>
                <c:pt idx="115">
                  <c:v>0.67754142887661362</c:v>
                </c:pt>
                <c:pt idx="116">
                  <c:v>0.90530106509598074</c:v>
                </c:pt>
                <c:pt idx="117">
                  <c:v>0.30845057527390363</c:v>
                </c:pt>
                <c:pt idx="118">
                  <c:v>0.78844569231238748</c:v>
                </c:pt>
                <c:pt idx="119">
                  <c:v>0.93380535294656208</c:v>
                </c:pt>
                <c:pt idx="120">
                  <c:v>0.28025147251808219</c:v>
                </c:pt>
                <c:pt idx="121">
                  <c:v>0.77748954741050447</c:v>
                </c:pt>
                <c:pt idx="122">
                  <c:v>0.52314828943754388</c:v>
                </c:pt>
                <c:pt idx="123">
                  <c:v>0.53282265694143494</c:v>
                </c:pt>
                <c:pt idx="124">
                  <c:v>0.3882259590441603</c:v>
                </c:pt>
                <c:pt idx="125">
                  <c:v>0.79506820886867891</c:v>
                </c:pt>
                <c:pt idx="126">
                  <c:v>0.27603991821039459</c:v>
                </c:pt>
                <c:pt idx="127">
                  <c:v>0.36695455793939025</c:v>
                </c:pt>
                <c:pt idx="128">
                  <c:v>7.7974791711172831E-2</c:v>
                </c:pt>
                <c:pt idx="129">
                  <c:v>0.73708304086428422</c:v>
                </c:pt>
                <c:pt idx="130">
                  <c:v>0.65236365855891598</c:v>
                </c:pt>
                <c:pt idx="131">
                  <c:v>0.9218115787224952</c:v>
                </c:pt>
                <c:pt idx="132">
                  <c:v>0.48905911435285498</c:v>
                </c:pt>
                <c:pt idx="133">
                  <c:v>0.89645069734794147</c:v>
                </c:pt>
                <c:pt idx="134">
                  <c:v>0.13916440321054721</c:v>
                </c:pt>
                <c:pt idx="135">
                  <c:v>0.13895077364421521</c:v>
                </c:pt>
                <c:pt idx="136">
                  <c:v>8.78933072908719E-2</c:v>
                </c:pt>
                <c:pt idx="137">
                  <c:v>0.49925229651783809</c:v>
                </c:pt>
                <c:pt idx="138">
                  <c:v>0.68163090914639723</c:v>
                </c:pt>
                <c:pt idx="139">
                  <c:v>0.81243324076052126</c:v>
                </c:pt>
                <c:pt idx="140">
                  <c:v>0.10452589495529037</c:v>
                </c:pt>
                <c:pt idx="141">
                  <c:v>0.51994384594256415</c:v>
                </c:pt>
                <c:pt idx="142">
                  <c:v>0.86281929990539263</c:v>
                </c:pt>
                <c:pt idx="143">
                  <c:v>0.173894466994232</c:v>
                </c:pt>
                <c:pt idx="144">
                  <c:v>0.4008911404766991</c:v>
                </c:pt>
                <c:pt idx="145">
                  <c:v>0.20139164403210547</c:v>
                </c:pt>
                <c:pt idx="146">
                  <c:v>0.96826075014496293</c:v>
                </c:pt>
                <c:pt idx="147">
                  <c:v>0.82424390392773217</c:v>
                </c:pt>
                <c:pt idx="148">
                  <c:v>0.30191961424604025</c:v>
                </c:pt>
                <c:pt idx="149">
                  <c:v>0.68639179662465288</c:v>
                </c:pt>
                <c:pt idx="150">
                  <c:v>0.71660512100589002</c:v>
                </c:pt>
                <c:pt idx="151">
                  <c:v>0.66655476546525472</c:v>
                </c:pt>
                <c:pt idx="152">
                  <c:v>0.42100283822138129</c:v>
                </c:pt>
                <c:pt idx="153">
                  <c:v>0.66661580248420671</c:v>
                </c:pt>
                <c:pt idx="154">
                  <c:v>0.93749809259315775</c:v>
                </c:pt>
                <c:pt idx="155">
                  <c:v>0.99774163029877616</c:v>
                </c:pt>
                <c:pt idx="156">
                  <c:v>1.046784875026704E-2</c:v>
                </c:pt>
                <c:pt idx="157">
                  <c:v>0.45567186498611406</c:v>
                </c:pt>
                <c:pt idx="158">
                  <c:v>0.97778252510147401</c:v>
                </c:pt>
                <c:pt idx="159">
                  <c:v>0.41428876613666188</c:v>
                </c:pt>
                <c:pt idx="160">
                  <c:v>0.86925870540482808</c:v>
                </c:pt>
                <c:pt idx="161">
                  <c:v>0.39188818018127997</c:v>
                </c:pt>
                <c:pt idx="162">
                  <c:v>0.11780144657734913</c:v>
                </c:pt>
                <c:pt idx="163">
                  <c:v>0.68895535142063657</c:v>
                </c:pt>
                <c:pt idx="164">
                  <c:v>0.33777886288033693</c:v>
                </c:pt>
                <c:pt idx="165">
                  <c:v>0.97775200659199801</c:v>
                </c:pt>
                <c:pt idx="166">
                  <c:v>0.77855769524216434</c:v>
                </c:pt>
                <c:pt idx="167">
                  <c:v>0.27423932615131075</c:v>
                </c:pt>
                <c:pt idx="168">
                  <c:v>0.41264076662495802</c:v>
                </c:pt>
                <c:pt idx="169">
                  <c:v>0.6615192114017151</c:v>
                </c:pt>
                <c:pt idx="170">
                  <c:v>0.80095828119754631</c:v>
                </c:pt>
                <c:pt idx="171">
                  <c:v>0.58909878841517382</c:v>
                </c:pt>
                <c:pt idx="172">
                  <c:v>0.51115451521347699</c:v>
                </c:pt>
                <c:pt idx="173">
                  <c:v>0.66826380199591051</c:v>
                </c:pt>
                <c:pt idx="174">
                  <c:v>0.57896664326914271</c:v>
                </c:pt>
                <c:pt idx="175">
                  <c:v>0.74523148289437546</c:v>
                </c:pt>
                <c:pt idx="176">
                  <c:v>0.91796624652851955</c:v>
                </c:pt>
                <c:pt idx="177">
                  <c:v>0.78527176732688375</c:v>
                </c:pt>
                <c:pt idx="178">
                  <c:v>0.32715842158268993</c:v>
                </c:pt>
                <c:pt idx="179">
                  <c:v>0.86892300180059201</c:v>
                </c:pt>
                <c:pt idx="180">
                  <c:v>0.44407483138523512</c:v>
                </c:pt>
                <c:pt idx="181">
                  <c:v>0.50941496017334509</c:v>
                </c:pt>
                <c:pt idx="182">
                  <c:v>0.26447340311899165</c:v>
                </c:pt>
                <c:pt idx="183">
                  <c:v>0.67485580004272594</c:v>
                </c:pt>
                <c:pt idx="184">
                  <c:v>0.33066805017242956</c:v>
                </c:pt>
                <c:pt idx="185">
                  <c:v>0.4617145298623615</c:v>
                </c:pt>
                <c:pt idx="186">
                  <c:v>0.99526963103122046</c:v>
                </c:pt>
                <c:pt idx="187">
                  <c:v>0.44828638569292278</c:v>
                </c:pt>
                <c:pt idx="188">
                  <c:v>0.9276406140324106</c:v>
                </c:pt>
                <c:pt idx="189">
                  <c:v>0.47575304422132025</c:v>
                </c:pt>
                <c:pt idx="190">
                  <c:v>0.86861781670583205</c:v>
                </c:pt>
                <c:pt idx="191">
                  <c:v>9.1463972899563595E-2</c:v>
                </c:pt>
                <c:pt idx="192">
                  <c:v>0.17905209509567552</c:v>
                </c:pt>
                <c:pt idx="193">
                  <c:v>0.26645710623493146</c:v>
                </c:pt>
                <c:pt idx="194">
                  <c:v>0.597827082125309</c:v>
                </c:pt>
                <c:pt idx="195">
                  <c:v>0.39085055085909604</c:v>
                </c:pt>
                <c:pt idx="196">
                  <c:v>0.44679097872859891</c:v>
                </c:pt>
                <c:pt idx="197">
                  <c:v>8.4810937833796188E-2</c:v>
                </c:pt>
                <c:pt idx="198">
                  <c:v>0.92059083834345534</c:v>
                </c:pt>
                <c:pt idx="199">
                  <c:v>0.16125980407116916</c:v>
                </c:pt>
                <c:pt idx="200">
                  <c:v>0.70278023621326335</c:v>
                </c:pt>
                <c:pt idx="201">
                  <c:v>0.26551103244117558</c:v>
                </c:pt>
                <c:pt idx="202">
                  <c:v>0.58143864253669852</c:v>
                </c:pt>
                <c:pt idx="203">
                  <c:v>0.42335276345103307</c:v>
                </c:pt>
                <c:pt idx="204">
                  <c:v>0.62196722312082275</c:v>
                </c:pt>
                <c:pt idx="205">
                  <c:v>7.3122348704489262E-2</c:v>
                </c:pt>
                <c:pt idx="206">
                  <c:v>0.41798150578325755</c:v>
                </c:pt>
                <c:pt idx="207">
                  <c:v>0.27030243842890711</c:v>
                </c:pt>
                <c:pt idx="208">
                  <c:v>0.60698263496810811</c:v>
                </c:pt>
                <c:pt idx="209">
                  <c:v>0.75356303598132268</c:v>
                </c:pt>
                <c:pt idx="210">
                  <c:v>0.83169042023987549</c:v>
                </c:pt>
                <c:pt idx="211">
                  <c:v>0.58037049470503865</c:v>
                </c:pt>
                <c:pt idx="212">
                  <c:v>0.27533799249244667</c:v>
                </c:pt>
                <c:pt idx="213">
                  <c:v>0.19678334910122988</c:v>
                </c:pt>
                <c:pt idx="214">
                  <c:v>0.42454298532059692</c:v>
                </c:pt>
                <c:pt idx="215">
                  <c:v>0.23145237586596271</c:v>
                </c:pt>
                <c:pt idx="216">
                  <c:v>0.44123661000396741</c:v>
                </c:pt>
                <c:pt idx="217">
                  <c:v>0.11709952085940123</c:v>
                </c:pt>
                <c:pt idx="218">
                  <c:v>8.3437604907376325E-2</c:v>
                </c:pt>
                <c:pt idx="219">
                  <c:v>0.97369304483169039</c:v>
                </c:pt>
                <c:pt idx="220">
                  <c:v>0.12228766747032076</c:v>
                </c:pt>
                <c:pt idx="221">
                  <c:v>0.15732291634876552</c:v>
                </c:pt>
                <c:pt idx="222">
                  <c:v>0.29258095034638509</c:v>
                </c:pt>
                <c:pt idx="223">
                  <c:v>0.61656544694357129</c:v>
                </c:pt>
                <c:pt idx="224">
                  <c:v>0.60335093234046444</c:v>
                </c:pt>
                <c:pt idx="225">
                  <c:v>0.82293160802026433</c:v>
                </c:pt>
                <c:pt idx="226">
                  <c:v>0.95599230933561208</c:v>
                </c:pt>
                <c:pt idx="227">
                  <c:v>0.68688009277626882</c:v>
                </c:pt>
                <c:pt idx="228">
                  <c:v>8.7771233252967915E-2</c:v>
                </c:pt>
                <c:pt idx="229">
                  <c:v>0.65254676961577196</c:v>
                </c:pt>
                <c:pt idx="230">
                  <c:v>0.51081881160924103</c:v>
                </c:pt>
                <c:pt idx="231">
                  <c:v>0.21341593676564838</c:v>
                </c:pt>
                <c:pt idx="232">
                  <c:v>0.96829126865443893</c:v>
                </c:pt>
                <c:pt idx="233">
                  <c:v>0.53123569444868313</c:v>
                </c:pt>
                <c:pt idx="234">
                  <c:v>0.61314737388225959</c:v>
                </c:pt>
                <c:pt idx="235">
                  <c:v>0.79494613483077492</c:v>
                </c:pt>
                <c:pt idx="236">
                  <c:v>0.24774925992614522</c:v>
                </c:pt>
                <c:pt idx="237">
                  <c:v>0.55223242896816915</c:v>
                </c:pt>
                <c:pt idx="238">
                  <c:v>0.17697683645130771</c:v>
                </c:pt>
                <c:pt idx="239">
                  <c:v>0.60774559770500813</c:v>
                </c:pt>
                <c:pt idx="240">
                  <c:v>0.14206366161076692</c:v>
                </c:pt>
                <c:pt idx="241">
                  <c:v>0.33405560472426526</c:v>
                </c:pt>
                <c:pt idx="242">
                  <c:v>4.8402356028931552E-2</c:v>
                </c:pt>
                <c:pt idx="243">
                  <c:v>0.50865199743644518</c:v>
                </c:pt>
                <c:pt idx="244">
                  <c:v>0.39558091982787563</c:v>
                </c:pt>
                <c:pt idx="245">
                  <c:v>0.19888912625507371</c:v>
                </c:pt>
                <c:pt idx="246">
                  <c:v>9.54313791314432E-2</c:v>
                </c:pt>
                <c:pt idx="247">
                  <c:v>0.8902859584337901</c:v>
                </c:pt>
                <c:pt idx="248">
                  <c:v>0.34080019531846062</c:v>
                </c:pt>
                <c:pt idx="249">
                  <c:v>0.11841181676686914</c:v>
                </c:pt>
                <c:pt idx="250">
                  <c:v>0.99526963103122046</c:v>
                </c:pt>
                <c:pt idx="251">
                  <c:v>0.44422742393261511</c:v>
                </c:pt>
                <c:pt idx="252">
                  <c:v>0.23346659749137852</c:v>
                </c:pt>
                <c:pt idx="253">
                  <c:v>0.83364360484633926</c:v>
                </c:pt>
                <c:pt idx="254">
                  <c:v>0.49992370372631001</c:v>
                </c:pt>
                <c:pt idx="255">
                  <c:v>0.48884548478652301</c:v>
                </c:pt>
                <c:pt idx="256">
                  <c:v>0.89434492019409773</c:v>
                </c:pt>
                <c:pt idx="257">
                  <c:v>5.4689168980986962E-2</c:v>
                </c:pt>
                <c:pt idx="258">
                  <c:v>0.46201971495712152</c:v>
                </c:pt>
                <c:pt idx="259">
                  <c:v>1.7731254005554375E-2</c:v>
                </c:pt>
                <c:pt idx="260">
                  <c:v>0.18878749961851865</c:v>
                </c:pt>
                <c:pt idx="261">
                  <c:v>0.14694662312692647</c:v>
                </c:pt>
                <c:pt idx="262">
                  <c:v>0.40110477004303108</c:v>
                </c:pt>
                <c:pt idx="263">
                  <c:v>0.12521744438001647</c:v>
                </c:pt>
                <c:pt idx="264">
                  <c:v>0.37546922208319344</c:v>
                </c:pt>
                <c:pt idx="265">
                  <c:v>0.2098452711569567</c:v>
                </c:pt>
                <c:pt idx="266">
                  <c:v>0.89242225409710985</c:v>
                </c:pt>
                <c:pt idx="267">
                  <c:v>0.96487319559312723</c:v>
                </c:pt>
                <c:pt idx="268">
                  <c:v>0.85558641315958128</c:v>
                </c:pt>
                <c:pt idx="269">
                  <c:v>0.95440534684286016</c:v>
                </c:pt>
                <c:pt idx="270">
                  <c:v>0.55928220465712453</c:v>
                </c:pt>
                <c:pt idx="271">
                  <c:v>0.89745780816064946</c:v>
                </c:pt>
                <c:pt idx="272">
                  <c:v>0.35358745078890347</c:v>
                </c:pt>
                <c:pt idx="273">
                  <c:v>0.28577532273323769</c:v>
                </c:pt>
                <c:pt idx="274">
                  <c:v>0.95028534806360054</c:v>
                </c:pt>
                <c:pt idx="275">
                  <c:v>0.98507644886623735</c:v>
                </c:pt>
                <c:pt idx="276">
                  <c:v>6.0884426404614389E-2</c:v>
                </c:pt>
                <c:pt idx="277">
                  <c:v>0.9974364452040162</c:v>
                </c:pt>
                <c:pt idx="278">
                  <c:v>8.2094790490432445E-2</c:v>
                </c:pt>
                <c:pt idx="279">
                  <c:v>0.48655659657582323</c:v>
                </c:pt>
                <c:pt idx="280">
                  <c:v>0.77373577074495681</c:v>
                </c:pt>
                <c:pt idx="281">
                  <c:v>0.48246711630603961</c:v>
                </c:pt>
                <c:pt idx="282">
                  <c:v>0.93014313180944241</c:v>
                </c:pt>
                <c:pt idx="283">
                  <c:v>0.51152073732718895</c:v>
                </c:pt>
                <c:pt idx="284">
                  <c:v>0.55626087221900078</c:v>
                </c:pt>
                <c:pt idx="285">
                  <c:v>0.86922818689535208</c:v>
                </c:pt>
                <c:pt idx="286">
                  <c:v>0.6471144749290445</c:v>
                </c:pt>
                <c:pt idx="287">
                  <c:v>0.48878444776757102</c:v>
                </c:pt>
                <c:pt idx="288">
                  <c:v>0.96050904873805965</c:v>
                </c:pt>
                <c:pt idx="289">
                  <c:v>0.48643452253791924</c:v>
                </c:pt>
                <c:pt idx="290">
                  <c:v>0.79201635792107916</c:v>
                </c:pt>
                <c:pt idx="291">
                  <c:v>0.60536515396588031</c:v>
                </c:pt>
                <c:pt idx="292">
                  <c:v>0.33399456770531327</c:v>
                </c:pt>
                <c:pt idx="293">
                  <c:v>6.5340128788109977E-2</c:v>
                </c:pt>
                <c:pt idx="294">
                  <c:v>0.34946745200964385</c:v>
                </c:pt>
                <c:pt idx="295">
                  <c:v>0.87258522293771168</c:v>
                </c:pt>
                <c:pt idx="296">
                  <c:v>0.2468031861323893</c:v>
                </c:pt>
                <c:pt idx="297">
                  <c:v>0.58388012329477823</c:v>
                </c:pt>
                <c:pt idx="298">
                  <c:v>0.82183294167912835</c:v>
                </c:pt>
                <c:pt idx="299">
                  <c:v>0.97531052583391831</c:v>
                </c:pt>
                <c:pt idx="300">
                  <c:v>0.56871242408520772</c:v>
                </c:pt>
                <c:pt idx="301">
                  <c:v>0.15976439710684531</c:v>
                </c:pt>
                <c:pt idx="302">
                  <c:v>0.17453535569322795</c:v>
                </c:pt>
                <c:pt idx="303">
                  <c:v>0.56059450056459248</c:v>
                </c:pt>
                <c:pt idx="304">
                  <c:v>0.22803430280465106</c:v>
                </c:pt>
                <c:pt idx="305">
                  <c:v>0.89901425214392527</c:v>
                </c:pt>
                <c:pt idx="306">
                  <c:v>0.91644032105471973</c:v>
                </c:pt>
                <c:pt idx="307">
                  <c:v>0.12216559343241676</c:v>
                </c:pt>
                <c:pt idx="308">
                  <c:v>0.18362987151707511</c:v>
                </c:pt>
                <c:pt idx="309">
                  <c:v>0.10531937620166633</c:v>
                </c:pt>
                <c:pt idx="310">
                  <c:v>9.5736564226203177E-2</c:v>
                </c:pt>
                <c:pt idx="311">
                  <c:v>0.13672292245246742</c:v>
                </c:pt>
                <c:pt idx="312">
                  <c:v>0.64067506942960906</c:v>
                </c:pt>
                <c:pt idx="313">
                  <c:v>0.75737784966582233</c:v>
                </c:pt>
                <c:pt idx="314">
                  <c:v>0.49378948332163458</c:v>
                </c:pt>
                <c:pt idx="315">
                  <c:v>0.60847804193243205</c:v>
                </c:pt>
                <c:pt idx="316">
                  <c:v>4.2085024567400126E-2</c:v>
                </c:pt>
                <c:pt idx="317">
                  <c:v>0.65974913785210731</c:v>
                </c:pt>
                <c:pt idx="318">
                  <c:v>0.79692983794671468</c:v>
                </c:pt>
                <c:pt idx="319">
                  <c:v>0.67821283608508565</c:v>
                </c:pt>
                <c:pt idx="320">
                  <c:v>0.86645100253303631</c:v>
                </c:pt>
                <c:pt idx="321">
                  <c:v>0.17404705954161198</c:v>
                </c:pt>
                <c:pt idx="322">
                  <c:v>2.8168584246345406E-2</c:v>
                </c:pt>
                <c:pt idx="323">
                  <c:v>0.45289468062379834</c:v>
                </c:pt>
                <c:pt idx="324">
                  <c:v>0.76390881069368577</c:v>
                </c:pt>
                <c:pt idx="325">
                  <c:v>0.93633838923306989</c:v>
                </c:pt>
                <c:pt idx="326">
                  <c:v>2.020325327311014E-2</c:v>
                </c:pt>
                <c:pt idx="327">
                  <c:v>0.7125156407361064</c:v>
                </c:pt>
                <c:pt idx="328">
                  <c:v>6.1067537461470374E-2</c:v>
                </c:pt>
                <c:pt idx="329">
                  <c:v>0.46699423200170903</c:v>
                </c:pt>
                <c:pt idx="330">
                  <c:v>0.21024201178014468</c:v>
                </c:pt>
                <c:pt idx="331">
                  <c:v>0.64976958525345618</c:v>
                </c:pt>
                <c:pt idx="332">
                  <c:v>0.16666158024842065</c:v>
                </c:pt>
                <c:pt idx="333">
                  <c:v>7.9714346751304663E-2</c:v>
                </c:pt>
                <c:pt idx="334">
                  <c:v>0.53865169225135046</c:v>
                </c:pt>
                <c:pt idx="335">
                  <c:v>0.29950865199743643</c:v>
                </c:pt>
                <c:pt idx="336">
                  <c:v>0.90826136051515249</c:v>
                </c:pt>
                <c:pt idx="337">
                  <c:v>0.99533066805017245</c:v>
                </c:pt>
                <c:pt idx="338">
                  <c:v>0.73226111636707658</c:v>
                </c:pt>
                <c:pt idx="339">
                  <c:v>0.8137455366679891</c:v>
                </c:pt>
                <c:pt idx="340">
                  <c:v>0.33237708670308541</c:v>
                </c:pt>
                <c:pt idx="341">
                  <c:v>6.6805017242957843E-2</c:v>
                </c:pt>
                <c:pt idx="342">
                  <c:v>0.75377666554765466</c:v>
                </c:pt>
                <c:pt idx="343">
                  <c:v>0.23850215155491805</c:v>
                </c:pt>
                <c:pt idx="344">
                  <c:v>0.99853511154515218</c:v>
                </c:pt>
                <c:pt idx="345">
                  <c:v>2.246162297433393E-2</c:v>
                </c:pt>
                <c:pt idx="346">
                  <c:v>0.69823297830133979</c:v>
                </c:pt>
                <c:pt idx="347">
                  <c:v>0.94918668172246468</c:v>
                </c:pt>
                <c:pt idx="348">
                  <c:v>0.29865413373210853</c:v>
                </c:pt>
                <c:pt idx="349">
                  <c:v>0.63228247932370985</c:v>
                </c:pt>
                <c:pt idx="350">
                  <c:v>0.9183324686422315</c:v>
                </c:pt>
                <c:pt idx="351">
                  <c:v>0.4000671407208472</c:v>
                </c:pt>
                <c:pt idx="352">
                  <c:v>0.83321634571367531</c:v>
                </c:pt>
                <c:pt idx="353">
                  <c:v>0.70470290231025112</c:v>
                </c:pt>
                <c:pt idx="354">
                  <c:v>0.6590777306436354</c:v>
                </c:pt>
                <c:pt idx="355">
                  <c:v>0.34476760155034031</c:v>
                </c:pt>
                <c:pt idx="356">
                  <c:v>0.37519455549790948</c:v>
                </c:pt>
                <c:pt idx="357">
                  <c:v>0.31965086825159461</c:v>
                </c:pt>
                <c:pt idx="358">
                  <c:v>0.98391674550614949</c:v>
                </c:pt>
                <c:pt idx="359">
                  <c:v>0.18335520493179114</c:v>
                </c:pt>
                <c:pt idx="360">
                  <c:v>0.45329142124698629</c:v>
                </c:pt>
                <c:pt idx="361">
                  <c:v>0.20419934690389721</c:v>
                </c:pt>
                <c:pt idx="362">
                  <c:v>0.27274391918698693</c:v>
                </c:pt>
                <c:pt idx="363">
                  <c:v>0.59303567613757746</c:v>
                </c:pt>
                <c:pt idx="364">
                  <c:v>8.526871547593616E-2</c:v>
                </c:pt>
                <c:pt idx="365">
                  <c:v>0.65691091647083955</c:v>
                </c:pt>
                <c:pt idx="366">
                  <c:v>7.3641163365581228E-2</c:v>
                </c:pt>
                <c:pt idx="367">
                  <c:v>9.7903378398999014E-2</c:v>
                </c:pt>
                <c:pt idx="368">
                  <c:v>0.69335001678518016</c:v>
                </c:pt>
                <c:pt idx="369">
                  <c:v>0.92742698446607863</c:v>
                </c:pt>
                <c:pt idx="370">
                  <c:v>0.58940397350993379</c:v>
                </c:pt>
                <c:pt idx="371">
                  <c:v>0.73485518967253638</c:v>
                </c:pt>
                <c:pt idx="372">
                  <c:v>0.73201696829126861</c:v>
                </c:pt>
                <c:pt idx="373">
                  <c:v>0.45728934598834192</c:v>
                </c:pt>
                <c:pt idx="374">
                  <c:v>0.5798516800439466</c:v>
                </c:pt>
                <c:pt idx="375">
                  <c:v>0.47083956419568468</c:v>
                </c:pt>
                <c:pt idx="376">
                  <c:v>6.0396130252998441E-2</c:v>
                </c:pt>
                <c:pt idx="377">
                  <c:v>0.88836329233680222</c:v>
                </c:pt>
                <c:pt idx="378">
                  <c:v>0.96163823358867151</c:v>
                </c:pt>
                <c:pt idx="379">
                  <c:v>0.52897732474745929</c:v>
                </c:pt>
                <c:pt idx="380">
                  <c:v>0.58983123264259774</c:v>
                </c:pt>
                <c:pt idx="381">
                  <c:v>0.24506363109225748</c:v>
                </c:pt>
                <c:pt idx="382">
                  <c:v>0.88656270027771844</c:v>
                </c:pt>
                <c:pt idx="383">
                  <c:v>0.27869502853480638</c:v>
                </c:pt>
                <c:pt idx="384">
                  <c:v>0.23795281838435012</c:v>
                </c:pt>
                <c:pt idx="385">
                  <c:v>0.19678334910122988</c:v>
                </c:pt>
                <c:pt idx="386">
                  <c:v>0.57948545793023465</c:v>
                </c:pt>
                <c:pt idx="387">
                  <c:v>0.84667500839259013</c:v>
                </c:pt>
                <c:pt idx="388">
                  <c:v>0.72093874935148172</c:v>
                </c:pt>
                <c:pt idx="389">
                  <c:v>0.80645161290322576</c:v>
                </c:pt>
                <c:pt idx="390">
                  <c:v>0.71736808374279004</c:v>
                </c:pt>
                <c:pt idx="391">
                  <c:v>0.10470900601214636</c:v>
                </c:pt>
                <c:pt idx="392">
                  <c:v>0.21469771416364025</c:v>
                </c:pt>
                <c:pt idx="393">
                  <c:v>0.67171239356669821</c:v>
                </c:pt>
                <c:pt idx="394">
                  <c:v>0.63066499832148193</c:v>
                </c:pt>
                <c:pt idx="395">
                  <c:v>0.19101535081026644</c:v>
                </c:pt>
                <c:pt idx="396">
                  <c:v>0.41657765434736166</c:v>
                </c:pt>
                <c:pt idx="397">
                  <c:v>0.86519974364452035</c:v>
                </c:pt>
                <c:pt idx="398">
                  <c:v>0.10797448652607808</c:v>
                </c:pt>
                <c:pt idx="399">
                  <c:v>0.2206488235114597</c:v>
                </c:pt>
                <c:pt idx="400">
                  <c:v>3.8575395977660444E-2</c:v>
                </c:pt>
                <c:pt idx="401">
                  <c:v>0.57942442091128266</c:v>
                </c:pt>
                <c:pt idx="402">
                  <c:v>8.5787530137028112E-2</c:v>
                </c:pt>
                <c:pt idx="403">
                  <c:v>0.34174626911221656</c:v>
                </c:pt>
                <c:pt idx="404">
                  <c:v>0.26361888485366375</c:v>
                </c:pt>
                <c:pt idx="405">
                  <c:v>0.8834498123111667</c:v>
                </c:pt>
                <c:pt idx="406">
                  <c:v>3.9063692129276389E-3</c:v>
                </c:pt>
                <c:pt idx="407">
                  <c:v>0.79393902401806693</c:v>
                </c:pt>
                <c:pt idx="408">
                  <c:v>0.19571520126956998</c:v>
                </c:pt>
                <c:pt idx="409">
                  <c:v>0.49687185277871027</c:v>
                </c:pt>
                <c:pt idx="410">
                  <c:v>0.10846278267769403</c:v>
                </c:pt>
                <c:pt idx="411">
                  <c:v>0.12448500015259255</c:v>
                </c:pt>
                <c:pt idx="412">
                  <c:v>0.83584093752861111</c:v>
                </c:pt>
                <c:pt idx="413">
                  <c:v>0.98760948515274516</c:v>
                </c:pt>
                <c:pt idx="414">
                  <c:v>0.48313852351451153</c:v>
                </c:pt>
                <c:pt idx="415">
                  <c:v>0.2195806756797998</c:v>
                </c:pt>
                <c:pt idx="416">
                  <c:v>0.61412396618549148</c:v>
                </c:pt>
                <c:pt idx="417">
                  <c:v>0.29999694814905242</c:v>
                </c:pt>
                <c:pt idx="418">
                  <c:v>9.0365306558427685E-2</c:v>
                </c:pt>
                <c:pt idx="419">
                  <c:v>0.30549027985473187</c:v>
                </c:pt>
                <c:pt idx="420">
                  <c:v>1.0254219183935055E-2</c:v>
                </c:pt>
                <c:pt idx="421">
                  <c:v>1.8982512894070259E-2</c:v>
                </c:pt>
                <c:pt idx="422">
                  <c:v>0.60362559892574852</c:v>
                </c:pt>
                <c:pt idx="423">
                  <c:v>0.5774101992858669</c:v>
                </c:pt>
                <c:pt idx="424">
                  <c:v>0.29279457991271707</c:v>
                </c:pt>
                <c:pt idx="425">
                  <c:v>0.27698599200415053</c:v>
                </c:pt>
                <c:pt idx="426">
                  <c:v>0.31159398174993136</c:v>
                </c:pt>
                <c:pt idx="427">
                  <c:v>0.61104159672841574</c:v>
                </c:pt>
                <c:pt idx="428">
                  <c:v>0.90887173070467242</c:v>
                </c:pt>
                <c:pt idx="429">
                  <c:v>0.70967741935483875</c:v>
                </c:pt>
                <c:pt idx="430">
                  <c:v>0.87627796258430735</c:v>
                </c:pt>
                <c:pt idx="431">
                  <c:v>0.21387371440778832</c:v>
                </c:pt>
                <c:pt idx="432">
                  <c:v>0.55561998352000486</c:v>
                </c:pt>
                <c:pt idx="433">
                  <c:v>0.3665272988067263</c:v>
                </c:pt>
                <c:pt idx="434">
                  <c:v>0.22556230353709522</c:v>
                </c:pt>
                <c:pt idx="435">
                  <c:v>0.87206640827661974</c:v>
                </c:pt>
                <c:pt idx="436">
                  <c:v>0.46458326975310527</c:v>
                </c:pt>
                <c:pt idx="437">
                  <c:v>0.98324533829767757</c:v>
                </c:pt>
                <c:pt idx="438">
                  <c:v>0.36219367046113465</c:v>
                </c:pt>
                <c:pt idx="439">
                  <c:v>0.44923245948667867</c:v>
                </c:pt>
                <c:pt idx="440">
                  <c:v>0.93008209479049042</c:v>
                </c:pt>
                <c:pt idx="441">
                  <c:v>0.52110354930265201</c:v>
                </c:pt>
                <c:pt idx="442">
                  <c:v>0.369457075716422</c:v>
                </c:pt>
                <c:pt idx="443">
                  <c:v>0.29358806115909297</c:v>
                </c:pt>
                <c:pt idx="444">
                  <c:v>0.61302529984435561</c:v>
                </c:pt>
                <c:pt idx="445">
                  <c:v>0.38062685018463699</c:v>
                </c:pt>
                <c:pt idx="446">
                  <c:v>0.39579454939420761</c:v>
                </c:pt>
                <c:pt idx="447">
                  <c:v>0.40946684163945435</c:v>
                </c:pt>
                <c:pt idx="448">
                  <c:v>0.6514175847651601</c:v>
                </c:pt>
                <c:pt idx="449">
                  <c:v>0.19519638660847805</c:v>
                </c:pt>
                <c:pt idx="450">
                  <c:v>0.89910580767235326</c:v>
                </c:pt>
                <c:pt idx="451">
                  <c:v>0.8494521927549058</c:v>
                </c:pt>
                <c:pt idx="452">
                  <c:v>0.10870693075350202</c:v>
                </c:pt>
                <c:pt idx="453">
                  <c:v>0.61085848567155976</c:v>
                </c:pt>
                <c:pt idx="454">
                  <c:v>0.9320352793969543</c:v>
                </c:pt>
                <c:pt idx="455">
                  <c:v>0.98352000488296154</c:v>
                </c:pt>
                <c:pt idx="456">
                  <c:v>0.79137546922208324</c:v>
                </c:pt>
                <c:pt idx="457">
                  <c:v>0.95880001220740374</c:v>
                </c:pt>
                <c:pt idx="458">
                  <c:v>0.74938200018311107</c:v>
                </c:pt>
                <c:pt idx="459">
                  <c:v>0.80150761436811424</c:v>
                </c:pt>
                <c:pt idx="460">
                  <c:v>0.96664326914273502</c:v>
                </c:pt>
                <c:pt idx="461">
                  <c:v>0.22675252540665913</c:v>
                </c:pt>
                <c:pt idx="462">
                  <c:v>0.51930295724356823</c:v>
                </c:pt>
                <c:pt idx="463">
                  <c:v>0.90496536149174478</c:v>
                </c:pt>
                <c:pt idx="464">
                  <c:v>1.2176885280922881E-2</c:v>
                </c:pt>
                <c:pt idx="465">
                  <c:v>0.23535874507889037</c:v>
                </c:pt>
                <c:pt idx="466">
                  <c:v>0.41911069063386946</c:v>
                </c:pt>
                <c:pt idx="467">
                  <c:v>0.34449293496505629</c:v>
                </c:pt>
                <c:pt idx="468">
                  <c:v>0.52845851008636735</c:v>
                </c:pt>
                <c:pt idx="469">
                  <c:v>0.42585528122806482</c:v>
                </c:pt>
                <c:pt idx="470">
                  <c:v>0.89709158604693751</c:v>
                </c:pt>
                <c:pt idx="471">
                  <c:v>0.95947141941587577</c:v>
                </c:pt>
                <c:pt idx="472">
                  <c:v>0.94537186803796502</c:v>
                </c:pt>
                <c:pt idx="473">
                  <c:v>0.16541032135990477</c:v>
                </c:pt>
                <c:pt idx="474">
                  <c:v>0.38154240546891688</c:v>
                </c:pt>
                <c:pt idx="475">
                  <c:v>0.37537766655476545</c:v>
                </c:pt>
                <c:pt idx="476">
                  <c:v>0.15408795434430983</c:v>
                </c:pt>
                <c:pt idx="477">
                  <c:v>0.9761955626087222</c:v>
                </c:pt>
                <c:pt idx="478">
                  <c:v>0.2185125278481399</c:v>
                </c:pt>
                <c:pt idx="479">
                  <c:v>0.31641590624713889</c:v>
                </c:pt>
                <c:pt idx="480">
                  <c:v>0.19577623828852198</c:v>
                </c:pt>
                <c:pt idx="481">
                  <c:v>0.59459212012085327</c:v>
                </c:pt>
                <c:pt idx="482">
                  <c:v>0.11914426099429304</c:v>
                </c:pt>
                <c:pt idx="483">
                  <c:v>0.38792077394940033</c:v>
                </c:pt>
                <c:pt idx="484">
                  <c:v>0.53801080355235453</c:v>
                </c:pt>
                <c:pt idx="485">
                  <c:v>0.26682332834864347</c:v>
                </c:pt>
                <c:pt idx="486">
                  <c:v>0.89809869685964538</c:v>
                </c:pt>
                <c:pt idx="487">
                  <c:v>0.98635822626422931</c:v>
                </c:pt>
                <c:pt idx="488">
                  <c:v>0.97045808282723467</c:v>
                </c:pt>
                <c:pt idx="489">
                  <c:v>0.18701742606891081</c:v>
                </c:pt>
                <c:pt idx="490">
                  <c:v>0.7840815454573199</c:v>
                </c:pt>
                <c:pt idx="491">
                  <c:v>0.49220252082888272</c:v>
                </c:pt>
                <c:pt idx="492">
                  <c:v>0.65074617755668818</c:v>
                </c:pt>
                <c:pt idx="493">
                  <c:v>0.48405407879879148</c:v>
                </c:pt>
                <c:pt idx="494">
                  <c:v>8.4261604663228254E-2</c:v>
                </c:pt>
                <c:pt idx="495">
                  <c:v>0.40256965849787896</c:v>
                </c:pt>
                <c:pt idx="496">
                  <c:v>0.33237708670308541</c:v>
                </c:pt>
                <c:pt idx="497">
                  <c:v>0.66365550706503496</c:v>
                </c:pt>
                <c:pt idx="498">
                  <c:v>0.48310800500503553</c:v>
                </c:pt>
                <c:pt idx="499">
                  <c:v>0.55919064912869654</c:v>
                </c:pt>
                <c:pt idx="500">
                  <c:v>0.30515457625049591</c:v>
                </c:pt>
                <c:pt idx="501">
                  <c:v>0.91177098910489207</c:v>
                </c:pt>
                <c:pt idx="502">
                  <c:v>0.75728629413739434</c:v>
                </c:pt>
                <c:pt idx="503">
                  <c:v>0.12854396191290016</c:v>
                </c:pt>
                <c:pt idx="504">
                  <c:v>7.9714346751304663E-2</c:v>
                </c:pt>
                <c:pt idx="505">
                  <c:v>0.16537980285042878</c:v>
                </c:pt>
                <c:pt idx="506">
                  <c:v>0.1879329813531907</c:v>
                </c:pt>
                <c:pt idx="507">
                  <c:v>0.4902493362224189</c:v>
                </c:pt>
                <c:pt idx="508">
                  <c:v>0.34797204504532003</c:v>
                </c:pt>
                <c:pt idx="509">
                  <c:v>0.35746330149235511</c:v>
                </c:pt>
                <c:pt idx="510">
                  <c:v>0.45155186620685445</c:v>
                </c:pt>
                <c:pt idx="511">
                  <c:v>0.6896877956480606</c:v>
                </c:pt>
                <c:pt idx="512">
                  <c:v>0.24942777794732504</c:v>
                </c:pt>
                <c:pt idx="513">
                  <c:v>0.7415387432477798</c:v>
                </c:pt>
                <c:pt idx="514">
                  <c:v>0.27030243842890711</c:v>
                </c:pt>
                <c:pt idx="515">
                  <c:v>0.61162144840845978</c:v>
                </c:pt>
                <c:pt idx="516">
                  <c:v>0.47611926633503221</c:v>
                </c:pt>
                <c:pt idx="517">
                  <c:v>0.70302438428907132</c:v>
                </c:pt>
                <c:pt idx="518">
                  <c:v>0.60362559892574852</c:v>
                </c:pt>
                <c:pt idx="519">
                  <c:v>0.53050325022125921</c:v>
                </c:pt>
                <c:pt idx="520">
                  <c:v>0.24622333445234534</c:v>
                </c:pt>
                <c:pt idx="521">
                  <c:v>0.96298104800561546</c:v>
                </c:pt>
                <c:pt idx="522">
                  <c:v>0.66206854457228304</c:v>
                </c:pt>
                <c:pt idx="523">
                  <c:v>0.19409772026734215</c:v>
                </c:pt>
                <c:pt idx="524">
                  <c:v>0.67818231757560965</c:v>
                </c:pt>
                <c:pt idx="525">
                  <c:v>0.58043153172399065</c:v>
                </c:pt>
                <c:pt idx="526">
                  <c:v>0.52452162236396371</c:v>
                </c:pt>
                <c:pt idx="527">
                  <c:v>9.6591082491531116E-2</c:v>
                </c:pt>
                <c:pt idx="528">
                  <c:v>0.59657582323679315</c:v>
                </c:pt>
                <c:pt idx="529">
                  <c:v>0.66042054506057923</c:v>
                </c:pt>
                <c:pt idx="530">
                  <c:v>0.64043092135380109</c:v>
                </c:pt>
                <c:pt idx="531">
                  <c:v>9.7384563737907034E-2</c:v>
                </c:pt>
                <c:pt idx="532">
                  <c:v>0.30072939237647633</c:v>
                </c:pt>
                <c:pt idx="533">
                  <c:v>0.17258217108676413</c:v>
                </c:pt>
                <c:pt idx="534">
                  <c:v>0.99771111178930016</c:v>
                </c:pt>
                <c:pt idx="535">
                  <c:v>4.1718802453688156E-2</c:v>
                </c:pt>
                <c:pt idx="536">
                  <c:v>0.32755516220587788</c:v>
                </c:pt>
                <c:pt idx="537">
                  <c:v>0.78789635914181955</c:v>
                </c:pt>
                <c:pt idx="538">
                  <c:v>0.23813592944120607</c:v>
                </c:pt>
                <c:pt idx="539">
                  <c:v>0.53975035859248632</c:v>
                </c:pt>
                <c:pt idx="540">
                  <c:v>0.7397991882076479</c:v>
                </c:pt>
                <c:pt idx="541">
                  <c:v>0.1389812921536912</c:v>
                </c:pt>
                <c:pt idx="542">
                  <c:v>0.50141911069063383</c:v>
                </c:pt>
                <c:pt idx="543">
                  <c:v>0.55977050080874047</c:v>
                </c:pt>
                <c:pt idx="544">
                  <c:v>0.97079378643147074</c:v>
                </c:pt>
                <c:pt idx="545">
                  <c:v>0.4107181005279702</c:v>
                </c:pt>
                <c:pt idx="546">
                  <c:v>0.27857295449690239</c:v>
                </c:pt>
                <c:pt idx="547">
                  <c:v>0.99249244666890468</c:v>
                </c:pt>
                <c:pt idx="548">
                  <c:v>0.75728629413739434</c:v>
                </c:pt>
                <c:pt idx="549">
                  <c:v>0.6667378765221107</c:v>
                </c:pt>
                <c:pt idx="550">
                  <c:v>5.6672872096926778E-2</c:v>
                </c:pt>
                <c:pt idx="551">
                  <c:v>0.84182256538590661</c:v>
                </c:pt>
                <c:pt idx="552">
                  <c:v>0.19122898037659841</c:v>
                </c:pt>
                <c:pt idx="553">
                  <c:v>0.81905575731681268</c:v>
                </c:pt>
                <c:pt idx="554">
                  <c:v>3.5859248634296702E-2</c:v>
                </c:pt>
                <c:pt idx="555">
                  <c:v>0.19943845942564165</c:v>
                </c:pt>
                <c:pt idx="556">
                  <c:v>0.42225409710989714</c:v>
                </c:pt>
                <c:pt idx="557">
                  <c:v>0.64607684560686052</c:v>
                </c:pt>
                <c:pt idx="558">
                  <c:v>0.69969786675618761</c:v>
                </c:pt>
                <c:pt idx="559">
                  <c:v>0.65819269386883139</c:v>
                </c:pt>
                <c:pt idx="560">
                  <c:v>4.12915433210242E-2</c:v>
                </c:pt>
                <c:pt idx="561">
                  <c:v>0.76598406933805352</c:v>
                </c:pt>
                <c:pt idx="562">
                  <c:v>0.52021851252784812</c:v>
                </c:pt>
                <c:pt idx="563">
                  <c:v>0.32166508987701042</c:v>
                </c:pt>
                <c:pt idx="564">
                  <c:v>0.67757194738608961</c:v>
                </c:pt>
                <c:pt idx="565">
                  <c:v>0.97131260109256268</c:v>
                </c:pt>
                <c:pt idx="566">
                  <c:v>0.57951597643971064</c:v>
                </c:pt>
                <c:pt idx="567">
                  <c:v>6.543168431653798E-2</c:v>
                </c:pt>
                <c:pt idx="568">
                  <c:v>0.83950315866573078</c:v>
                </c:pt>
                <c:pt idx="569">
                  <c:v>0.83098849452192758</c:v>
                </c:pt>
                <c:pt idx="570">
                  <c:v>0.38782921842097234</c:v>
                </c:pt>
                <c:pt idx="571">
                  <c:v>0.20676290169988099</c:v>
                </c:pt>
                <c:pt idx="572">
                  <c:v>0.53102206488235115</c:v>
                </c:pt>
                <c:pt idx="573">
                  <c:v>0.96655171361430703</c:v>
                </c:pt>
                <c:pt idx="574">
                  <c:v>0.68083742790002133</c:v>
                </c:pt>
                <c:pt idx="575">
                  <c:v>0.23844111453596609</c:v>
                </c:pt>
                <c:pt idx="576">
                  <c:v>0.67458113345744197</c:v>
                </c:pt>
                <c:pt idx="577">
                  <c:v>0.90804773094882041</c:v>
                </c:pt>
                <c:pt idx="578">
                  <c:v>0.47624134037293619</c:v>
                </c:pt>
                <c:pt idx="579">
                  <c:v>0.78362376781517995</c:v>
                </c:pt>
                <c:pt idx="580">
                  <c:v>0.87194433423871576</c:v>
                </c:pt>
                <c:pt idx="581">
                  <c:v>0.93652150028992587</c:v>
                </c:pt>
                <c:pt idx="582">
                  <c:v>0.17160557878353222</c:v>
                </c:pt>
                <c:pt idx="583">
                  <c:v>0.42738120670186469</c:v>
                </c:pt>
                <c:pt idx="584">
                  <c:v>0.53428754539628287</c:v>
                </c:pt>
                <c:pt idx="585">
                  <c:v>0.81902523880733669</c:v>
                </c:pt>
                <c:pt idx="586">
                  <c:v>0.96444593646046328</c:v>
                </c:pt>
                <c:pt idx="587">
                  <c:v>0.58171330912198249</c:v>
                </c:pt>
                <c:pt idx="588">
                  <c:v>0.91253395184179209</c:v>
                </c:pt>
                <c:pt idx="589">
                  <c:v>0.84231086153752255</c:v>
                </c:pt>
                <c:pt idx="590">
                  <c:v>0.37559129612109743</c:v>
                </c:pt>
                <c:pt idx="591">
                  <c:v>3.9704580828272343E-2</c:v>
                </c:pt>
                <c:pt idx="592">
                  <c:v>5.9358500930814538E-2</c:v>
                </c:pt>
                <c:pt idx="593">
                  <c:v>5.185094759971922E-2</c:v>
                </c:pt>
                <c:pt idx="594">
                  <c:v>0.15790276802880948</c:v>
                </c:pt>
                <c:pt idx="595">
                  <c:v>0.3758049256874294</c:v>
                </c:pt>
                <c:pt idx="596">
                  <c:v>0.2542497024445326</c:v>
                </c:pt>
                <c:pt idx="597">
                  <c:v>0.10208441419721061</c:v>
                </c:pt>
                <c:pt idx="598">
                  <c:v>0.37015900143436997</c:v>
                </c:pt>
                <c:pt idx="599">
                  <c:v>0.84743797112949004</c:v>
                </c:pt>
                <c:pt idx="600">
                  <c:v>0.92239143040253913</c:v>
                </c:pt>
                <c:pt idx="601">
                  <c:v>0.62404248176519062</c:v>
                </c:pt>
                <c:pt idx="602">
                  <c:v>0.89898373363444928</c:v>
                </c:pt>
                <c:pt idx="603">
                  <c:v>0.95547349467452014</c:v>
                </c:pt>
                <c:pt idx="604">
                  <c:v>0.57927182836390267</c:v>
                </c:pt>
                <c:pt idx="605">
                  <c:v>0.51710562456129638</c:v>
                </c:pt>
                <c:pt idx="606">
                  <c:v>0.20880764183477277</c:v>
                </c:pt>
                <c:pt idx="607">
                  <c:v>0.31873531296731467</c:v>
                </c:pt>
                <c:pt idx="608">
                  <c:v>0.83172093874935149</c:v>
                </c:pt>
                <c:pt idx="609">
                  <c:v>7.0650349436933504E-2</c:v>
                </c:pt>
                <c:pt idx="610">
                  <c:v>0.60185552537614062</c:v>
                </c:pt>
                <c:pt idx="611">
                  <c:v>1.9470809045686214E-2</c:v>
                </c:pt>
                <c:pt idx="612">
                  <c:v>0.9668568987090671</c:v>
                </c:pt>
                <c:pt idx="613">
                  <c:v>0.32218390453810236</c:v>
                </c:pt>
                <c:pt idx="614">
                  <c:v>0.76894436475722527</c:v>
                </c:pt>
                <c:pt idx="615">
                  <c:v>7.5472273934141049E-2</c:v>
                </c:pt>
                <c:pt idx="616">
                  <c:v>0.16031373027741325</c:v>
                </c:pt>
                <c:pt idx="617">
                  <c:v>0.5578173162022767</c:v>
                </c:pt>
                <c:pt idx="618">
                  <c:v>0.91274758140812406</c:v>
                </c:pt>
                <c:pt idx="619">
                  <c:v>0.19562364574114199</c:v>
                </c:pt>
                <c:pt idx="620">
                  <c:v>0.83477278969695123</c:v>
                </c:pt>
                <c:pt idx="621">
                  <c:v>0.36173589281899471</c:v>
                </c:pt>
                <c:pt idx="622">
                  <c:v>0.22443311868648336</c:v>
                </c:pt>
                <c:pt idx="623">
                  <c:v>0.47483748893704031</c:v>
                </c:pt>
                <c:pt idx="624">
                  <c:v>0.19986571855830562</c:v>
                </c:pt>
                <c:pt idx="625">
                  <c:v>0.12082277901547286</c:v>
                </c:pt>
                <c:pt idx="626">
                  <c:v>0.99514755699331647</c:v>
                </c:pt>
                <c:pt idx="627">
                  <c:v>0.18485061189611501</c:v>
                </c:pt>
                <c:pt idx="628">
                  <c:v>0.50563066499832143</c:v>
                </c:pt>
                <c:pt idx="629">
                  <c:v>0.39042329172643209</c:v>
                </c:pt>
                <c:pt idx="630">
                  <c:v>0.14334543900875882</c:v>
                </c:pt>
                <c:pt idx="631">
                  <c:v>0.31656849879451887</c:v>
                </c:pt>
                <c:pt idx="632">
                  <c:v>3.9399395733512373E-2</c:v>
                </c:pt>
                <c:pt idx="633">
                  <c:v>2.7649769585253461E-2</c:v>
                </c:pt>
                <c:pt idx="634">
                  <c:v>0.43980224005859553</c:v>
                </c:pt>
                <c:pt idx="635">
                  <c:v>3.109836115604114E-2</c:v>
                </c:pt>
                <c:pt idx="636">
                  <c:v>0.39848017822809534</c:v>
                </c:pt>
                <c:pt idx="637">
                  <c:v>0.49891659291360207</c:v>
                </c:pt>
                <c:pt idx="638">
                  <c:v>0.21057771538438064</c:v>
                </c:pt>
                <c:pt idx="639">
                  <c:v>0.67491683706167782</c:v>
                </c:pt>
                <c:pt idx="640">
                  <c:v>6.93990905484176E-2</c:v>
                </c:pt>
                <c:pt idx="641">
                  <c:v>0.26700643940549945</c:v>
                </c:pt>
                <c:pt idx="642">
                  <c:v>0.8001647999511704</c:v>
                </c:pt>
                <c:pt idx="643">
                  <c:v>0.51579332865382854</c:v>
                </c:pt>
                <c:pt idx="644">
                  <c:v>0.84499649037141022</c:v>
                </c:pt>
                <c:pt idx="645">
                  <c:v>0.66484572893459881</c:v>
                </c:pt>
                <c:pt idx="646">
                  <c:v>0.57545701467940302</c:v>
                </c:pt>
                <c:pt idx="647">
                  <c:v>0.85573900570696126</c:v>
                </c:pt>
                <c:pt idx="648">
                  <c:v>0.11066011535996584</c:v>
                </c:pt>
                <c:pt idx="649">
                  <c:v>0.16168706320383314</c:v>
                </c:pt>
                <c:pt idx="650">
                  <c:v>0.75218970305490285</c:v>
                </c:pt>
                <c:pt idx="651">
                  <c:v>0.67720572527237766</c:v>
                </c:pt>
                <c:pt idx="652">
                  <c:v>0.53099154637287516</c:v>
                </c:pt>
                <c:pt idx="653">
                  <c:v>0.42829676198614458</c:v>
                </c:pt>
                <c:pt idx="654">
                  <c:v>0.82451857051301614</c:v>
                </c:pt>
                <c:pt idx="655">
                  <c:v>0.47846919156468398</c:v>
                </c:pt>
                <c:pt idx="656">
                  <c:v>0.16812646870326853</c:v>
                </c:pt>
                <c:pt idx="657">
                  <c:v>0.10693685720389415</c:v>
                </c:pt>
                <c:pt idx="658">
                  <c:v>0.87978759117404703</c:v>
                </c:pt>
                <c:pt idx="659">
                  <c:v>0.45512253181554613</c:v>
                </c:pt>
                <c:pt idx="660">
                  <c:v>0.56285287026581621</c:v>
                </c:pt>
                <c:pt idx="661">
                  <c:v>0.6929532761619922</c:v>
                </c:pt>
                <c:pt idx="662">
                  <c:v>0.57899716177861871</c:v>
                </c:pt>
                <c:pt idx="663">
                  <c:v>0.68312631611072117</c:v>
                </c:pt>
                <c:pt idx="664">
                  <c:v>0.80993072298348945</c:v>
                </c:pt>
                <c:pt idx="665">
                  <c:v>0.4336680196539201</c:v>
                </c:pt>
                <c:pt idx="666">
                  <c:v>8.4749900814844223E-2</c:v>
                </c:pt>
                <c:pt idx="667">
                  <c:v>0.46040223395489366</c:v>
                </c:pt>
                <c:pt idx="668">
                  <c:v>0.1588183233130894</c:v>
                </c:pt>
                <c:pt idx="669">
                  <c:v>0.65150914029358808</c:v>
                </c:pt>
                <c:pt idx="670">
                  <c:v>0.71764275032807401</c:v>
                </c:pt>
                <c:pt idx="671">
                  <c:v>0.46250801110873746</c:v>
                </c:pt>
                <c:pt idx="672">
                  <c:v>0.17111728263191625</c:v>
                </c:pt>
                <c:pt idx="673">
                  <c:v>0.3967101046784875</c:v>
                </c:pt>
                <c:pt idx="674">
                  <c:v>0.62218085268715473</c:v>
                </c:pt>
                <c:pt idx="675">
                  <c:v>0.86941129795220806</c:v>
                </c:pt>
                <c:pt idx="676">
                  <c:v>0.96560563982055114</c:v>
                </c:pt>
                <c:pt idx="677">
                  <c:v>0.836725974303415</c:v>
                </c:pt>
                <c:pt idx="678">
                  <c:v>0.22425000762962738</c:v>
                </c:pt>
                <c:pt idx="679">
                  <c:v>0.11896114993743709</c:v>
                </c:pt>
                <c:pt idx="680">
                  <c:v>0.58278145695364236</c:v>
                </c:pt>
                <c:pt idx="681">
                  <c:v>0.28809472945341352</c:v>
                </c:pt>
                <c:pt idx="682">
                  <c:v>0.76033814508499409</c:v>
                </c:pt>
                <c:pt idx="683">
                  <c:v>0.44364757225257118</c:v>
                </c:pt>
                <c:pt idx="684">
                  <c:v>0.99957274086733605</c:v>
                </c:pt>
                <c:pt idx="685">
                  <c:v>0.29709768974883266</c:v>
                </c:pt>
                <c:pt idx="686">
                  <c:v>0.66048158207953123</c:v>
                </c:pt>
                <c:pt idx="687">
                  <c:v>0.84670552690206613</c:v>
                </c:pt>
                <c:pt idx="688">
                  <c:v>0.82573931089205599</c:v>
                </c:pt>
                <c:pt idx="689">
                  <c:v>0.67546617023224587</c:v>
                </c:pt>
                <c:pt idx="690">
                  <c:v>6.5981017487105914E-2</c:v>
                </c:pt>
                <c:pt idx="691">
                  <c:v>0.67415387432477802</c:v>
                </c:pt>
                <c:pt idx="692">
                  <c:v>0.21320230719931638</c:v>
                </c:pt>
                <c:pt idx="693">
                  <c:v>0.89764091921750544</c:v>
                </c:pt>
                <c:pt idx="694">
                  <c:v>0.26325266273995179</c:v>
                </c:pt>
                <c:pt idx="695">
                  <c:v>0.43855098117007968</c:v>
                </c:pt>
                <c:pt idx="696">
                  <c:v>9.5522934659871255E-3</c:v>
                </c:pt>
                <c:pt idx="697">
                  <c:v>0.76519058809167761</c:v>
                </c:pt>
                <c:pt idx="698">
                  <c:v>0.31455427716910306</c:v>
                </c:pt>
                <c:pt idx="699">
                  <c:v>5.1118503372295288E-2</c:v>
                </c:pt>
                <c:pt idx="700">
                  <c:v>0.68672750022888884</c:v>
                </c:pt>
                <c:pt idx="701">
                  <c:v>0.74559770500808742</c:v>
                </c:pt>
                <c:pt idx="702">
                  <c:v>0.66771446882534258</c:v>
                </c:pt>
                <c:pt idx="703">
                  <c:v>0.11822870571001312</c:v>
                </c:pt>
                <c:pt idx="704">
                  <c:v>7.6509903256324965E-2</c:v>
                </c:pt>
                <c:pt idx="705">
                  <c:v>0.89068269905697806</c:v>
                </c:pt>
                <c:pt idx="706">
                  <c:v>2.5208288827173679E-2</c:v>
                </c:pt>
                <c:pt idx="707">
                  <c:v>0.45854060487685783</c:v>
                </c:pt>
                <c:pt idx="708">
                  <c:v>0.44413586840418712</c:v>
                </c:pt>
                <c:pt idx="709">
                  <c:v>0.7414777062288278</c:v>
                </c:pt>
                <c:pt idx="710">
                  <c:v>0.25461592455824456</c:v>
                </c:pt>
                <c:pt idx="711">
                  <c:v>0.49726859340189827</c:v>
                </c:pt>
                <c:pt idx="712">
                  <c:v>0.93041779839472638</c:v>
                </c:pt>
                <c:pt idx="713">
                  <c:v>0.12576677755058444</c:v>
                </c:pt>
                <c:pt idx="714">
                  <c:v>0.62105166783654286</c:v>
                </c:pt>
                <c:pt idx="715">
                  <c:v>0.69347209082308425</c:v>
                </c:pt>
                <c:pt idx="716">
                  <c:v>0.89495529038361765</c:v>
                </c:pt>
                <c:pt idx="717">
                  <c:v>0.25449385052034057</c:v>
                </c:pt>
                <c:pt idx="718">
                  <c:v>0.12317270424512468</c:v>
                </c:pt>
                <c:pt idx="719">
                  <c:v>0.65694143498031554</c:v>
                </c:pt>
                <c:pt idx="720">
                  <c:v>0.19043549913022248</c:v>
                </c:pt>
                <c:pt idx="721">
                  <c:v>2.2919400616473892E-2</c:v>
                </c:pt>
                <c:pt idx="722">
                  <c:v>0.21420941801202431</c:v>
                </c:pt>
                <c:pt idx="723">
                  <c:v>0.11072115237891782</c:v>
                </c:pt>
                <c:pt idx="724">
                  <c:v>0.90035706656086911</c:v>
                </c:pt>
                <c:pt idx="725">
                  <c:v>0.92364268929105497</c:v>
                </c:pt>
                <c:pt idx="726">
                  <c:v>0.68861964781640062</c:v>
                </c:pt>
                <c:pt idx="727">
                  <c:v>0.35554063539536729</c:v>
                </c:pt>
                <c:pt idx="728">
                  <c:v>0.57020783104953154</c:v>
                </c:pt>
                <c:pt idx="729">
                  <c:v>0.47651600695822016</c:v>
                </c:pt>
                <c:pt idx="730">
                  <c:v>1.6174810022278507E-2</c:v>
                </c:pt>
                <c:pt idx="731">
                  <c:v>0.3924680318613239</c:v>
                </c:pt>
                <c:pt idx="732">
                  <c:v>0.46479689931943724</c:v>
                </c:pt>
                <c:pt idx="733">
                  <c:v>0.58320871608630631</c:v>
                </c:pt>
                <c:pt idx="734">
                  <c:v>0.90484328745384079</c:v>
                </c:pt>
                <c:pt idx="735">
                  <c:v>0.36014893032624284</c:v>
                </c:pt>
                <c:pt idx="736">
                  <c:v>0.88161870174260693</c:v>
                </c:pt>
                <c:pt idx="737">
                  <c:v>0.71108127079073458</c:v>
                </c:pt>
                <c:pt idx="738">
                  <c:v>0.37278359324930571</c:v>
                </c:pt>
                <c:pt idx="739">
                  <c:v>0.4426099429303873</c:v>
                </c:pt>
                <c:pt idx="740">
                  <c:v>5.2308725241859193E-2</c:v>
                </c:pt>
                <c:pt idx="741">
                  <c:v>0.31385235145115514</c:v>
                </c:pt>
                <c:pt idx="742">
                  <c:v>0.11209448530533771</c:v>
                </c:pt>
                <c:pt idx="743">
                  <c:v>0.90392773216956079</c:v>
                </c:pt>
                <c:pt idx="744">
                  <c:v>0.66362498855555896</c:v>
                </c:pt>
                <c:pt idx="745">
                  <c:v>0.39469588305307168</c:v>
                </c:pt>
                <c:pt idx="746">
                  <c:v>0.42435987426374094</c:v>
                </c:pt>
                <c:pt idx="747">
                  <c:v>0.40638447218237861</c:v>
                </c:pt>
                <c:pt idx="748">
                  <c:v>0.52797021393475141</c:v>
                </c:pt>
                <c:pt idx="749">
                  <c:v>0.6181524094363231</c:v>
                </c:pt>
                <c:pt idx="750">
                  <c:v>0.50975066377758105</c:v>
                </c:pt>
                <c:pt idx="751">
                  <c:v>0.26786095767082735</c:v>
                </c:pt>
                <c:pt idx="752">
                  <c:v>0.43638416699728383</c:v>
                </c:pt>
                <c:pt idx="753">
                  <c:v>0.87716299935911135</c:v>
                </c:pt>
                <c:pt idx="754">
                  <c:v>0.39106418042542801</c:v>
                </c:pt>
                <c:pt idx="755">
                  <c:v>0.81493575853755307</c:v>
                </c:pt>
                <c:pt idx="756">
                  <c:v>0.72411267433698534</c:v>
                </c:pt>
                <c:pt idx="757">
                  <c:v>0.72142704550309766</c:v>
                </c:pt>
                <c:pt idx="758">
                  <c:v>0.25370036927396467</c:v>
                </c:pt>
                <c:pt idx="759">
                  <c:v>0.48802148503067111</c:v>
                </c:pt>
                <c:pt idx="760">
                  <c:v>0.58003479110080258</c:v>
                </c:pt>
                <c:pt idx="761">
                  <c:v>0.55330057679982914</c:v>
                </c:pt>
                <c:pt idx="762">
                  <c:v>0.48283333841975157</c:v>
                </c:pt>
                <c:pt idx="763">
                  <c:v>0.85476241340372938</c:v>
                </c:pt>
                <c:pt idx="764">
                  <c:v>0.63203833124790187</c:v>
                </c:pt>
                <c:pt idx="765">
                  <c:v>0.99761955626087218</c:v>
                </c:pt>
                <c:pt idx="766">
                  <c:v>0.17920468764305553</c:v>
                </c:pt>
                <c:pt idx="767">
                  <c:v>0.18753624073000275</c:v>
                </c:pt>
                <c:pt idx="768">
                  <c:v>0.83852656636249889</c:v>
                </c:pt>
                <c:pt idx="769">
                  <c:v>0.35132908108767968</c:v>
                </c:pt>
                <c:pt idx="770">
                  <c:v>0.43464461195715204</c:v>
                </c:pt>
                <c:pt idx="771">
                  <c:v>0.76226081118198186</c:v>
                </c:pt>
                <c:pt idx="772">
                  <c:v>0.21817682424390392</c:v>
                </c:pt>
                <c:pt idx="773">
                  <c:v>0.51997436445204015</c:v>
                </c:pt>
                <c:pt idx="774">
                  <c:v>0.14853358561967833</c:v>
                </c:pt>
                <c:pt idx="775">
                  <c:v>0.53355510116885896</c:v>
                </c:pt>
                <c:pt idx="776">
                  <c:v>0.44862208929715874</c:v>
                </c:pt>
                <c:pt idx="777">
                  <c:v>0.34604937894833221</c:v>
                </c:pt>
                <c:pt idx="778">
                  <c:v>0.6666768395031587</c:v>
                </c:pt>
                <c:pt idx="779">
                  <c:v>0.34339426862392042</c:v>
                </c:pt>
                <c:pt idx="780">
                  <c:v>0.8656575212866604</c:v>
                </c:pt>
                <c:pt idx="781">
                  <c:v>0.73689992980742824</c:v>
                </c:pt>
                <c:pt idx="782">
                  <c:v>2.3560289315469836E-2</c:v>
                </c:pt>
                <c:pt idx="783">
                  <c:v>0.3193151646473586</c:v>
                </c:pt>
                <c:pt idx="784">
                  <c:v>0.89391766106143378</c:v>
                </c:pt>
                <c:pt idx="785">
                  <c:v>0.49711600085451829</c:v>
                </c:pt>
                <c:pt idx="786">
                  <c:v>6.9429609057893596E-2</c:v>
                </c:pt>
                <c:pt idx="787">
                  <c:v>0.61803033539841912</c:v>
                </c:pt>
                <c:pt idx="788">
                  <c:v>0.44059572130497149</c:v>
                </c:pt>
                <c:pt idx="789">
                  <c:v>0.27265236365855894</c:v>
                </c:pt>
                <c:pt idx="790">
                  <c:v>0.26346629230628377</c:v>
                </c:pt>
                <c:pt idx="791">
                  <c:v>0.17123935666982024</c:v>
                </c:pt>
                <c:pt idx="792">
                  <c:v>0.28336436048463393</c:v>
                </c:pt>
                <c:pt idx="793">
                  <c:v>0.51234473708304085</c:v>
                </c:pt>
                <c:pt idx="794">
                  <c:v>0.41395306253242592</c:v>
                </c:pt>
                <c:pt idx="795">
                  <c:v>0.58955656605731377</c:v>
                </c:pt>
                <c:pt idx="796">
                  <c:v>0.98355052339243754</c:v>
                </c:pt>
                <c:pt idx="797">
                  <c:v>0.85326700643940545</c:v>
                </c:pt>
                <c:pt idx="798">
                  <c:v>0.14734336375011445</c:v>
                </c:pt>
                <c:pt idx="799">
                  <c:v>0.88088625751518301</c:v>
                </c:pt>
                <c:pt idx="800">
                  <c:v>0.35572374645222327</c:v>
                </c:pt>
                <c:pt idx="801">
                  <c:v>0.83611560411389507</c:v>
                </c:pt>
                <c:pt idx="802">
                  <c:v>0.38685262611774041</c:v>
                </c:pt>
                <c:pt idx="803">
                  <c:v>0.13943906979583118</c:v>
                </c:pt>
                <c:pt idx="804">
                  <c:v>2.5879696035645616E-2</c:v>
                </c:pt>
                <c:pt idx="805">
                  <c:v>0.35709707937864316</c:v>
                </c:pt>
                <c:pt idx="806">
                  <c:v>0.62196722312082275</c:v>
                </c:pt>
                <c:pt idx="807">
                  <c:v>0.86199530014954073</c:v>
                </c:pt>
                <c:pt idx="808">
                  <c:v>0.10797448652607808</c:v>
                </c:pt>
                <c:pt idx="809">
                  <c:v>0.76235236671040985</c:v>
                </c:pt>
                <c:pt idx="810">
                  <c:v>0.25055696279793693</c:v>
                </c:pt>
                <c:pt idx="811">
                  <c:v>4.6723838007751706E-2</c:v>
                </c:pt>
                <c:pt idx="812">
                  <c:v>0.53132724997711112</c:v>
                </c:pt>
                <c:pt idx="813">
                  <c:v>0.99090548417615287</c:v>
                </c:pt>
                <c:pt idx="814">
                  <c:v>0.77425458540604875</c:v>
                </c:pt>
                <c:pt idx="815">
                  <c:v>0.73250526444288466</c:v>
                </c:pt>
                <c:pt idx="816">
                  <c:v>4.9501022370067455E-2</c:v>
                </c:pt>
                <c:pt idx="817">
                  <c:v>0.67311624500259404</c:v>
                </c:pt>
                <c:pt idx="818">
                  <c:v>0.12851344340342419</c:v>
                </c:pt>
                <c:pt idx="819">
                  <c:v>0.13260292367320781</c:v>
                </c:pt>
                <c:pt idx="820">
                  <c:v>0.4621417889950255</c:v>
                </c:pt>
                <c:pt idx="821">
                  <c:v>0.59031952879421368</c:v>
                </c:pt>
                <c:pt idx="822">
                  <c:v>0.92910550248725854</c:v>
                </c:pt>
                <c:pt idx="823">
                  <c:v>2.1637623218482005E-2</c:v>
                </c:pt>
                <c:pt idx="824">
                  <c:v>8.0904568620868575E-2</c:v>
                </c:pt>
                <c:pt idx="825">
                  <c:v>0.40177617725150305</c:v>
                </c:pt>
                <c:pt idx="826">
                  <c:v>0.91531113620410776</c:v>
                </c:pt>
                <c:pt idx="827">
                  <c:v>0.5298013245033113</c:v>
                </c:pt>
                <c:pt idx="828">
                  <c:v>0.97076326792199474</c:v>
                </c:pt>
                <c:pt idx="829">
                  <c:v>4.5899838251899784E-2</c:v>
                </c:pt>
                <c:pt idx="830">
                  <c:v>0.37202063051240575</c:v>
                </c:pt>
                <c:pt idx="831">
                  <c:v>1.9531846064638212E-3</c:v>
                </c:pt>
                <c:pt idx="832">
                  <c:v>0.99795525986510814</c:v>
                </c:pt>
                <c:pt idx="833">
                  <c:v>0.72124393444624169</c:v>
                </c:pt>
                <c:pt idx="834">
                  <c:v>0.81163975951414535</c:v>
                </c:pt>
                <c:pt idx="835">
                  <c:v>7.733390301217688E-2</c:v>
                </c:pt>
                <c:pt idx="836">
                  <c:v>0.21594897305215613</c:v>
                </c:pt>
                <c:pt idx="837">
                  <c:v>0.85384685811944949</c:v>
                </c:pt>
                <c:pt idx="838">
                  <c:v>0.69667653431806387</c:v>
                </c:pt>
                <c:pt idx="839">
                  <c:v>0.64625995666371649</c:v>
                </c:pt>
                <c:pt idx="840">
                  <c:v>0.62041077913754694</c:v>
                </c:pt>
                <c:pt idx="841">
                  <c:v>0.95727408673360392</c:v>
                </c:pt>
                <c:pt idx="842">
                  <c:v>0.48484756004516738</c:v>
                </c:pt>
                <c:pt idx="843">
                  <c:v>0.83993041779839472</c:v>
                </c:pt>
                <c:pt idx="844">
                  <c:v>0.80449842829676199</c:v>
                </c:pt>
                <c:pt idx="845">
                  <c:v>0.79149754325998722</c:v>
                </c:pt>
                <c:pt idx="846">
                  <c:v>0.77764213995788445</c:v>
                </c:pt>
                <c:pt idx="847">
                  <c:v>0.70973845637379074</c:v>
                </c:pt>
                <c:pt idx="848">
                  <c:v>0.54603717154454179</c:v>
                </c:pt>
                <c:pt idx="849">
                  <c:v>0.72673726615192114</c:v>
                </c:pt>
                <c:pt idx="850">
                  <c:v>0.85369426557206951</c:v>
                </c:pt>
                <c:pt idx="851">
                  <c:v>0.75243385113071082</c:v>
                </c:pt>
                <c:pt idx="852">
                  <c:v>0.85738700521866507</c:v>
                </c:pt>
                <c:pt idx="853">
                  <c:v>0.71858882412182989</c:v>
                </c:pt>
                <c:pt idx="854">
                  <c:v>0.36802270577105012</c:v>
                </c:pt>
                <c:pt idx="855">
                  <c:v>0.93694875942258982</c:v>
                </c:pt>
                <c:pt idx="856">
                  <c:v>0.52949613940855134</c:v>
                </c:pt>
                <c:pt idx="857">
                  <c:v>0.80095828119754631</c:v>
                </c:pt>
                <c:pt idx="858">
                  <c:v>0.49879451887569809</c:v>
                </c:pt>
                <c:pt idx="859">
                  <c:v>0.38956877346110413</c:v>
                </c:pt>
                <c:pt idx="860">
                  <c:v>0.70131534775841553</c:v>
                </c:pt>
                <c:pt idx="861">
                  <c:v>0.50263985106967379</c:v>
                </c:pt>
                <c:pt idx="862">
                  <c:v>0.32218390453810236</c:v>
                </c:pt>
                <c:pt idx="863">
                  <c:v>0.39378032776879179</c:v>
                </c:pt>
                <c:pt idx="864">
                  <c:v>0.48609881893368329</c:v>
                </c:pt>
                <c:pt idx="865">
                  <c:v>9.3966490676595349E-2</c:v>
                </c:pt>
                <c:pt idx="866">
                  <c:v>0.69759208960234387</c:v>
                </c:pt>
                <c:pt idx="867">
                  <c:v>0.86037781914731282</c:v>
                </c:pt>
                <c:pt idx="868">
                  <c:v>0.18506424146244699</c:v>
                </c:pt>
                <c:pt idx="869">
                  <c:v>6.9948423718985561E-2</c:v>
                </c:pt>
                <c:pt idx="870">
                  <c:v>0.44325083162938322</c:v>
                </c:pt>
                <c:pt idx="871">
                  <c:v>0.92477187414166695</c:v>
                </c:pt>
                <c:pt idx="872">
                  <c:v>0.12091433454390089</c:v>
                </c:pt>
                <c:pt idx="873">
                  <c:v>0.77581102938932467</c:v>
                </c:pt>
                <c:pt idx="874">
                  <c:v>8.4597308267464227E-2</c:v>
                </c:pt>
                <c:pt idx="875">
                  <c:v>0.82763145847956787</c:v>
                </c:pt>
                <c:pt idx="876">
                  <c:v>0.62096011230811488</c:v>
                </c:pt>
                <c:pt idx="877">
                  <c:v>0.58134708700827054</c:v>
                </c:pt>
                <c:pt idx="878">
                  <c:v>0.95590075380718409</c:v>
                </c:pt>
                <c:pt idx="879">
                  <c:v>0.73473311563463239</c:v>
                </c:pt>
                <c:pt idx="880">
                  <c:v>0.1825922421948912</c:v>
                </c:pt>
                <c:pt idx="881">
                  <c:v>0.51066621906186105</c:v>
                </c:pt>
                <c:pt idx="882">
                  <c:v>0.93661305581835386</c:v>
                </c:pt>
                <c:pt idx="883">
                  <c:v>0.65254676961577196</c:v>
                </c:pt>
                <c:pt idx="884">
                  <c:v>0.3511764885402997</c:v>
                </c:pt>
                <c:pt idx="885">
                  <c:v>0.73287148655659662</c:v>
                </c:pt>
                <c:pt idx="886">
                  <c:v>0.60396130252998448</c:v>
                </c:pt>
                <c:pt idx="887">
                  <c:v>9.6011230811487186E-2</c:v>
                </c:pt>
                <c:pt idx="888">
                  <c:v>0.34223456526383256</c:v>
                </c:pt>
                <c:pt idx="889">
                  <c:v>0.82042909024323252</c:v>
                </c:pt>
                <c:pt idx="890">
                  <c:v>8.2644123661000407E-2</c:v>
                </c:pt>
                <c:pt idx="891">
                  <c:v>0.66423535874507889</c:v>
                </c:pt>
                <c:pt idx="892">
                  <c:v>0.93920712912381354</c:v>
                </c:pt>
                <c:pt idx="893">
                  <c:v>0.1815851313821833</c:v>
                </c:pt>
                <c:pt idx="894">
                  <c:v>0.37308877834406567</c:v>
                </c:pt>
                <c:pt idx="895">
                  <c:v>0.18063905758842738</c:v>
                </c:pt>
                <c:pt idx="896">
                  <c:v>0.69737846003601189</c:v>
                </c:pt>
                <c:pt idx="897">
                  <c:v>0.57267983031708736</c:v>
                </c:pt>
                <c:pt idx="898">
                  <c:v>0.43940549943540758</c:v>
                </c:pt>
                <c:pt idx="899">
                  <c:v>0.55418561357463303</c:v>
                </c:pt>
                <c:pt idx="900">
                  <c:v>0.98629718924527721</c:v>
                </c:pt>
                <c:pt idx="901">
                  <c:v>9.656056398205512E-2</c:v>
                </c:pt>
                <c:pt idx="902">
                  <c:v>0.8384655293435469</c:v>
                </c:pt>
                <c:pt idx="903">
                  <c:v>1.7029328287606428E-2</c:v>
                </c:pt>
                <c:pt idx="904">
                  <c:v>0.90078432569353317</c:v>
                </c:pt>
                <c:pt idx="905">
                  <c:v>0.59416486098818933</c:v>
                </c:pt>
                <c:pt idx="906">
                  <c:v>0.17117831965086824</c:v>
                </c:pt>
                <c:pt idx="907">
                  <c:v>0.89590136417737354</c:v>
                </c:pt>
                <c:pt idx="908">
                  <c:v>0.57277138584551535</c:v>
                </c:pt>
                <c:pt idx="909">
                  <c:v>0.83434553056428729</c:v>
                </c:pt>
                <c:pt idx="910">
                  <c:v>0.13733329264198738</c:v>
                </c:pt>
                <c:pt idx="911">
                  <c:v>0.5723136082033754</c:v>
                </c:pt>
                <c:pt idx="912">
                  <c:v>0.91448713644825586</c:v>
                </c:pt>
                <c:pt idx="913">
                  <c:v>0.40903958250679034</c:v>
                </c:pt>
                <c:pt idx="914">
                  <c:v>0.47511215552232428</c:v>
                </c:pt>
                <c:pt idx="915">
                  <c:v>0.78930021057771538</c:v>
                </c:pt>
                <c:pt idx="916">
                  <c:v>0.32459486678670613</c:v>
                </c:pt>
                <c:pt idx="917">
                  <c:v>0.73986022522659989</c:v>
                </c:pt>
                <c:pt idx="918">
                  <c:v>0.56675923947874385</c:v>
                </c:pt>
                <c:pt idx="919">
                  <c:v>0.9591967528305918</c:v>
                </c:pt>
                <c:pt idx="920">
                  <c:v>0.38859218115787225</c:v>
                </c:pt>
                <c:pt idx="921">
                  <c:v>0.10205389568773462</c:v>
                </c:pt>
                <c:pt idx="922">
                  <c:v>0.99136326181829282</c:v>
                </c:pt>
                <c:pt idx="923">
                  <c:v>0.63039033173619796</c:v>
                </c:pt>
                <c:pt idx="924">
                  <c:v>0.10449537644581437</c:v>
                </c:pt>
                <c:pt idx="925">
                  <c:v>7.2359385967589326E-2</c:v>
                </c:pt>
                <c:pt idx="926">
                  <c:v>0.80626850184636978</c:v>
                </c:pt>
                <c:pt idx="927">
                  <c:v>0.76805932798242138</c:v>
                </c:pt>
                <c:pt idx="928">
                  <c:v>0.66524246955778676</c:v>
                </c:pt>
                <c:pt idx="929">
                  <c:v>0.30698568681905575</c:v>
                </c:pt>
                <c:pt idx="930">
                  <c:v>0.83819086275826293</c:v>
                </c:pt>
                <c:pt idx="931">
                  <c:v>5.7069612720114758E-3</c:v>
                </c:pt>
                <c:pt idx="932">
                  <c:v>0.32874538407544174</c:v>
                </c:pt>
                <c:pt idx="933">
                  <c:v>5.5940427869502853E-2</c:v>
                </c:pt>
                <c:pt idx="934">
                  <c:v>0.76543473616748559</c:v>
                </c:pt>
                <c:pt idx="935">
                  <c:v>0.52394177068391978</c:v>
                </c:pt>
                <c:pt idx="936">
                  <c:v>0.40751365703299053</c:v>
                </c:pt>
                <c:pt idx="937">
                  <c:v>0.31983397930845059</c:v>
                </c:pt>
                <c:pt idx="938">
                  <c:v>0.27219458601641894</c:v>
                </c:pt>
                <c:pt idx="939">
                  <c:v>0.71190527054658648</c:v>
                </c:pt>
                <c:pt idx="940">
                  <c:v>0.9082308420056765</c:v>
                </c:pt>
                <c:pt idx="941">
                  <c:v>5.5543687246314886E-2</c:v>
                </c:pt>
                <c:pt idx="942">
                  <c:v>5.6611835077974786E-2</c:v>
                </c:pt>
                <c:pt idx="943">
                  <c:v>0.26868495742667931</c:v>
                </c:pt>
                <c:pt idx="944">
                  <c:v>0.85329752494888145</c:v>
                </c:pt>
                <c:pt idx="945">
                  <c:v>0.33704641865291296</c:v>
                </c:pt>
                <c:pt idx="946">
                  <c:v>0.97344889675588242</c:v>
                </c:pt>
                <c:pt idx="947">
                  <c:v>0.90020447401348913</c:v>
                </c:pt>
                <c:pt idx="948">
                  <c:v>0.81499679555650506</c:v>
                </c:pt>
                <c:pt idx="949">
                  <c:v>0.8775597399822993</c:v>
                </c:pt>
                <c:pt idx="950">
                  <c:v>9.2654194769127479E-2</c:v>
                </c:pt>
                <c:pt idx="951">
                  <c:v>0.26783043916135135</c:v>
                </c:pt>
                <c:pt idx="952">
                  <c:v>0.69414349803155617</c:v>
                </c:pt>
                <c:pt idx="953">
                  <c:v>0.81896420178838469</c:v>
                </c:pt>
                <c:pt idx="954">
                  <c:v>0.95562608722190012</c:v>
                </c:pt>
                <c:pt idx="955">
                  <c:v>0.34589678640095212</c:v>
                </c:pt>
                <c:pt idx="956">
                  <c:v>0.27372051149021881</c:v>
                </c:pt>
                <c:pt idx="957">
                  <c:v>0.19565416425061799</c:v>
                </c:pt>
                <c:pt idx="958">
                  <c:v>0.80941190832239751</c:v>
                </c:pt>
                <c:pt idx="959">
                  <c:v>0.84276863917966249</c:v>
                </c:pt>
                <c:pt idx="960">
                  <c:v>0.57942442091128266</c:v>
                </c:pt>
                <c:pt idx="961">
                  <c:v>0.97790459913937799</c:v>
                </c:pt>
                <c:pt idx="962">
                  <c:v>0.10113834040345469</c:v>
                </c:pt>
                <c:pt idx="963">
                  <c:v>0.84316537980285045</c:v>
                </c:pt>
                <c:pt idx="964">
                  <c:v>0.57799005096591083</c:v>
                </c:pt>
                <c:pt idx="965">
                  <c:v>0.10168767357402264</c:v>
                </c:pt>
                <c:pt idx="966">
                  <c:v>1.3367107150486772E-2</c:v>
                </c:pt>
                <c:pt idx="967">
                  <c:v>0.32752464369640188</c:v>
                </c:pt>
                <c:pt idx="968">
                  <c:v>0.24485000152592548</c:v>
                </c:pt>
                <c:pt idx="969">
                  <c:v>0.39155247657704395</c:v>
                </c:pt>
                <c:pt idx="970">
                  <c:v>0.32145146031067845</c:v>
                </c:pt>
                <c:pt idx="971">
                  <c:v>0.72420422986541333</c:v>
                </c:pt>
                <c:pt idx="972">
                  <c:v>0.53184606463820305</c:v>
                </c:pt>
                <c:pt idx="973">
                  <c:v>0.78139591662343211</c:v>
                </c:pt>
                <c:pt idx="974">
                  <c:v>0.35462508011108734</c:v>
                </c:pt>
                <c:pt idx="975">
                  <c:v>0.15121921445356609</c:v>
                </c:pt>
                <c:pt idx="976">
                  <c:v>0.26679280983916748</c:v>
                </c:pt>
                <c:pt idx="977">
                  <c:v>0.74132511368144782</c:v>
                </c:pt>
                <c:pt idx="978">
                  <c:v>0.34192938016907254</c:v>
                </c:pt>
                <c:pt idx="979">
                  <c:v>0.50401318399609363</c:v>
                </c:pt>
                <c:pt idx="980">
                  <c:v>0.51600695822016052</c:v>
                </c:pt>
                <c:pt idx="981">
                  <c:v>0.315042573320719</c:v>
                </c:pt>
                <c:pt idx="982">
                  <c:v>0.92410046693319503</c:v>
                </c:pt>
                <c:pt idx="983">
                  <c:v>4.4709616382335886E-2</c:v>
                </c:pt>
                <c:pt idx="984">
                  <c:v>0.44080935087130346</c:v>
                </c:pt>
                <c:pt idx="985">
                  <c:v>0.67546617023224587</c:v>
                </c:pt>
                <c:pt idx="986">
                  <c:v>0.11236915189062165</c:v>
                </c:pt>
                <c:pt idx="987">
                  <c:v>0.64989165929136017</c:v>
                </c:pt>
                <c:pt idx="988">
                  <c:v>0.1794488357188635</c:v>
                </c:pt>
                <c:pt idx="989">
                  <c:v>0.60347300637836843</c:v>
                </c:pt>
                <c:pt idx="990">
                  <c:v>0.47651600695822016</c:v>
                </c:pt>
                <c:pt idx="991">
                  <c:v>0.37275307473982972</c:v>
                </c:pt>
                <c:pt idx="992">
                  <c:v>0.78579058198797569</c:v>
                </c:pt>
                <c:pt idx="993">
                  <c:v>0.79744865260780662</c:v>
                </c:pt>
                <c:pt idx="994">
                  <c:v>0.8418530838953826</c:v>
                </c:pt>
                <c:pt idx="995">
                  <c:v>0.47590563676870024</c:v>
                </c:pt>
                <c:pt idx="996">
                  <c:v>0.75572985015411842</c:v>
                </c:pt>
                <c:pt idx="997">
                  <c:v>0.41862239448225347</c:v>
                </c:pt>
                <c:pt idx="998">
                  <c:v>0.27793206579790641</c:v>
                </c:pt>
                <c:pt idx="999">
                  <c:v>0.59114352855006558</c:v>
                </c:pt>
                <c:pt idx="1000">
                  <c:v>0.17282631916257213</c:v>
                </c:pt>
                <c:pt idx="1001">
                  <c:v>0.77925962096011225</c:v>
                </c:pt>
                <c:pt idx="1002">
                  <c:v>0.6590472121341594</c:v>
                </c:pt>
                <c:pt idx="1003">
                  <c:v>0.16248054445020904</c:v>
                </c:pt>
                <c:pt idx="1004">
                  <c:v>4.3946653645435957E-3</c:v>
                </c:pt>
                <c:pt idx="1005">
                  <c:v>0.57951597643971064</c:v>
                </c:pt>
                <c:pt idx="1006">
                  <c:v>0.57841731009857478</c:v>
                </c:pt>
                <c:pt idx="1007">
                  <c:v>0.82857753227332376</c:v>
                </c:pt>
                <c:pt idx="1008">
                  <c:v>0.5790887173070467</c:v>
                </c:pt>
                <c:pt idx="1009">
                  <c:v>0.59956663716544079</c:v>
                </c:pt>
                <c:pt idx="1010">
                  <c:v>0.89730521561326948</c:v>
                </c:pt>
                <c:pt idx="1011">
                  <c:v>0.90087588122196116</c:v>
                </c:pt>
                <c:pt idx="1012">
                  <c:v>0.77745902890102847</c:v>
                </c:pt>
                <c:pt idx="1013">
                  <c:v>0.25287636951811271</c:v>
                </c:pt>
                <c:pt idx="1014">
                  <c:v>0.70970793786431474</c:v>
                </c:pt>
                <c:pt idx="1015">
                  <c:v>0.59373760185552538</c:v>
                </c:pt>
                <c:pt idx="1016">
                  <c:v>0.96670430616168701</c:v>
                </c:pt>
                <c:pt idx="1017">
                  <c:v>0.90716269417401652</c:v>
                </c:pt>
                <c:pt idx="1018">
                  <c:v>4.8829615161595525E-3</c:v>
                </c:pt>
                <c:pt idx="1019">
                  <c:v>0.16272469252601704</c:v>
                </c:pt>
                <c:pt idx="1020">
                  <c:v>0.21063875240333263</c:v>
                </c:pt>
                <c:pt idx="1021">
                  <c:v>0.37907040620136112</c:v>
                </c:pt>
                <c:pt idx="1022">
                  <c:v>0.8078554643391217</c:v>
                </c:pt>
                <c:pt idx="1023">
                  <c:v>0.60737937559129607</c:v>
                </c:pt>
                <c:pt idx="1024">
                  <c:v>0.78661458174382759</c:v>
                </c:pt>
                <c:pt idx="1025">
                  <c:v>0.50910977507858513</c:v>
                </c:pt>
                <c:pt idx="1026">
                  <c:v>8.0050050355540636E-2</c:v>
                </c:pt>
                <c:pt idx="1027">
                  <c:v>9.4668416394543306E-2</c:v>
                </c:pt>
                <c:pt idx="1028">
                  <c:v>0.5399334696493423</c:v>
                </c:pt>
                <c:pt idx="1029">
                  <c:v>0.22275460066530348</c:v>
                </c:pt>
                <c:pt idx="1030">
                  <c:v>0.16086306344798121</c:v>
                </c:pt>
                <c:pt idx="1031">
                  <c:v>0.75939207129123809</c:v>
                </c:pt>
                <c:pt idx="1032">
                  <c:v>0.10769981994079411</c:v>
                </c:pt>
                <c:pt idx="1033">
                  <c:v>0.98416089358195746</c:v>
                </c:pt>
                <c:pt idx="1034">
                  <c:v>3.1281472212897114E-2</c:v>
                </c:pt>
                <c:pt idx="1035">
                  <c:v>3.7720877712332533E-2</c:v>
                </c:pt>
                <c:pt idx="1036">
                  <c:v>0.54301583910641804</c:v>
                </c:pt>
                <c:pt idx="1037">
                  <c:v>4.8707541123691515E-2</c:v>
                </c:pt>
                <c:pt idx="1038">
                  <c:v>0.18143253883480331</c:v>
                </c:pt>
                <c:pt idx="1039">
                  <c:v>0.19058809167760246</c:v>
                </c:pt>
                <c:pt idx="1040">
                  <c:v>0.37052522354808193</c:v>
                </c:pt>
                <c:pt idx="1041">
                  <c:v>0.42081972716452526</c:v>
                </c:pt>
                <c:pt idx="1042">
                  <c:v>0.36237678151799069</c:v>
                </c:pt>
                <c:pt idx="1043">
                  <c:v>0.17200231940672017</c:v>
                </c:pt>
                <c:pt idx="1044">
                  <c:v>0.6054567094943083</c:v>
                </c:pt>
                <c:pt idx="1045">
                  <c:v>0.92269661549729909</c:v>
                </c:pt>
                <c:pt idx="1046">
                  <c:v>4.4557023834955892E-3</c:v>
                </c:pt>
                <c:pt idx="1047">
                  <c:v>0.50010681478316599</c:v>
                </c:pt>
                <c:pt idx="1048">
                  <c:v>0.76619769890438549</c:v>
                </c:pt>
                <c:pt idx="1049">
                  <c:v>0.28089236121707817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0-4FC5-A03F-21814F435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751136"/>
        <c:axId val="1906744896"/>
      </c:scatterChart>
      <c:valAx>
        <c:axId val="171375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6744896"/>
        <c:crosses val="autoZero"/>
        <c:crossBetween val="midCat"/>
      </c:valAx>
      <c:valAx>
        <c:axId val="19067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375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507347904952566"/>
          <c:y val="0.17049230230227355"/>
          <c:w val="0.78767299443395267"/>
          <c:h val="0.47585936006795176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</c:v>
          </c:tx>
          <c:invertIfNegative val="0"/>
          <c:cat>
            <c:numRef>
              <c:f>'1.2.4 Бета-распределение'!$BE$15:$BE$31</c:f>
              <c:numCache>
                <c:formatCode>0.000</c:formatCode>
                <c:ptCount val="17"/>
                <c:pt idx="0">
                  <c:v>1.9531846064638212E-3</c:v>
                </c:pt>
                <c:pt idx="1">
                  <c:v>6.4304406872768338E-2</c:v>
                </c:pt>
                <c:pt idx="2">
                  <c:v>0.12665562913907286</c:v>
                </c:pt>
                <c:pt idx="3">
                  <c:v>0.18900685140537737</c:v>
                </c:pt>
                <c:pt idx="4">
                  <c:v>0.25135807367168189</c:v>
                </c:pt>
                <c:pt idx="5">
                  <c:v>0.31370929593798641</c:v>
                </c:pt>
                <c:pt idx="6">
                  <c:v>0.37606051820429093</c:v>
                </c:pt>
                <c:pt idx="7">
                  <c:v>0.43841174047059545</c:v>
                </c:pt>
                <c:pt idx="8">
                  <c:v>0.50076296273689991</c:v>
                </c:pt>
                <c:pt idx="9">
                  <c:v>0.56311418500320443</c:v>
                </c:pt>
                <c:pt idx="10">
                  <c:v>0.62546540726950894</c:v>
                </c:pt>
                <c:pt idx="11">
                  <c:v>0.68781662953581346</c:v>
                </c:pt>
                <c:pt idx="12">
                  <c:v>0.75016785180211798</c:v>
                </c:pt>
                <c:pt idx="13">
                  <c:v>0.8125190740684225</c:v>
                </c:pt>
                <c:pt idx="14">
                  <c:v>0.87487029633472702</c:v>
                </c:pt>
                <c:pt idx="15">
                  <c:v>0.93722151860103153</c:v>
                </c:pt>
                <c:pt idx="16">
                  <c:v>0.99957274086733605</c:v>
                </c:pt>
              </c:numCache>
            </c:numRef>
          </c:cat>
          <c:val>
            <c:numRef>
              <c:f>'1.2.4 Бета-распределение'!$BH$15:$BH$31</c:f>
              <c:numCache>
                <c:formatCode>General</c:formatCode>
                <c:ptCount val="17"/>
                <c:pt idx="0">
                  <c:v>7.0721357850070724E-4</c:v>
                </c:pt>
                <c:pt idx="1">
                  <c:v>4.1018387553041019E-2</c:v>
                </c:pt>
                <c:pt idx="2">
                  <c:v>5.8698727015558699E-2</c:v>
                </c:pt>
                <c:pt idx="3">
                  <c:v>4.1018387553041019E-2</c:v>
                </c:pt>
                <c:pt idx="4">
                  <c:v>4.4554455445544552E-2</c:v>
                </c:pt>
                <c:pt idx="5">
                  <c:v>3.818953323903819E-2</c:v>
                </c:pt>
                <c:pt idx="6">
                  <c:v>5.3748231966053751E-2</c:v>
                </c:pt>
                <c:pt idx="7">
                  <c:v>4.3140028288543138E-2</c:v>
                </c:pt>
                <c:pt idx="8">
                  <c:v>5.5162659123055166E-2</c:v>
                </c:pt>
                <c:pt idx="9">
                  <c:v>4.0311173974540308E-2</c:v>
                </c:pt>
                <c:pt idx="10">
                  <c:v>5.3041018387553041E-2</c:v>
                </c:pt>
                <c:pt idx="11">
                  <c:v>4.3847241867043849E-2</c:v>
                </c:pt>
                <c:pt idx="12">
                  <c:v>3.9603960396039604E-2</c:v>
                </c:pt>
                <c:pt idx="13">
                  <c:v>4.1725601131541723E-2</c:v>
                </c:pt>
                <c:pt idx="14">
                  <c:v>4.8090523338048093E-2</c:v>
                </c:pt>
                <c:pt idx="15">
                  <c:v>5.3041018387553041E-2</c:v>
                </c:pt>
                <c:pt idx="16">
                  <c:v>4.6676096181046678E-2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D-4AA0-8057-7D0AF10DA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509408"/>
        <c:axId val="1795345504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'1.2.4 Бета-распределение'!$BL$15:$BL$31</c:f>
              <c:numCache>
                <c:formatCode>General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5.8823529411764705E-2</c:v>
                </c:pt>
                <c:pt idx="3">
                  <c:v>5.8823529411764705E-2</c:v>
                </c:pt>
                <c:pt idx="4">
                  <c:v>5.8823529411764705E-2</c:v>
                </c:pt>
                <c:pt idx="5">
                  <c:v>5.8823529411764705E-2</c:v>
                </c:pt>
                <c:pt idx="6">
                  <c:v>5.8823529411764705E-2</c:v>
                </c:pt>
                <c:pt idx="7">
                  <c:v>5.8823529411764705E-2</c:v>
                </c:pt>
                <c:pt idx="8">
                  <c:v>5.8823529411764705E-2</c:v>
                </c:pt>
                <c:pt idx="9">
                  <c:v>5.8823529411764705E-2</c:v>
                </c:pt>
                <c:pt idx="10">
                  <c:v>5.8823529411764705E-2</c:v>
                </c:pt>
                <c:pt idx="11">
                  <c:v>5.8823529411764705E-2</c:v>
                </c:pt>
                <c:pt idx="12">
                  <c:v>5.8823529411764705E-2</c:v>
                </c:pt>
                <c:pt idx="13">
                  <c:v>5.8823529411764705E-2</c:v>
                </c:pt>
                <c:pt idx="14">
                  <c:v>5.8823529411764705E-2</c:v>
                </c:pt>
                <c:pt idx="15">
                  <c:v>5.8823529411764705E-2</c:v>
                </c:pt>
                <c:pt idx="16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D-4AA0-8057-7D0AF10DA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509408"/>
        <c:axId val="1795345504"/>
      </c:lineChart>
      <c:catAx>
        <c:axId val="209450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795345504"/>
        <c:crosses val="autoZero"/>
        <c:auto val="1"/>
        <c:lblAlgn val="ctr"/>
        <c:lblOffset val="100"/>
        <c:noMultiLvlLbl val="0"/>
      </c:catAx>
      <c:valAx>
        <c:axId val="1795345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450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2886441036560782E-2"/>
          <c:y val="0.8823613904992651"/>
          <c:w val="0.28877707153102655"/>
          <c:h val="0.1173067324474096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Бета-распределение'!$AY$12:$AY$1061</c:f>
              <c:numCache>
                <c:formatCode>General</c:formatCode>
                <c:ptCount val="105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</c:numCache>
            </c:numRef>
          </c:xVal>
          <c:yVal>
            <c:numRef>
              <c:f>'1.2.4 Бета-распределение'!$BK$15:$BK$31</c:f>
              <c:numCache>
                <c:formatCode>General</c:formatCode>
                <c:ptCount val="17"/>
                <c:pt idx="0">
                  <c:v>7.0721357850070724E-4</c:v>
                </c:pt>
                <c:pt idx="1">
                  <c:v>4.1725601131541723E-2</c:v>
                </c:pt>
                <c:pt idx="2">
                  <c:v>0.10042432814710042</c:v>
                </c:pt>
                <c:pt idx="3">
                  <c:v>0.14144271570014144</c:v>
                </c:pt>
                <c:pt idx="4">
                  <c:v>0.18599717114568598</c:v>
                </c:pt>
                <c:pt idx="5">
                  <c:v>0.22418670438472416</c:v>
                </c:pt>
                <c:pt idx="6">
                  <c:v>0.27793493635077793</c:v>
                </c:pt>
                <c:pt idx="7">
                  <c:v>0.32107496463932106</c:v>
                </c:pt>
                <c:pt idx="8">
                  <c:v>0.37623762376237624</c:v>
                </c:pt>
                <c:pt idx="9">
                  <c:v>0.41654879773691655</c:v>
                </c:pt>
                <c:pt idx="10">
                  <c:v>0.46958981612446959</c:v>
                </c:pt>
                <c:pt idx="11">
                  <c:v>0.5134370579915134</c:v>
                </c:pt>
                <c:pt idx="12">
                  <c:v>0.55304101838755304</c:v>
                </c:pt>
                <c:pt idx="13">
                  <c:v>0.59476661951909482</c:v>
                </c:pt>
                <c:pt idx="14">
                  <c:v>0.6428571428571429</c:v>
                </c:pt>
                <c:pt idx="15">
                  <c:v>0.69589816124469595</c:v>
                </c:pt>
                <c:pt idx="16">
                  <c:v>0.74257425742574257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D-4AF6-965C-0C0A8CC13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194800"/>
        <c:axId val="1795292256"/>
      </c:scatterChart>
      <c:valAx>
        <c:axId val="190019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292256"/>
        <c:crosses val="autoZero"/>
        <c:crossBetween val="midCat"/>
      </c:valAx>
      <c:valAx>
        <c:axId val="17952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019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'1.2.4 Бета-распределение'!$H$15:$H$30</c:f>
              <c:strCache>
                <c:ptCount val="16"/>
                <c:pt idx="0">
                  <c:v>0,167</c:v>
                </c:pt>
                <c:pt idx="1">
                  <c:v>0,217</c:v>
                </c:pt>
                <c:pt idx="2">
                  <c:v>0,268</c:v>
                </c:pt>
                <c:pt idx="3">
                  <c:v>0,318</c:v>
                </c:pt>
                <c:pt idx="4">
                  <c:v>0,368</c:v>
                </c:pt>
                <c:pt idx="5">
                  <c:v>0,418</c:v>
                </c:pt>
                <c:pt idx="6">
                  <c:v>0,469</c:v>
                </c:pt>
                <c:pt idx="7">
                  <c:v>0,519</c:v>
                </c:pt>
                <c:pt idx="8">
                  <c:v>0,569</c:v>
                </c:pt>
                <c:pt idx="9">
                  <c:v>0,620</c:v>
                </c:pt>
                <c:pt idx="10">
                  <c:v>0,670</c:v>
                </c:pt>
                <c:pt idx="11">
                  <c:v>0,720</c:v>
                </c:pt>
                <c:pt idx="12">
                  <c:v>0,771</c:v>
                </c:pt>
                <c:pt idx="13">
                  <c:v>0,821</c:v>
                </c:pt>
                <c:pt idx="14">
                  <c:v>0,871</c:v>
                </c:pt>
                <c:pt idx="15">
                  <c:v>Еще</c:v>
                </c:pt>
              </c:strCache>
            </c:strRef>
          </c:cat>
          <c:val>
            <c:numRef>
              <c:f>'1.2.4 Бета-распределение'!$I$15:$I$30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6</c:v>
                </c:pt>
                <c:pt idx="4">
                  <c:v>12</c:v>
                </c:pt>
                <c:pt idx="5">
                  <c:v>12</c:v>
                </c:pt>
                <c:pt idx="6">
                  <c:v>10</c:v>
                </c:pt>
                <c:pt idx="7">
                  <c:v>10</c:v>
                </c:pt>
                <c:pt idx="8">
                  <c:v>6</c:v>
                </c:pt>
                <c:pt idx="9">
                  <c:v>6</c:v>
                </c:pt>
                <c:pt idx="10">
                  <c:v>11</c:v>
                </c:pt>
                <c:pt idx="11">
                  <c:v>9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9-43C0-9AE3-CCEA338B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6593519"/>
        <c:axId val="1598994671"/>
      </c:barChart>
      <c:catAx>
        <c:axId val="1356593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8994671"/>
        <c:crosses val="autoZero"/>
        <c:auto val="1"/>
        <c:lblAlgn val="ctr"/>
        <c:lblOffset val="100"/>
        <c:noMultiLvlLbl val="0"/>
      </c:catAx>
      <c:valAx>
        <c:axId val="1598994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659351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59569116360455"/>
          <c:y val="0.27381679790026248"/>
          <c:w val="0.57966152668416449"/>
          <c:h val="0.32766719160104985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'1.2.4 Бета-распределение'!$Y$15:$Y$31</c:f>
              <c:strCache>
                <c:ptCount val="17"/>
                <c:pt idx="0">
                  <c:v>0,029</c:v>
                </c:pt>
                <c:pt idx="1">
                  <c:v>0,091</c:v>
                </c:pt>
                <c:pt idx="2">
                  <c:v>0,152</c:v>
                </c:pt>
                <c:pt idx="3">
                  <c:v>0,214</c:v>
                </c:pt>
                <c:pt idx="4">
                  <c:v>0,276</c:v>
                </c:pt>
                <c:pt idx="5">
                  <c:v>0,338</c:v>
                </c:pt>
                <c:pt idx="6">
                  <c:v>0,399</c:v>
                </c:pt>
                <c:pt idx="7">
                  <c:v>0,461</c:v>
                </c:pt>
                <c:pt idx="8">
                  <c:v>0,523</c:v>
                </c:pt>
                <c:pt idx="9">
                  <c:v>0,585</c:v>
                </c:pt>
                <c:pt idx="10">
                  <c:v>0,646</c:v>
                </c:pt>
                <c:pt idx="11">
                  <c:v>0,708</c:v>
                </c:pt>
                <c:pt idx="12">
                  <c:v>0,770</c:v>
                </c:pt>
                <c:pt idx="13">
                  <c:v>0,832</c:v>
                </c:pt>
                <c:pt idx="14">
                  <c:v>0,893</c:v>
                </c:pt>
                <c:pt idx="15">
                  <c:v>0,955</c:v>
                </c:pt>
                <c:pt idx="16">
                  <c:v>Еще</c:v>
                </c:pt>
              </c:strCache>
            </c:strRef>
          </c:cat>
          <c:val>
            <c:numRef>
              <c:f>'1.2.4 Бета-распределение'!$Z$15:$Z$31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21</c:v>
                </c:pt>
                <c:pt idx="3">
                  <c:v>36</c:v>
                </c:pt>
                <c:pt idx="4">
                  <c:v>53</c:v>
                </c:pt>
                <c:pt idx="5">
                  <c:v>93</c:v>
                </c:pt>
                <c:pt idx="6">
                  <c:v>108</c:v>
                </c:pt>
                <c:pt idx="7">
                  <c:v>133</c:v>
                </c:pt>
                <c:pt idx="8">
                  <c:v>146</c:v>
                </c:pt>
                <c:pt idx="9">
                  <c:v>125</c:v>
                </c:pt>
                <c:pt idx="10">
                  <c:v>107</c:v>
                </c:pt>
                <c:pt idx="11">
                  <c:v>99</c:v>
                </c:pt>
                <c:pt idx="12">
                  <c:v>66</c:v>
                </c:pt>
                <c:pt idx="13">
                  <c:v>36</c:v>
                </c:pt>
                <c:pt idx="14">
                  <c:v>20</c:v>
                </c:pt>
                <c:pt idx="15">
                  <c:v>4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8-46F4-B558-8AD9F674A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8994191"/>
        <c:axId val="1598993231"/>
      </c:barChart>
      <c:catAx>
        <c:axId val="1598994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8993231"/>
        <c:crosses val="autoZero"/>
        <c:auto val="1"/>
        <c:lblAlgn val="ctr"/>
        <c:lblOffset val="100"/>
        <c:noMultiLvlLbl val="0"/>
      </c:catAx>
      <c:valAx>
        <c:axId val="1598993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899419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'1.2.4 Бета-распределение'!$AO$15:$AO$31</c:f>
              <c:strCache>
                <c:ptCount val="17"/>
                <c:pt idx="0">
                  <c:v>0,018</c:v>
                </c:pt>
                <c:pt idx="1">
                  <c:v>0,053</c:v>
                </c:pt>
                <c:pt idx="2">
                  <c:v>0,088</c:v>
                </c:pt>
                <c:pt idx="3">
                  <c:v>0,123</c:v>
                </c:pt>
                <c:pt idx="4">
                  <c:v>0,158</c:v>
                </c:pt>
                <c:pt idx="5">
                  <c:v>0,194</c:v>
                </c:pt>
                <c:pt idx="6">
                  <c:v>0,229</c:v>
                </c:pt>
                <c:pt idx="7">
                  <c:v>0,264</c:v>
                </c:pt>
                <c:pt idx="8">
                  <c:v>0,299</c:v>
                </c:pt>
                <c:pt idx="9">
                  <c:v>0,334</c:v>
                </c:pt>
                <c:pt idx="10">
                  <c:v>0,369</c:v>
                </c:pt>
                <c:pt idx="11">
                  <c:v>0,405</c:v>
                </c:pt>
                <c:pt idx="12">
                  <c:v>0,440</c:v>
                </c:pt>
                <c:pt idx="13">
                  <c:v>0,475</c:v>
                </c:pt>
                <c:pt idx="14">
                  <c:v>0,510</c:v>
                </c:pt>
                <c:pt idx="15">
                  <c:v>0,545</c:v>
                </c:pt>
                <c:pt idx="16">
                  <c:v>Еще</c:v>
                </c:pt>
              </c:strCache>
            </c:strRef>
          </c:cat>
          <c:val>
            <c:numRef>
              <c:f>'1.2.4 Бета-распределение'!$AP$15:$AP$31</c:f>
              <c:numCache>
                <c:formatCode>General</c:formatCode>
                <c:ptCount val="17"/>
                <c:pt idx="0">
                  <c:v>1</c:v>
                </c:pt>
                <c:pt idx="1">
                  <c:v>14</c:v>
                </c:pt>
                <c:pt idx="2">
                  <c:v>72</c:v>
                </c:pt>
                <c:pt idx="3">
                  <c:v>104</c:v>
                </c:pt>
                <c:pt idx="4">
                  <c:v>135</c:v>
                </c:pt>
                <c:pt idx="5">
                  <c:v>154</c:v>
                </c:pt>
                <c:pt idx="6">
                  <c:v>138</c:v>
                </c:pt>
                <c:pt idx="7">
                  <c:v>119</c:v>
                </c:pt>
                <c:pt idx="8">
                  <c:v>104</c:v>
                </c:pt>
                <c:pt idx="9">
                  <c:v>74</c:v>
                </c:pt>
                <c:pt idx="10">
                  <c:v>53</c:v>
                </c:pt>
                <c:pt idx="11">
                  <c:v>43</c:v>
                </c:pt>
                <c:pt idx="12">
                  <c:v>17</c:v>
                </c:pt>
                <c:pt idx="13">
                  <c:v>11</c:v>
                </c:pt>
                <c:pt idx="14">
                  <c:v>8</c:v>
                </c:pt>
                <c:pt idx="15">
                  <c:v>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B-4B51-A088-C0DFC94EC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08927"/>
        <c:axId val="132909407"/>
      </c:barChart>
      <c:catAx>
        <c:axId val="13290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909407"/>
        <c:crosses val="autoZero"/>
        <c:auto val="1"/>
        <c:lblAlgn val="ctr"/>
        <c:lblOffset val="100"/>
        <c:noMultiLvlLbl val="0"/>
      </c:catAx>
      <c:valAx>
        <c:axId val="132909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90892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'1.2.4 Бета-распределение'!$BE$15:$BE$32</c:f>
              <c:strCache>
                <c:ptCount val="18"/>
                <c:pt idx="0">
                  <c:v>0,002</c:v>
                </c:pt>
                <c:pt idx="1">
                  <c:v>0,064</c:v>
                </c:pt>
                <c:pt idx="2">
                  <c:v>0,127</c:v>
                </c:pt>
                <c:pt idx="3">
                  <c:v>0,189</c:v>
                </c:pt>
                <c:pt idx="4">
                  <c:v>0,251</c:v>
                </c:pt>
                <c:pt idx="5">
                  <c:v>0,314</c:v>
                </c:pt>
                <c:pt idx="6">
                  <c:v>0,376</c:v>
                </c:pt>
                <c:pt idx="7">
                  <c:v>0,438</c:v>
                </c:pt>
                <c:pt idx="8">
                  <c:v>0,501</c:v>
                </c:pt>
                <c:pt idx="9">
                  <c:v>0,563</c:v>
                </c:pt>
                <c:pt idx="10">
                  <c:v>0,625</c:v>
                </c:pt>
                <c:pt idx="11">
                  <c:v>0,688</c:v>
                </c:pt>
                <c:pt idx="12">
                  <c:v>0,750</c:v>
                </c:pt>
                <c:pt idx="13">
                  <c:v>0,813</c:v>
                </c:pt>
                <c:pt idx="14">
                  <c:v>0,875</c:v>
                </c:pt>
                <c:pt idx="15">
                  <c:v>0,937</c:v>
                </c:pt>
                <c:pt idx="16">
                  <c:v>1,000</c:v>
                </c:pt>
                <c:pt idx="17">
                  <c:v>Еще</c:v>
                </c:pt>
              </c:strCache>
            </c:strRef>
          </c:cat>
          <c:val>
            <c:numRef>
              <c:f>'1.2.4 Бета-распределение'!$BF$15:$BF$32</c:f>
              <c:numCache>
                <c:formatCode>General</c:formatCode>
                <c:ptCount val="18"/>
                <c:pt idx="0">
                  <c:v>1</c:v>
                </c:pt>
                <c:pt idx="1">
                  <c:v>58</c:v>
                </c:pt>
                <c:pt idx="2">
                  <c:v>83</c:v>
                </c:pt>
                <c:pt idx="3">
                  <c:v>58</c:v>
                </c:pt>
                <c:pt idx="4">
                  <c:v>63</c:v>
                </c:pt>
                <c:pt idx="5">
                  <c:v>54</c:v>
                </c:pt>
                <c:pt idx="6">
                  <c:v>76</c:v>
                </c:pt>
                <c:pt idx="7">
                  <c:v>61</c:v>
                </c:pt>
                <c:pt idx="8">
                  <c:v>78</c:v>
                </c:pt>
                <c:pt idx="9">
                  <c:v>57</c:v>
                </c:pt>
                <c:pt idx="10">
                  <c:v>75</c:v>
                </c:pt>
                <c:pt idx="11">
                  <c:v>62</c:v>
                </c:pt>
                <c:pt idx="12">
                  <c:v>56</c:v>
                </c:pt>
                <c:pt idx="13">
                  <c:v>59</c:v>
                </c:pt>
                <c:pt idx="14">
                  <c:v>68</c:v>
                </c:pt>
                <c:pt idx="15">
                  <c:v>75</c:v>
                </c:pt>
                <c:pt idx="16">
                  <c:v>66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9-40F7-8641-D9686F937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30591"/>
        <c:axId val="132931551"/>
      </c:barChart>
      <c:catAx>
        <c:axId val="132930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931551"/>
        <c:crosses val="autoZero"/>
        <c:auto val="1"/>
        <c:lblAlgn val="ctr"/>
        <c:lblOffset val="100"/>
        <c:noMultiLvlLbl val="0"/>
      </c:catAx>
      <c:valAx>
        <c:axId val="132931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93059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6" Type="http://schemas.openxmlformats.org/officeDocument/2006/relationships/chart" Target="../charts/chart28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chart" Target="../charts/chart2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10</xdr:row>
      <xdr:rowOff>33337</xdr:rowOff>
    </xdr:from>
    <xdr:to>
      <xdr:col>11</xdr:col>
      <xdr:colOff>228600</xdr:colOff>
      <xdr:row>24</xdr:row>
      <xdr:rowOff>109537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B3010A3-D252-4FF2-0106-265619DDF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6</xdr:row>
      <xdr:rowOff>44824</xdr:rowOff>
    </xdr:from>
    <xdr:to>
      <xdr:col>18</xdr:col>
      <xdr:colOff>371475</xdr:colOff>
      <xdr:row>24</xdr:row>
      <xdr:rowOff>114300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768E56A-2D0E-A7CA-4E41-2AD928298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588065</xdr:colOff>
      <xdr:row>25</xdr:row>
      <xdr:rowOff>66261</xdr:rowOff>
    </xdr:from>
    <xdr:to>
      <xdr:col>19</xdr:col>
      <xdr:colOff>412474</xdr:colOff>
      <xdr:row>40</xdr:row>
      <xdr:rowOff>77028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598578E2-F369-4A28-B401-765D64F30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571500</xdr:colOff>
      <xdr:row>7</xdr:row>
      <xdr:rowOff>11207</xdr:rowOff>
    </xdr:from>
    <xdr:to>
      <xdr:col>26</xdr:col>
      <xdr:colOff>11206</xdr:colOff>
      <xdr:row>24</xdr:row>
      <xdr:rowOff>121585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8377C148-B69D-4B0C-BFA7-A7155F80D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10</xdr:row>
      <xdr:rowOff>33337</xdr:rowOff>
    </xdr:from>
    <xdr:to>
      <xdr:col>11</xdr:col>
      <xdr:colOff>228600</xdr:colOff>
      <xdr:row>24</xdr:row>
      <xdr:rowOff>109537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76C85D5-C717-4928-83AB-A25536834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588065</xdr:colOff>
      <xdr:row>25</xdr:row>
      <xdr:rowOff>66261</xdr:rowOff>
    </xdr:from>
    <xdr:to>
      <xdr:col>19</xdr:col>
      <xdr:colOff>412474</xdr:colOff>
      <xdr:row>40</xdr:row>
      <xdr:rowOff>77028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4232FFB9-1A75-44E7-8168-6C2086AE4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380999</xdr:colOff>
      <xdr:row>6</xdr:row>
      <xdr:rowOff>30257</xdr:rowOff>
    </xdr:from>
    <xdr:to>
      <xdr:col>27</xdr:col>
      <xdr:colOff>314324</xdr:colOff>
      <xdr:row>25</xdr:row>
      <xdr:rowOff>9525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69B03168-3D82-4FF7-BD6A-322E81B8C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342900</xdr:colOff>
      <xdr:row>9</xdr:row>
      <xdr:rowOff>85724</xdr:rowOff>
    </xdr:from>
    <xdr:to>
      <xdr:col>18</xdr:col>
      <xdr:colOff>247650</xdr:colOff>
      <xdr:row>24</xdr:row>
      <xdr:rowOff>133349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E7415AE7-8482-9780-F993-E1EF31944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10</xdr:row>
      <xdr:rowOff>33337</xdr:rowOff>
    </xdr:from>
    <xdr:to>
      <xdr:col>11</xdr:col>
      <xdr:colOff>228600</xdr:colOff>
      <xdr:row>24</xdr:row>
      <xdr:rowOff>109537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A98A675-1BBC-4D26-8E98-FADDCB1BD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588065</xdr:colOff>
      <xdr:row>25</xdr:row>
      <xdr:rowOff>66261</xdr:rowOff>
    </xdr:from>
    <xdr:to>
      <xdr:col>19</xdr:col>
      <xdr:colOff>412474</xdr:colOff>
      <xdr:row>40</xdr:row>
      <xdr:rowOff>77028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D68EAAE-B0D5-44EB-8566-6036BEFDD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571500</xdr:colOff>
      <xdr:row>7</xdr:row>
      <xdr:rowOff>11207</xdr:rowOff>
    </xdr:from>
    <xdr:to>
      <xdr:col>27</xdr:col>
      <xdr:colOff>228600</xdr:colOff>
      <xdr:row>25</xdr:row>
      <xdr:rowOff>161925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E378573-C272-4A89-B0A4-346E77370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190500</xdr:colOff>
      <xdr:row>8</xdr:row>
      <xdr:rowOff>19050</xdr:rowOff>
    </xdr:from>
    <xdr:to>
      <xdr:col>18</xdr:col>
      <xdr:colOff>495300</xdr:colOff>
      <xdr:row>24</xdr:row>
      <xdr:rowOff>114300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13E4FA73-9A3C-5BCA-4540-387E32D91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574675</xdr:colOff>
      <xdr:row>33</xdr:row>
      <xdr:rowOff>12700</xdr:rowOff>
    </xdr:from>
    <xdr:to>
      <xdr:col>13</xdr:col>
      <xdr:colOff>269875</xdr:colOff>
      <xdr:row>47</xdr:row>
      <xdr:rowOff>177800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60046A93-E320-45A8-AC84-60DF07E9E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34925</xdr:colOff>
      <xdr:row>80</xdr:row>
      <xdr:rowOff>88900</xdr:rowOff>
    </xdr:from>
    <xdr:to>
      <xdr:col>13</xdr:col>
      <xdr:colOff>339725</xdr:colOff>
      <xdr:row>95</xdr:row>
      <xdr:rowOff>69850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16B41D6B-FE8D-4A1B-9FE4-A361B807D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63</xdr:row>
      <xdr:rowOff>0</xdr:rowOff>
    </xdr:from>
    <xdr:to>
      <xdr:col>13</xdr:col>
      <xdr:colOff>234950</xdr:colOff>
      <xdr:row>79</xdr:row>
      <xdr:rowOff>76200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F0EBF794-8129-48F8-B836-F1D4A8A8A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584199</xdr:colOff>
      <xdr:row>32</xdr:row>
      <xdr:rowOff>38100</xdr:rowOff>
    </xdr:from>
    <xdr:to>
      <xdr:col>31</xdr:col>
      <xdr:colOff>219074</xdr:colOff>
      <xdr:row>47</xdr:row>
      <xdr:rowOff>127000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E8AB4D54-20CE-4BD6-8CE8-89034585B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581025</xdr:colOff>
      <xdr:row>62</xdr:row>
      <xdr:rowOff>171450</xdr:rowOff>
    </xdr:from>
    <xdr:to>
      <xdr:col>31</xdr:col>
      <xdr:colOff>568325</xdr:colOff>
      <xdr:row>77</xdr:row>
      <xdr:rowOff>114300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AE61E6C3-7FFC-44F4-A921-DDD7C739C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606424</xdr:colOff>
      <xdr:row>77</xdr:row>
      <xdr:rowOff>95250</xdr:rowOff>
    </xdr:from>
    <xdr:to>
      <xdr:col>32</xdr:col>
      <xdr:colOff>107949</xdr:colOff>
      <xdr:row>92</xdr:row>
      <xdr:rowOff>76200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71BF882F-DC70-4305-BDE2-7C49D92E5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584199</xdr:colOff>
      <xdr:row>32</xdr:row>
      <xdr:rowOff>168275</xdr:rowOff>
    </xdr:from>
    <xdr:to>
      <xdr:col>47</xdr:col>
      <xdr:colOff>257174</xdr:colOff>
      <xdr:row>47</xdr:row>
      <xdr:rowOff>168275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56F747B3-C46A-4692-BA13-A6726345F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0</xdr:colOff>
      <xdr:row>61</xdr:row>
      <xdr:rowOff>0</xdr:rowOff>
    </xdr:from>
    <xdr:to>
      <xdr:col>46</xdr:col>
      <xdr:colOff>336550</xdr:colOff>
      <xdr:row>78</xdr:row>
      <xdr:rowOff>177800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8FAC5EF0-902C-4ABB-9D3E-E88DFA238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549274</xdr:colOff>
      <xdr:row>79</xdr:row>
      <xdr:rowOff>158750</xdr:rowOff>
    </xdr:from>
    <xdr:to>
      <xdr:col>46</xdr:col>
      <xdr:colOff>463549</xdr:colOff>
      <xdr:row>95</xdr:row>
      <xdr:rowOff>76200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D734FF53-851A-45F7-9007-5DCC3FFB1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55</xdr:col>
      <xdr:colOff>25532</xdr:colOff>
      <xdr:row>33</xdr:row>
      <xdr:rowOff>123427</xdr:rowOff>
    </xdr:from>
    <xdr:to>
      <xdr:col>64</xdr:col>
      <xdr:colOff>495299</xdr:colOff>
      <xdr:row>49</xdr:row>
      <xdr:rowOff>51064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12BF06C9-FBB2-4694-BFF9-F629AB535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54</xdr:col>
      <xdr:colOff>542925</xdr:colOff>
      <xdr:row>60</xdr:row>
      <xdr:rowOff>76200</xdr:rowOff>
    </xdr:from>
    <xdr:to>
      <xdr:col>63</xdr:col>
      <xdr:colOff>204523</xdr:colOff>
      <xdr:row>76</xdr:row>
      <xdr:rowOff>162189</xdr:rowOff>
    </xdr:to>
    <xdr:graphicFrame macro="">
      <xdr:nvGraphicFramePr>
        <xdr:cNvPr id="32" name="Диаграмма 31">
          <a:extLst>
            <a:ext uri="{FF2B5EF4-FFF2-40B4-BE49-F238E27FC236}">
              <a16:creationId xmlns:a16="http://schemas.microsoft.com/office/drawing/2014/main" id="{F7FB20ED-9584-46C0-8AFF-D61EC5E4D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55</xdr:col>
      <xdr:colOff>394360</xdr:colOff>
      <xdr:row>78</xdr:row>
      <xdr:rowOff>101467</xdr:rowOff>
    </xdr:from>
    <xdr:to>
      <xdr:col>64</xdr:col>
      <xdr:colOff>23547</xdr:colOff>
      <xdr:row>94</xdr:row>
      <xdr:rowOff>22489</xdr:rowOff>
    </xdr:to>
    <xdr:graphicFrame macro="">
      <xdr:nvGraphicFramePr>
        <xdr:cNvPr id="33" name="Диаграмма 32">
          <a:extLst>
            <a:ext uri="{FF2B5EF4-FFF2-40B4-BE49-F238E27FC236}">
              <a16:creationId xmlns:a16="http://schemas.microsoft.com/office/drawing/2014/main" id="{B853EECB-6ED0-4F7D-9331-2A5D4CCA9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590549</xdr:colOff>
      <xdr:row>48</xdr:row>
      <xdr:rowOff>76200</xdr:rowOff>
    </xdr:from>
    <xdr:to>
      <xdr:col>13</xdr:col>
      <xdr:colOff>295274</xdr:colOff>
      <xdr:row>62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CDAF91-BC91-0388-6294-4E1341A70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28574</xdr:colOff>
      <xdr:row>47</xdr:row>
      <xdr:rowOff>171449</xdr:rowOff>
    </xdr:from>
    <xdr:to>
      <xdr:col>31</xdr:col>
      <xdr:colOff>533399</xdr:colOff>
      <xdr:row>62</xdr:row>
      <xdr:rowOff>28574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4E76592-0701-81F3-5F8D-765394A9B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38</xdr:col>
      <xdr:colOff>590549</xdr:colOff>
      <xdr:row>48</xdr:row>
      <xdr:rowOff>38099</xdr:rowOff>
    </xdr:from>
    <xdr:to>
      <xdr:col>47</xdr:col>
      <xdr:colOff>314324</xdr:colOff>
      <xdr:row>60</xdr:row>
      <xdr:rowOff>123824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12C71C0-436A-9CCC-96FD-AEB0A3888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55</xdr:col>
      <xdr:colOff>95249</xdr:colOff>
      <xdr:row>49</xdr:row>
      <xdr:rowOff>95250</xdr:rowOff>
    </xdr:from>
    <xdr:to>
      <xdr:col>63</xdr:col>
      <xdr:colOff>47624</xdr:colOff>
      <xdr:row>59</xdr:row>
      <xdr:rowOff>95250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E75DAD3-D210-A969-2F86-AB4ED0D9C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sran\Downloads\Telegram%20Desktop\&#1043;&#1086;&#1083;&#1080;&#1082;%20&#1050;3-73&#1041;%20&#1047;&#1072;&#1076;&#1072;&#1085;&#1080;&#1077;%202%20&#1052;&#1052;&#1054;_&#1040;&#1048;&#1048;.xlsx" TargetMode="External"/><Relationship Id="rId1" Type="http://schemas.openxmlformats.org/officeDocument/2006/relationships/externalLinkPath" Target="/Users/hsran/Downloads/Telegram%20Desktop/&#1043;&#1086;&#1083;&#1080;&#1082;%20&#1050;3-73&#1041;%20&#1047;&#1072;&#1076;&#1072;&#1085;&#1080;&#1077;%202%20&#1052;&#1052;&#1054;_&#1040;&#1048;&#10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2.1  Равномерное"/>
      <sheetName val="1.2.2 Нормальное"/>
      <sheetName val="1.2.3 Гамма-распр."/>
      <sheetName val="1.2.4 Бета-распр"/>
    </sheetNames>
    <sheetDataSet>
      <sheetData sheetId="0"/>
      <sheetData sheetId="1"/>
      <sheetData sheetId="2"/>
      <sheetData sheetId="3">
        <row r="12">
          <cell r="A12">
            <v>0</v>
          </cell>
          <cell r="C12">
            <v>0.72483128545416098</v>
          </cell>
          <cell r="S12">
            <v>0</v>
          </cell>
          <cell r="U12">
            <v>0.5626484044099116</v>
          </cell>
          <cell r="AI12">
            <v>0</v>
          </cell>
          <cell r="AK12">
            <v>0.12157414583549314</v>
          </cell>
          <cell r="AY12">
            <v>0</v>
          </cell>
          <cell r="BA12">
            <v>0.64827417828913236</v>
          </cell>
        </row>
        <row r="13">
          <cell r="A13">
            <v>0.01</v>
          </cell>
          <cell r="C13">
            <v>0.47293621106592165</v>
          </cell>
          <cell r="S13">
            <v>1E-3</v>
          </cell>
          <cell r="U13">
            <v>0.46595794724165657</v>
          </cell>
          <cell r="AI13">
            <v>1E-3</v>
          </cell>
          <cell r="AK13">
            <v>0.19607960795596513</v>
          </cell>
          <cell r="AY13">
            <v>1E-3</v>
          </cell>
          <cell r="BA13">
            <v>0.66585283974730669</v>
          </cell>
        </row>
        <row r="14">
          <cell r="A14">
            <v>0.02</v>
          </cell>
          <cell r="C14">
            <v>0.41637755115788178</v>
          </cell>
          <cell r="S14">
            <v>2E-3</v>
          </cell>
          <cell r="U14">
            <v>0.75022814778496094</v>
          </cell>
          <cell r="AI14">
            <v>2E-3</v>
          </cell>
          <cell r="AK14">
            <v>0.20286695569819491</v>
          </cell>
          <cell r="AY14">
            <v>2E-3</v>
          </cell>
          <cell r="BA14">
            <v>0.88485366374706265</v>
          </cell>
        </row>
        <row r="15">
          <cell r="A15">
            <v>0.03</v>
          </cell>
          <cell r="C15">
            <v>0.43560943619205172</v>
          </cell>
          <cell r="H15">
            <v>0.16692467504551228</v>
          </cell>
          <cell r="I15">
            <v>18</v>
          </cell>
          <cell r="K15">
            <v>0.1276595744680851</v>
          </cell>
          <cell r="N15">
            <v>0.1276595744680851</v>
          </cell>
          <cell r="O15">
            <v>2.9458263397782677E-2</v>
          </cell>
          <cell r="S15">
            <v>3.0000000000000001E-3</v>
          </cell>
          <cell r="U15">
            <v>0.54323717902197499</v>
          </cell>
          <cell r="X15">
            <v>2.8799220027676622E-2</v>
          </cell>
          <cell r="Y15">
            <v>2.8799220027676622E-2</v>
          </cell>
          <cell r="Z15">
            <v>31</v>
          </cell>
          <cell r="AB15">
            <v>2.1923620933521924E-2</v>
          </cell>
          <cell r="AE15">
            <v>2.1923620933521924E-2</v>
          </cell>
          <cell r="AF15">
            <v>8.1940804690145688E-4</v>
          </cell>
          <cell r="AI15">
            <v>3.0000000000000001E-3</v>
          </cell>
          <cell r="AK15">
            <v>0.18077256407041009</v>
          </cell>
          <cell r="AN15">
            <v>1.5812737375814893E-2</v>
          </cell>
          <cell r="AO15">
            <v>1.5812737375814893E-2</v>
          </cell>
          <cell r="AP15">
            <v>13</v>
          </cell>
          <cell r="AR15">
            <v>9.1937765205091938E-3</v>
          </cell>
          <cell r="AU15">
            <v>9.1937765205091938E-3</v>
          </cell>
          <cell r="AV15">
            <v>5.1083135597723966E-3</v>
          </cell>
          <cell r="AY15">
            <v>3.0000000000000001E-3</v>
          </cell>
          <cell r="BA15">
            <v>0.35563219092379528</v>
          </cell>
          <cell r="BD15">
            <v>1.9531846064638212E-3</v>
          </cell>
          <cell r="BE15">
            <v>1.9531846064638212E-3</v>
          </cell>
          <cell r="BF15">
            <v>1</v>
          </cell>
          <cell r="BH15">
            <v>7.0721357850070724E-4</v>
          </cell>
          <cell r="BK15">
            <v>7.0721357850070724E-4</v>
          </cell>
          <cell r="BL15">
            <v>7.6923076923076927E-2</v>
          </cell>
        </row>
        <row r="16">
          <cell r="A16">
            <v>0.04</v>
          </cell>
          <cell r="C16">
            <v>0.41315723221472017</v>
          </cell>
          <cell r="H16">
            <v>0.22561657564137125</v>
          </cell>
          <cell r="I16">
            <v>10</v>
          </cell>
          <cell r="K16">
            <v>7.0921985815602842E-2</v>
          </cell>
          <cell r="N16">
            <v>0.19858156028368795</v>
          </cell>
          <cell r="O16">
            <v>5.0858791246842117E-2</v>
          </cell>
          <cell r="S16">
            <v>4.0000000000000001E-3</v>
          </cell>
          <cell r="U16">
            <v>0.36964637553551627</v>
          </cell>
          <cell r="X16">
            <v>0.10600193573463774</v>
          </cell>
          <cell r="Y16">
            <v>0.10600193573463774</v>
          </cell>
          <cell r="Z16">
            <v>70</v>
          </cell>
          <cell r="AB16">
            <v>4.9504950495049507E-2</v>
          </cell>
          <cell r="AE16">
            <v>7.1428571428571425E-2</v>
          </cell>
          <cell r="AF16">
            <v>1.518723717564829E-2</v>
          </cell>
          <cell r="AI16">
            <v>4.0000000000000001E-3</v>
          </cell>
          <cell r="AK16">
            <v>0.20228182408119388</v>
          </cell>
          <cell r="AN16">
            <v>5.6564823439139725E-2</v>
          </cell>
          <cell r="AO16">
            <v>5.6564823439139725E-2</v>
          </cell>
          <cell r="AP16">
            <v>51</v>
          </cell>
          <cell r="AR16">
            <v>3.6067892503536071E-2</v>
          </cell>
          <cell r="AU16">
            <v>4.5261669024045263E-2</v>
          </cell>
          <cell r="AV16">
            <v>6.3358842210773966E-2</v>
          </cell>
          <cell r="AY16">
            <v>4.0000000000000001E-3</v>
          </cell>
          <cell r="BA16">
            <v>0.23114719077120274</v>
          </cell>
          <cell r="BD16">
            <v>8.5088147628203173E-2</v>
          </cell>
          <cell r="BE16">
            <v>8.5088147628203173E-2</v>
          </cell>
          <cell r="BF16">
            <v>86</v>
          </cell>
          <cell r="BH16">
            <v>6.0820367751060818E-2</v>
          </cell>
          <cell r="BK16">
            <v>6.1527581329561522E-2</v>
          </cell>
          <cell r="BL16">
            <v>7.6923076923076927E-2</v>
          </cell>
        </row>
        <row r="17">
          <cell r="A17">
            <v>0.05</v>
          </cell>
          <cell r="C17">
            <v>0.33015706479029577</v>
          </cell>
          <cell r="H17">
            <v>0.28430847623723021</v>
          </cell>
          <cell r="I17">
            <v>7</v>
          </cell>
          <cell r="K17">
            <v>4.9645390070921988E-2</v>
          </cell>
          <cell r="N17">
            <v>0.24822695035460995</v>
          </cell>
          <cell r="O17">
            <v>7.3236620381828793E-2</v>
          </cell>
          <cell r="S17">
            <v>5.0000000000000001E-3</v>
          </cell>
          <cell r="U17">
            <v>0.54758788084344656</v>
          </cell>
          <cell r="X17">
            <v>0.18320465144159886</v>
          </cell>
          <cell r="Y17">
            <v>0.18320465144159886</v>
          </cell>
          <cell r="Z17">
            <v>86</v>
          </cell>
          <cell r="AB17">
            <v>6.0820367751060818E-2</v>
          </cell>
          <cell r="AE17">
            <v>0.13224893917963224</v>
          </cell>
          <cell r="AF17">
            <v>4.5307193616714966E-2</v>
          </cell>
          <cell r="AI17">
            <v>5.0000000000000001E-3</v>
          </cell>
          <cell r="AK17">
            <v>0.42234718270262517</v>
          </cell>
          <cell r="AN17">
            <v>9.7316909502464549E-2</v>
          </cell>
          <cell r="AO17">
            <v>9.7316909502464549E-2</v>
          </cell>
          <cell r="AP17">
            <v>40</v>
          </cell>
          <cell r="AR17">
            <v>2.8288543140028287E-2</v>
          </cell>
          <cell r="AU17">
            <v>7.355021216407355E-2</v>
          </cell>
          <cell r="AV17">
            <v>0.13321185793614865</v>
          </cell>
          <cell r="AY17">
            <v>5.0000000000000001E-3</v>
          </cell>
          <cell r="BA17">
            <v>0.22675252540665913</v>
          </cell>
          <cell r="BD17">
            <v>0.16822311064994253</v>
          </cell>
          <cell r="BE17">
            <v>0.16822311064994253</v>
          </cell>
          <cell r="BF17">
            <v>87</v>
          </cell>
          <cell r="BH17">
            <v>6.1527581329561529E-2</v>
          </cell>
          <cell r="BK17">
            <v>0.12305516265912306</v>
          </cell>
          <cell r="BL17">
            <v>7.6923076923076927E-2</v>
          </cell>
        </row>
        <row r="18">
          <cell r="A18">
            <v>6.0000000000000005E-2</v>
          </cell>
          <cell r="C18">
            <v>0.27566494478864451</v>
          </cell>
          <cell r="H18">
            <v>0.34300037683308915</v>
          </cell>
          <cell r="I18">
            <v>7</v>
          </cell>
          <cell r="K18">
            <v>4.9645390070921988E-2</v>
          </cell>
          <cell r="N18">
            <v>0.29787234042553196</v>
          </cell>
          <cell r="O18">
            <v>9.3502968118588214E-2</v>
          </cell>
          <cell r="S18">
            <v>6.0000000000000001E-3</v>
          </cell>
          <cell r="U18">
            <v>0.66508417286020638</v>
          </cell>
          <cell r="X18">
            <v>0.26040736714856</v>
          </cell>
          <cell r="Y18">
            <v>0.26040736714856</v>
          </cell>
          <cell r="Z18">
            <v>77</v>
          </cell>
          <cell r="AB18">
            <v>5.4455445544554455E-2</v>
          </cell>
          <cell r="AE18">
            <v>0.18670438472418668</v>
          </cell>
          <cell r="AF18">
            <v>8.2867776480958472E-2</v>
          </cell>
          <cell r="AI18">
            <v>6.0000000000000001E-3</v>
          </cell>
          <cell r="AK18">
            <v>0.25973377473738657</v>
          </cell>
          <cell r="AN18">
            <v>0.13806899556578939</v>
          </cell>
          <cell r="AO18">
            <v>0.13806899556578939</v>
          </cell>
          <cell r="AP18">
            <v>54</v>
          </cell>
          <cell r="AR18">
            <v>3.818953323903819E-2</v>
          </cell>
          <cell r="AU18">
            <v>0.11173974540311174</v>
          </cell>
          <cell r="AV18">
            <v>0.1721073594237377</v>
          </cell>
          <cell r="AY18">
            <v>6.0000000000000001E-3</v>
          </cell>
          <cell r="BA18">
            <v>0.41599780266731773</v>
          </cell>
          <cell r="BD18">
            <v>0.25135807367168189</v>
          </cell>
          <cell r="BE18">
            <v>0.25135807367168189</v>
          </cell>
          <cell r="BF18">
            <v>89</v>
          </cell>
          <cell r="BH18">
            <v>6.2942008486562936E-2</v>
          </cell>
          <cell r="BK18">
            <v>0.18599717114568598</v>
          </cell>
          <cell r="BL18">
            <v>7.6923076923076927E-2</v>
          </cell>
        </row>
        <row r="19">
          <cell r="A19">
            <v>7.0000000000000007E-2</v>
          </cell>
          <cell r="C19">
            <v>0.34789409276290456</v>
          </cell>
          <cell r="H19">
            <v>0.40169227742894809</v>
          </cell>
          <cell r="I19">
            <v>9</v>
          </cell>
          <cell r="K19">
            <v>6.3829787234042548E-2</v>
          </cell>
          <cell r="N19">
            <v>0.36170212765957449</v>
          </cell>
          <cell r="O19">
            <v>0.10907326775442397</v>
          </cell>
          <cell r="S19">
            <v>7.0000000000000001E-3</v>
          </cell>
          <cell r="U19">
            <v>0.33397056979505085</v>
          </cell>
          <cell r="X19">
            <v>0.33761008285552113</v>
          </cell>
          <cell r="Y19">
            <v>0.33761008285552113</v>
          </cell>
          <cell r="Z19">
            <v>81</v>
          </cell>
          <cell r="AB19">
            <v>5.7284299858557285E-2</v>
          </cell>
          <cell r="AE19">
            <v>0.24398868458274398</v>
          </cell>
          <cell r="AF19">
            <v>0.11847447039919548</v>
          </cell>
          <cell r="AI19">
            <v>7.0000000000000001E-3</v>
          </cell>
          <cell r="AK19">
            <v>0.19299875908168507</v>
          </cell>
          <cell r="AN19">
            <v>0.17882108162911423</v>
          </cell>
          <cell r="AO19">
            <v>0.17882108162911423</v>
          </cell>
          <cell r="AP19">
            <v>35</v>
          </cell>
          <cell r="AR19">
            <v>2.4752475247524754E-2</v>
          </cell>
          <cell r="AU19">
            <v>0.13649222065063649</v>
          </cell>
          <cell r="AV19">
            <v>0.17383105390174594</v>
          </cell>
          <cell r="AY19">
            <v>7.0000000000000001E-3</v>
          </cell>
          <cell r="BA19">
            <v>0.69277016510513623</v>
          </cell>
          <cell r="BD19">
            <v>0.33449303669342123</v>
          </cell>
          <cell r="BE19">
            <v>0.33449303669342123</v>
          </cell>
          <cell r="BF19">
            <v>79</v>
          </cell>
          <cell r="BH19">
            <v>5.586987270155587E-2</v>
          </cell>
          <cell r="BK19">
            <v>0.24186704384724184</v>
          </cell>
          <cell r="BL19">
            <v>7.6923076923076927E-2</v>
          </cell>
        </row>
        <row r="20">
          <cell r="A20">
            <v>0.08</v>
          </cell>
          <cell r="C20">
            <v>0.53871674632937327</v>
          </cell>
          <cell r="H20">
            <v>0.46038417802480702</v>
          </cell>
          <cell r="I20">
            <v>3</v>
          </cell>
          <cell r="K20">
            <v>2.1276595744680851E-2</v>
          </cell>
          <cell r="N20">
            <v>0.38297872340425532</v>
          </cell>
          <cell r="O20">
            <v>0.11807024273253923</v>
          </cell>
          <cell r="S20">
            <v>8.0000000000000002E-3</v>
          </cell>
          <cell r="U20">
            <v>0.39615947243679195</v>
          </cell>
          <cell r="X20">
            <v>0.41481279856248227</v>
          </cell>
          <cell r="Y20">
            <v>0.41481279856248227</v>
          </cell>
          <cell r="Z20">
            <v>94</v>
          </cell>
          <cell r="AB20">
            <v>6.6478076379066484E-2</v>
          </cell>
          <cell r="AE20">
            <v>0.31046676096181047</v>
          </cell>
          <cell r="AF20">
            <v>0.14415963696933115</v>
          </cell>
          <cell r="AI20">
            <v>8.0000000000000002E-3</v>
          </cell>
          <cell r="AK20">
            <v>0.2840383284633009</v>
          </cell>
          <cell r="AN20">
            <v>0.21957316769243906</v>
          </cell>
          <cell r="AO20">
            <v>0.21957316769243906</v>
          </cell>
          <cell r="AP20">
            <v>44</v>
          </cell>
          <cell r="AR20">
            <v>3.1117397454031116E-2</v>
          </cell>
          <cell r="AU20">
            <v>0.1676096181046676</v>
          </cell>
          <cell r="AV20">
            <v>0.1498223721251718</v>
          </cell>
          <cell r="AY20">
            <v>8.0000000000000002E-3</v>
          </cell>
          <cell r="BA20">
            <v>0.71138645588549454</v>
          </cell>
          <cell r="BD20">
            <v>0.41762799971516057</v>
          </cell>
          <cell r="BE20">
            <v>0.41762799971516057</v>
          </cell>
          <cell r="BF20">
            <v>92</v>
          </cell>
          <cell r="BH20">
            <v>6.5063649222065062E-2</v>
          </cell>
          <cell r="BK20">
            <v>0.30693069306930687</v>
          </cell>
          <cell r="BL20">
            <v>7.6923076923076927E-2</v>
          </cell>
        </row>
        <row r="21">
          <cell r="A21">
            <v>0.09</v>
          </cell>
          <cell r="C21">
            <v>0.25695502927388947</v>
          </cell>
          <cell r="H21">
            <v>0.51907607862066596</v>
          </cell>
          <cell r="I21">
            <v>7</v>
          </cell>
          <cell r="K21">
            <v>4.9645390070921988E-2</v>
          </cell>
          <cell r="N21">
            <v>0.43262411347517732</v>
          </cell>
          <cell r="O21">
            <v>0.11944568613627748</v>
          </cell>
          <cell r="S21">
            <v>9.0000000000000011E-3</v>
          </cell>
          <cell r="U21">
            <v>0.57529803587051576</v>
          </cell>
          <cell r="X21">
            <v>0.4920155142694434</v>
          </cell>
          <cell r="Y21">
            <v>0.4920155142694434</v>
          </cell>
          <cell r="Z21">
            <v>82</v>
          </cell>
          <cell r="AB21">
            <v>5.7991513437057989E-2</v>
          </cell>
          <cell r="AE21">
            <v>0.36845827439886847</v>
          </cell>
          <cell r="AF21">
            <v>0.15459205694990008</v>
          </cell>
          <cell r="AI21">
            <v>9.0000000000000011E-3</v>
          </cell>
          <cell r="AK21">
            <v>5.1116705193644807E-2</v>
          </cell>
          <cell r="AN21">
            <v>0.26032525375576387</v>
          </cell>
          <cell r="AO21">
            <v>0.26032525375576387</v>
          </cell>
          <cell r="AP21">
            <v>42</v>
          </cell>
          <cell r="AR21">
            <v>2.9702970297029702E-2</v>
          </cell>
          <cell r="AU21">
            <v>0.1973125884016973</v>
          </cell>
          <cell r="AV21">
            <v>0.11473511982703917</v>
          </cell>
          <cell r="AY21">
            <v>9.0000000000000011E-3</v>
          </cell>
          <cell r="BA21">
            <v>0.46177556688131349</v>
          </cell>
          <cell r="BD21">
            <v>0.50076296273689991</v>
          </cell>
          <cell r="BE21">
            <v>0.50076296273689991</v>
          </cell>
          <cell r="BF21">
            <v>98</v>
          </cell>
          <cell r="BH21">
            <v>6.9306930693069313E-2</v>
          </cell>
          <cell r="BK21">
            <v>0.37623762376237618</v>
          </cell>
          <cell r="BL21">
            <v>7.6923076923076927E-2</v>
          </cell>
        </row>
        <row r="22">
          <cell r="A22">
            <v>9.9999999999999992E-2</v>
          </cell>
          <cell r="C22">
            <v>0.49804252567075424</v>
          </cell>
          <cell r="H22">
            <v>0.5777679792165249</v>
          </cell>
          <cell r="I22">
            <v>3</v>
          </cell>
          <cell r="K22">
            <v>2.1276595744680851E-2</v>
          </cell>
          <cell r="N22">
            <v>0.45390070921985815</v>
          </cell>
          <cell r="O22">
            <v>0.11304151383924321</v>
          </cell>
          <cell r="S22">
            <v>1.0000000000000002E-2</v>
          </cell>
          <cell r="U22">
            <v>0.56136790727317543</v>
          </cell>
          <cell r="X22">
            <v>0.56921822997640448</v>
          </cell>
          <cell r="Y22">
            <v>0.56921822997640448</v>
          </cell>
          <cell r="Z22">
            <v>97</v>
          </cell>
          <cell r="AB22">
            <v>6.8599717114568595E-2</v>
          </cell>
          <cell r="AE22">
            <v>0.43705799151343705</v>
          </cell>
          <cell r="AF22">
            <v>0.14768796869070402</v>
          </cell>
          <cell r="AI22">
            <v>1.0000000000000002E-2</v>
          </cell>
          <cell r="AK22">
            <v>0.45372029225386157</v>
          </cell>
          <cell r="AN22">
            <v>0.30107733981908869</v>
          </cell>
          <cell r="AO22">
            <v>0.30107733981908869</v>
          </cell>
          <cell r="AP22">
            <v>42</v>
          </cell>
          <cell r="AR22">
            <v>2.9702970297029702E-2</v>
          </cell>
          <cell r="AU22">
            <v>0.227015558698727</v>
          </cell>
          <cell r="AV22">
            <v>7.9696460549777096E-2</v>
          </cell>
          <cell r="AY22">
            <v>1.0000000000000002E-2</v>
          </cell>
          <cell r="BA22">
            <v>0.23273415326395461</v>
          </cell>
          <cell r="BD22">
            <v>0.5838979257586393</v>
          </cell>
          <cell r="BE22">
            <v>0.5838979257586393</v>
          </cell>
          <cell r="BF22">
            <v>86</v>
          </cell>
          <cell r="BH22">
            <v>6.0820367751060818E-2</v>
          </cell>
          <cell r="BK22">
            <v>0.43705799151343699</v>
          </cell>
          <cell r="BL22">
            <v>7.6923076923076927E-2</v>
          </cell>
        </row>
        <row r="23">
          <cell r="A23">
            <v>0.10999999999999999</v>
          </cell>
          <cell r="C23">
            <v>0.58165296301080471</v>
          </cell>
          <cell r="H23">
            <v>0.63645987981238383</v>
          </cell>
          <cell r="I23">
            <v>4</v>
          </cell>
          <cell r="K23">
            <v>2.8368794326241134E-2</v>
          </cell>
          <cell r="N23">
            <v>0.48226950354609927</v>
          </cell>
          <cell r="O23">
            <v>9.9598601345693039E-2</v>
          </cell>
          <cell r="S23">
            <v>1.1000000000000003E-2</v>
          </cell>
          <cell r="U23">
            <v>0.29042044643327347</v>
          </cell>
          <cell r="X23">
            <v>0.64642094568336561</v>
          </cell>
          <cell r="Y23">
            <v>0.64642094568336561</v>
          </cell>
          <cell r="Z23">
            <v>78</v>
          </cell>
          <cell r="AB23">
            <v>5.5162659123055166E-2</v>
          </cell>
          <cell r="AE23">
            <v>0.49222065063649223</v>
          </cell>
          <cell r="AF23">
            <v>0.1248214927438142</v>
          </cell>
          <cell r="AI23">
            <v>1.1000000000000003E-2</v>
          </cell>
          <cell r="AK23">
            <v>0.12379849313463465</v>
          </cell>
          <cell r="AN23">
            <v>0.3418294258824135</v>
          </cell>
          <cell r="AO23">
            <v>0.3418294258824135</v>
          </cell>
          <cell r="AP23">
            <v>42</v>
          </cell>
          <cell r="AR23">
            <v>2.9702970297029702E-2</v>
          </cell>
          <cell r="AU23">
            <v>0.2567185289957567</v>
          </cell>
          <cell r="AV23">
            <v>5.0743079901586122E-2</v>
          </cell>
          <cell r="AY23">
            <v>1.1000000000000003E-2</v>
          </cell>
          <cell r="BA23">
            <v>3.0610065004425192E-2</v>
          </cell>
          <cell r="BD23">
            <v>0.6670328887803787</v>
          </cell>
          <cell r="BE23">
            <v>0.6670328887803787</v>
          </cell>
          <cell r="BF23">
            <v>87</v>
          </cell>
          <cell r="BH23">
            <v>6.1527581329561529E-2</v>
          </cell>
          <cell r="BK23">
            <v>0.49858557284299854</v>
          </cell>
          <cell r="BL23">
            <v>7.6923076923076927E-2</v>
          </cell>
        </row>
        <row r="24">
          <cell r="A24">
            <v>0.11999999999999998</v>
          </cell>
          <cell r="C24">
            <v>0.71599242283204334</v>
          </cell>
          <cell r="H24">
            <v>0.69515178040824277</v>
          </cell>
          <cell r="I24">
            <v>5</v>
          </cell>
          <cell r="K24">
            <v>3.5460992907801421E-2</v>
          </cell>
          <cell r="N24">
            <v>0.51773049645390068</v>
          </cell>
          <cell r="O24">
            <v>8.07145478174527E-2</v>
          </cell>
          <cell r="S24">
            <v>1.2000000000000004E-2</v>
          </cell>
          <cell r="U24">
            <v>0.40134570554674714</v>
          </cell>
          <cell r="X24">
            <v>0.72362366139032674</v>
          </cell>
          <cell r="Y24">
            <v>0.72362366139032674</v>
          </cell>
          <cell r="Z24">
            <v>79</v>
          </cell>
          <cell r="AB24">
            <v>5.586987270155587E-2</v>
          </cell>
          <cell r="AE24">
            <v>0.54809052333804809</v>
          </cell>
          <cell r="AF24">
            <v>9.0687423379055887E-2</v>
          </cell>
          <cell r="AI24">
            <v>1.2000000000000004E-2</v>
          </cell>
          <cell r="AK24">
            <v>0.36485415639229479</v>
          </cell>
          <cell r="AN24">
            <v>0.38258151194573831</v>
          </cell>
          <cell r="AO24">
            <v>0.38258151194573831</v>
          </cell>
          <cell r="AP24">
            <v>45</v>
          </cell>
          <cell r="AR24">
            <v>3.1824611032531827E-2</v>
          </cell>
          <cell r="AU24">
            <v>0.28854314002828851</v>
          </cell>
          <cell r="AV24">
            <v>2.9748887689503001E-2</v>
          </cell>
          <cell r="AY24">
            <v>1.2000000000000004E-2</v>
          </cell>
          <cell r="BA24">
            <v>0.27283547471541492</v>
          </cell>
          <cell r="BD24">
            <v>0.75016785180211809</v>
          </cell>
          <cell r="BE24">
            <v>0.75016785180211809</v>
          </cell>
          <cell r="BF24">
            <v>77</v>
          </cell>
          <cell r="BH24">
            <v>5.4455445544554455E-2</v>
          </cell>
          <cell r="BK24">
            <v>0.55304101838755304</v>
          </cell>
          <cell r="BL24">
            <v>7.6923076923076927E-2</v>
          </cell>
        </row>
        <row r="25">
          <cell r="A25">
            <v>0.12999999999999998</v>
          </cell>
          <cell r="C25">
            <v>0.35186616203138449</v>
          </cell>
          <cell r="H25">
            <v>0.75384368100410171</v>
          </cell>
          <cell r="I25">
            <v>3</v>
          </cell>
          <cell r="K25">
            <v>2.1276595744680851E-2</v>
          </cell>
          <cell r="N25">
            <v>0.53900709219858156</v>
          </cell>
          <cell r="O25">
            <v>5.8744703871491499E-2</v>
          </cell>
          <cell r="S25">
            <v>1.3000000000000005E-2</v>
          </cell>
          <cell r="U25">
            <v>0.26755861646114748</v>
          </cell>
          <cell r="X25">
            <v>0.80082637709728788</v>
          </cell>
          <cell r="Y25">
            <v>0.80082637709728788</v>
          </cell>
          <cell r="Z25">
            <v>74</v>
          </cell>
          <cell r="AB25">
            <v>5.2333804809052337E-2</v>
          </cell>
          <cell r="AE25">
            <v>0.60042432814710045</v>
          </cell>
          <cell r="AF25">
            <v>5.2782604233699112E-2</v>
          </cell>
          <cell r="AI25">
            <v>1.3000000000000005E-2</v>
          </cell>
          <cell r="AK25">
            <v>0.18735530198870279</v>
          </cell>
          <cell r="AN25">
            <v>0.42333359800906312</v>
          </cell>
          <cell r="AO25">
            <v>0.42333359800906312</v>
          </cell>
          <cell r="AP25">
            <v>44</v>
          </cell>
          <cell r="AR25">
            <v>3.1117397454031116E-2</v>
          </cell>
          <cell r="AU25">
            <v>0.31966053748231965</v>
          </cell>
          <cell r="AV25">
            <v>1.6064685423687004E-2</v>
          </cell>
          <cell r="AY25">
            <v>1.3000000000000005E-2</v>
          </cell>
          <cell r="BA25">
            <v>0.23374126407666249</v>
          </cell>
          <cell r="BD25">
            <v>0.83330281482385749</v>
          </cell>
          <cell r="BE25">
            <v>0.83330281482385749</v>
          </cell>
          <cell r="BF25">
            <v>78</v>
          </cell>
          <cell r="BH25">
            <v>5.5162659123055166E-2</v>
          </cell>
          <cell r="BK25">
            <v>0.60820367751060822</v>
          </cell>
          <cell r="BL25">
            <v>7.6923076923076927E-2</v>
          </cell>
        </row>
        <row r="26">
          <cell r="A26">
            <v>0.13999999999999999</v>
          </cell>
          <cell r="C26">
            <v>0.44470820769656738</v>
          </cell>
          <cell r="H26">
            <v>0.81253558159996064</v>
          </cell>
          <cell r="I26">
            <v>9</v>
          </cell>
          <cell r="K26">
            <v>6.3829787234042548E-2</v>
          </cell>
          <cell r="N26">
            <v>0.6028368794326241</v>
          </cell>
          <cell r="O26">
            <v>3.6631057404427361E-2</v>
          </cell>
          <cell r="S26">
            <v>1.4000000000000005E-2</v>
          </cell>
          <cell r="U26">
            <v>0.71211045070191237</v>
          </cell>
          <cell r="X26">
            <v>0.87802909280424901</v>
          </cell>
          <cell r="Y26">
            <v>0.87802909280424901</v>
          </cell>
          <cell r="Z26">
            <v>93</v>
          </cell>
          <cell r="AB26">
            <v>6.5770862800565766E-2</v>
          </cell>
          <cell r="AE26">
            <v>0.66619519094766622</v>
          </cell>
          <cell r="AF26">
            <v>2.0349825327511575E-2</v>
          </cell>
          <cell r="AI26">
            <v>1.4000000000000005E-2</v>
          </cell>
          <cell r="AK26">
            <v>0.13001437527925672</v>
          </cell>
          <cell r="AN26">
            <v>0.46408568407238793</v>
          </cell>
          <cell r="AO26">
            <v>0.46408568407238793</v>
          </cell>
          <cell r="AP26">
            <v>46</v>
          </cell>
          <cell r="AR26">
            <v>3.2531824611032531E-2</v>
          </cell>
          <cell r="AU26">
            <v>0.3521923620933522</v>
          </cell>
          <cell r="AV26">
            <v>7.966505199593717E-3</v>
          </cell>
          <cell r="AY26">
            <v>1.4000000000000005E-2</v>
          </cell>
          <cell r="BA26">
            <v>2.8687398907437356E-3</v>
          </cell>
          <cell r="BD26">
            <v>0.91643777784559688</v>
          </cell>
          <cell r="BE26">
            <v>0.91643777784559688</v>
          </cell>
          <cell r="BF26">
            <v>100</v>
          </cell>
          <cell r="BH26">
            <v>7.0721357850070721E-2</v>
          </cell>
          <cell r="BK26">
            <v>0.67892503536067894</v>
          </cell>
          <cell r="BL26">
            <v>7.6923076923076927E-2</v>
          </cell>
        </row>
        <row r="27">
          <cell r="A27">
            <v>0.15</v>
          </cell>
          <cell r="C27">
            <v>0.32552149124231478</v>
          </cell>
          <cell r="H27">
            <v>0.87122748219581958</v>
          </cell>
          <cell r="I27">
            <v>8</v>
          </cell>
          <cell r="K27">
            <v>5.6737588652482268E-2</v>
          </cell>
          <cell r="N27">
            <v>0.65957446808510634</v>
          </cell>
          <cell r="O27">
            <v>1.7623735953409679E-2</v>
          </cell>
          <cell r="S27">
            <v>1.5000000000000006E-2</v>
          </cell>
          <cell r="U27">
            <v>0.37097801870564545</v>
          </cell>
          <cell r="X27">
            <v>0.95523180851121015</v>
          </cell>
          <cell r="Y27">
            <v>0.95523180851121015</v>
          </cell>
          <cell r="Z27">
            <v>69</v>
          </cell>
          <cell r="AB27">
            <v>4.8797736916548796E-2</v>
          </cell>
          <cell r="AE27">
            <v>0.71499292786421498</v>
          </cell>
          <cell r="AF27">
            <v>2.2629059865655254E-3</v>
          </cell>
          <cell r="AI27">
            <v>1.5000000000000006E-2</v>
          </cell>
          <cell r="AK27">
            <v>0.23227042656395991</v>
          </cell>
          <cell r="AN27">
            <v>0.50483777013571274</v>
          </cell>
          <cell r="AO27">
            <v>0.50483777013571274</v>
          </cell>
          <cell r="AP27">
            <v>48</v>
          </cell>
          <cell r="AR27">
            <v>3.3946251768033946E-2</v>
          </cell>
          <cell r="AU27">
            <v>0.38613861386138615</v>
          </cell>
          <cell r="AV27">
            <v>3.605462251463526E-3</v>
          </cell>
          <cell r="AY27">
            <v>1.5000000000000006E-2</v>
          </cell>
          <cell r="BA27">
            <v>9.6865749076815069E-2</v>
          </cell>
          <cell r="BD27">
            <v>0.99957274086733627</v>
          </cell>
          <cell r="BE27">
            <v>0.99957274086733627</v>
          </cell>
          <cell r="BF27">
            <v>90</v>
          </cell>
          <cell r="BH27">
            <v>6.3649222065063654E-2</v>
          </cell>
          <cell r="BK27">
            <v>0.74257425742574257</v>
          </cell>
          <cell r="BL27">
            <v>7.6923076923076927E-2</v>
          </cell>
        </row>
        <row r="28">
          <cell r="A28">
            <v>0.16</v>
          </cell>
          <cell r="C28">
            <v>0.54541045619453876</v>
          </cell>
          <cell r="H28" t="str">
            <v>Еще</v>
          </cell>
          <cell r="I28">
            <v>12</v>
          </cell>
          <cell r="S28">
            <v>1.6000000000000007E-2</v>
          </cell>
          <cell r="U28">
            <v>0.30641991464274049</v>
          </cell>
          <cell r="Y28" t="str">
            <v>Еще</v>
          </cell>
          <cell r="Z28">
            <v>39</v>
          </cell>
          <cell r="AI28">
            <v>1.6000000000000007E-2</v>
          </cell>
          <cell r="AK28">
            <v>6.3697078741994914E-2</v>
          </cell>
          <cell r="AO28" t="str">
            <v>Еще</v>
          </cell>
          <cell r="AP28">
            <v>504</v>
          </cell>
          <cell r="AY28">
            <v>1.6000000000000007E-2</v>
          </cell>
          <cell r="BA28">
            <v>3.9887691885128335E-2</v>
          </cell>
          <cell r="BE28" t="str">
            <v>Еще</v>
          </cell>
          <cell r="BF28">
            <v>0</v>
          </cell>
        </row>
        <row r="29">
          <cell r="A29">
            <v>0.17</v>
          </cell>
          <cell r="C29">
            <v>0.50808283179896119</v>
          </cell>
          <cell r="S29">
            <v>1.7000000000000008E-2</v>
          </cell>
          <cell r="U29">
            <v>0.53478159434945605</v>
          </cell>
          <cell r="AI29">
            <v>1.7000000000000008E-2</v>
          </cell>
          <cell r="AK29">
            <v>0.19656106375199833</v>
          </cell>
          <cell r="AY29">
            <v>1.7000000000000008E-2</v>
          </cell>
          <cell r="BA29">
            <v>0.74816125980407122</v>
          </cell>
        </row>
        <row r="30">
          <cell r="A30">
            <v>0.18000000000000002</v>
          </cell>
          <cell r="C30">
            <v>0.3864956741551801</v>
          </cell>
          <cell r="S30">
            <v>1.8000000000000009E-2</v>
          </cell>
          <cell r="U30">
            <v>0.54555030642728564</v>
          </cell>
          <cell r="AI30">
            <v>1.8000000000000009E-2</v>
          </cell>
          <cell r="AK30">
            <v>0.13160248179989711</v>
          </cell>
          <cell r="AY30">
            <v>1.8000000000000009E-2</v>
          </cell>
          <cell r="BA30">
            <v>0.87405011139255961</v>
          </cell>
        </row>
        <row r="31">
          <cell r="A31">
            <v>0.19000000000000003</v>
          </cell>
          <cell r="C31">
            <v>0.72746525084852542</v>
          </cell>
          <cell r="S31">
            <v>1.900000000000001E-2</v>
          </cell>
          <cell r="U31">
            <v>0.45334582300255072</v>
          </cell>
          <cell r="AI31">
            <v>1.900000000000001E-2</v>
          </cell>
          <cell r="AK31">
            <v>0.30543870494155201</v>
          </cell>
          <cell r="AY31">
            <v>1.900000000000001E-2</v>
          </cell>
          <cell r="BA31">
            <v>0.65608691671498764</v>
          </cell>
        </row>
        <row r="32">
          <cell r="A32">
            <v>0.20000000000000004</v>
          </cell>
          <cell r="C32">
            <v>0.38197694771009311</v>
          </cell>
          <cell r="S32">
            <v>2.0000000000000011E-2</v>
          </cell>
          <cell r="U32">
            <v>0.67249082195686671</v>
          </cell>
          <cell r="AI32">
            <v>2.0000000000000011E-2</v>
          </cell>
          <cell r="AK32">
            <v>9.2203479535992561E-2</v>
          </cell>
          <cell r="AY32">
            <v>2.0000000000000011E-2</v>
          </cell>
          <cell r="BA32">
            <v>0.5960875270851772</v>
          </cell>
        </row>
        <row r="33">
          <cell r="A33">
            <v>0.21000000000000005</v>
          </cell>
          <cell r="C33">
            <v>0.38729023569385052</v>
          </cell>
          <cell r="S33">
            <v>2.1000000000000012E-2</v>
          </cell>
          <cell r="U33">
            <v>0.17221751664145446</v>
          </cell>
          <cell r="AI33">
            <v>2.1000000000000012E-2</v>
          </cell>
          <cell r="AK33">
            <v>0.19501419880416893</v>
          </cell>
          <cell r="AY33">
            <v>2.1000000000000012E-2</v>
          </cell>
          <cell r="BA33">
            <v>0.12216559343241676</v>
          </cell>
        </row>
        <row r="34">
          <cell r="A34">
            <v>0.22000000000000006</v>
          </cell>
          <cell r="C34">
            <v>0.75270720619613296</v>
          </cell>
          <cell r="S34">
            <v>2.2000000000000013E-2</v>
          </cell>
          <cell r="U34">
            <v>0.5254690360744072</v>
          </cell>
          <cell r="AI34">
            <v>2.2000000000000013E-2</v>
          </cell>
          <cell r="AK34">
            <v>0.11834803426350304</v>
          </cell>
          <cell r="AY34">
            <v>2.2000000000000013E-2</v>
          </cell>
          <cell r="BA34">
            <v>0.39176610614337598</v>
          </cell>
        </row>
        <row r="35">
          <cell r="A35">
            <v>0.23000000000000007</v>
          </cell>
          <cell r="C35">
            <v>0.18538444995248901</v>
          </cell>
          <cell r="S35">
            <v>2.3000000000000013E-2</v>
          </cell>
          <cell r="U35">
            <v>0.52579095081078464</v>
          </cell>
          <cell r="AI35">
            <v>2.3000000000000013E-2</v>
          </cell>
          <cell r="AK35">
            <v>0.21047073855721943</v>
          </cell>
          <cell r="AY35">
            <v>2.3000000000000013E-2</v>
          </cell>
          <cell r="BA35">
            <v>0.88073366496780292</v>
          </cell>
        </row>
        <row r="36">
          <cell r="A36">
            <v>0.24000000000000007</v>
          </cell>
          <cell r="C36">
            <v>0.2993920611610304</v>
          </cell>
          <cell r="S36">
            <v>2.4000000000000014E-2</v>
          </cell>
          <cell r="U36">
            <v>0.30892250349680228</v>
          </cell>
          <cell r="AI36">
            <v>2.4000000000000014E-2</v>
          </cell>
          <cell r="AK36">
            <v>0.10589254449667422</v>
          </cell>
          <cell r="AY36">
            <v>2.4000000000000014E-2</v>
          </cell>
          <cell r="BA36">
            <v>0.49687185277871027</v>
          </cell>
        </row>
        <row r="37">
          <cell r="A37">
            <v>0.25000000000000006</v>
          </cell>
          <cell r="C37">
            <v>0.40084291779857861</v>
          </cell>
          <cell r="S37">
            <v>2.5000000000000015E-2</v>
          </cell>
          <cell r="U37">
            <v>0.26201583972868298</v>
          </cell>
          <cell r="AI37">
            <v>2.5000000000000015E-2</v>
          </cell>
          <cell r="AK37">
            <v>0.31615871604900814</v>
          </cell>
          <cell r="AY37">
            <v>2.5000000000000015E-2</v>
          </cell>
          <cell r="BA37">
            <v>0.9711600085451827</v>
          </cell>
        </row>
        <row r="38">
          <cell r="A38">
            <v>0.26000000000000006</v>
          </cell>
          <cell r="C38">
            <v>0.24275226297295083</v>
          </cell>
          <cell r="S38">
            <v>2.6000000000000016E-2</v>
          </cell>
          <cell r="U38">
            <v>0.60323151169267797</v>
          </cell>
          <cell r="AI38">
            <v>2.6000000000000016E-2</v>
          </cell>
          <cell r="AK38">
            <v>0.10131591189165784</v>
          </cell>
          <cell r="AY38">
            <v>2.6000000000000016E-2</v>
          </cell>
          <cell r="BA38">
            <v>0.36490981780449844</v>
          </cell>
        </row>
        <row r="39">
          <cell r="A39">
            <v>0.27000000000000007</v>
          </cell>
          <cell r="C39">
            <v>0.40388561403964901</v>
          </cell>
          <cell r="S39">
            <v>2.7000000000000017E-2</v>
          </cell>
          <cell r="U39">
            <v>0.82261532363646106</v>
          </cell>
          <cell r="AI39">
            <v>2.7000000000000017E-2</v>
          </cell>
          <cell r="AK39">
            <v>0.17250246349183965</v>
          </cell>
          <cell r="AY39">
            <v>2.7000000000000017E-2</v>
          </cell>
          <cell r="BA39">
            <v>0.87994018372142702</v>
          </cell>
        </row>
        <row r="40">
          <cell r="A40">
            <v>0.28000000000000008</v>
          </cell>
          <cell r="C40">
            <v>0.48703732140900879</v>
          </cell>
          <cell r="S40">
            <v>2.8000000000000018E-2</v>
          </cell>
          <cell r="U40">
            <v>0.47868088718729473</v>
          </cell>
          <cell r="AI40">
            <v>2.8000000000000018E-2</v>
          </cell>
          <cell r="AK40">
            <v>0.25773675923744377</v>
          </cell>
          <cell r="AY40">
            <v>2.8000000000000018E-2</v>
          </cell>
          <cell r="BA40">
            <v>0.3078707235938597</v>
          </cell>
        </row>
        <row r="41">
          <cell r="A41">
            <v>0.29000000000000009</v>
          </cell>
          <cell r="C41">
            <v>0.43673434937041733</v>
          </cell>
          <cell r="S41">
            <v>2.9000000000000019E-2</v>
          </cell>
          <cell r="U41">
            <v>0.31253940538868541</v>
          </cell>
          <cell r="AI41">
            <v>2.9000000000000019E-2</v>
          </cell>
          <cell r="AK41">
            <v>0.17830816674859842</v>
          </cell>
          <cell r="AY41">
            <v>2.9000000000000019E-2</v>
          </cell>
          <cell r="BA41">
            <v>0.41886654255806144</v>
          </cell>
        </row>
        <row r="42">
          <cell r="A42">
            <v>0.3000000000000001</v>
          </cell>
          <cell r="C42">
            <v>0.3200395922541821</v>
          </cell>
          <cell r="S42">
            <v>3.000000000000002E-2</v>
          </cell>
          <cell r="U42">
            <v>0.69959027260351758</v>
          </cell>
          <cell r="AI42">
            <v>3.000000000000002E-2</v>
          </cell>
          <cell r="AK42">
            <v>0.12399737638300298</v>
          </cell>
          <cell r="AY42">
            <v>3.000000000000002E-2</v>
          </cell>
          <cell r="BA42">
            <v>0.45942564165166172</v>
          </cell>
        </row>
        <row r="43">
          <cell r="A43">
            <v>0.31000000000000011</v>
          </cell>
          <cell r="C43">
            <v>0.66738247185237987</v>
          </cell>
          <cell r="S43">
            <v>3.1000000000000021E-2</v>
          </cell>
          <cell r="U43">
            <v>0.6977061558966362</v>
          </cell>
          <cell r="AI43">
            <v>3.1000000000000021E-2</v>
          </cell>
          <cell r="AK43">
            <v>9.8730041139186944E-2</v>
          </cell>
          <cell r="AY43">
            <v>3.1000000000000021E-2</v>
          </cell>
          <cell r="BA43">
            <v>4.2909024323252054E-2</v>
          </cell>
        </row>
        <row r="44">
          <cell r="A44">
            <v>0.32000000000000012</v>
          </cell>
          <cell r="C44">
            <v>0.60341751844500524</v>
          </cell>
          <cell r="S44">
            <v>3.2000000000000021E-2</v>
          </cell>
          <cell r="U44">
            <v>0.60720409056289149</v>
          </cell>
          <cell r="AI44">
            <v>3.2000000000000021E-2</v>
          </cell>
          <cell r="AK44">
            <v>0.19684730896172875</v>
          </cell>
          <cell r="AY44">
            <v>3.2000000000000021E-2</v>
          </cell>
          <cell r="BA44">
            <v>0.1998046815393536</v>
          </cell>
        </row>
        <row r="45">
          <cell r="A45">
            <v>0.33000000000000013</v>
          </cell>
          <cell r="C45">
            <v>0.49910886273451471</v>
          </cell>
          <cell r="S45">
            <v>3.3000000000000022E-2</v>
          </cell>
          <cell r="U45">
            <v>0.84051769546884891</v>
          </cell>
          <cell r="AI45">
            <v>3.3000000000000022E-2</v>
          </cell>
          <cell r="AK45">
            <v>0.10914293784357743</v>
          </cell>
          <cell r="AY45">
            <v>3.3000000000000022E-2</v>
          </cell>
          <cell r="BA45">
            <v>0.43824579607531966</v>
          </cell>
        </row>
        <row r="46">
          <cell r="A46">
            <v>0.34000000000000014</v>
          </cell>
          <cell r="C46">
            <v>0.56443813008811983</v>
          </cell>
          <cell r="S46">
            <v>3.4000000000000023E-2</v>
          </cell>
          <cell r="U46">
            <v>0.83707123204790568</v>
          </cell>
          <cell r="AI46">
            <v>3.4000000000000023E-2</v>
          </cell>
          <cell r="AK46">
            <v>0.22319783526412429</v>
          </cell>
          <cell r="AY46">
            <v>3.4000000000000023E-2</v>
          </cell>
          <cell r="BA46">
            <v>0.80214850306711016</v>
          </cell>
        </row>
        <row r="47">
          <cell r="A47">
            <v>0.35000000000000014</v>
          </cell>
          <cell r="C47">
            <v>0.39403880021299093</v>
          </cell>
          <cell r="S47">
            <v>3.5000000000000024E-2</v>
          </cell>
          <cell r="U47">
            <v>0.23086690723660663</v>
          </cell>
          <cell r="AI47">
            <v>3.5000000000000024E-2</v>
          </cell>
          <cell r="AK47">
            <v>0.39789348032152339</v>
          </cell>
          <cell r="AY47">
            <v>3.5000000000000024E-2</v>
          </cell>
          <cell r="BA47">
            <v>0.35312967314676352</v>
          </cell>
        </row>
        <row r="48">
          <cell r="A48">
            <v>0.36000000000000015</v>
          </cell>
          <cell r="C48">
            <v>0.63319475623425991</v>
          </cell>
          <cell r="S48">
            <v>3.6000000000000025E-2</v>
          </cell>
          <cell r="U48">
            <v>0.48802894654952556</v>
          </cell>
          <cell r="AI48">
            <v>3.6000000000000025E-2</v>
          </cell>
          <cell r="AK48">
            <v>0.26601076668946577</v>
          </cell>
          <cell r="AY48">
            <v>3.6000000000000025E-2</v>
          </cell>
          <cell r="BA48">
            <v>0.63106173894466999</v>
          </cell>
        </row>
        <row r="49">
          <cell r="A49">
            <v>0.37000000000000016</v>
          </cell>
          <cell r="C49">
            <v>0.56098887783654083</v>
          </cell>
          <cell r="S49">
            <v>3.7000000000000026E-2</v>
          </cell>
          <cell r="U49">
            <v>0.65195220590164338</v>
          </cell>
          <cell r="AI49">
            <v>3.7000000000000026E-2</v>
          </cell>
          <cell r="AK49">
            <v>0.19941390221402966</v>
          </cell>
          <cell r="AY49">
            <v>3.7000000000000026E-2</v>
          </cell>
          <cell r="BA49">
            <v>0.92797631763664667</v>
          </cell>
        </row>
        <row r="50">
          <cell r="A50">
            <v>0.38000000000000017</v>
          </cell>
          <cell r="C50">
            <v>0.77535147490899681</v>
          </cell>
          <cell r="S50">
            <v>3.8000000000000027E-2</v>
          </cell>
          <cell r="U50">
            <v>0.88436458182323685</v>
          </cell>
          <cell r="AI50">
            <v>3.8000000000000027E-2</v>
          </cell>
          <cell r="AK50">
            <v>0.17334798256795131</v>
          </cell>
          <cell r="AY50">
            <v>3.8000000000000027E-2</v>
          </cell>
          <cell r="BA50">
            <v>0.37525559251686147</v>
          </cell>
        </row>
        <row r="51">
          <cell r="A51">
            <v>0.39000000000000018</v>
          </cell>
          <cell r="C51">
            <v>0.67604189986161978</v>
          </cell>
          <cell r="S51">
            <v>3.9000000000000028E-2</v>
          </cell>
          <cell r="U51">
            <v>0.44382925334085804</v>
          </cell>
          <cell r="AI51">
            <v>3.9000000000000028E-2</v>
          </cell>
          <cell r="AK51">
            <v>0.13306355977709866</v>
          </cell>
          <cell r="AY51">
            <v>3.9000000000000028E-2</v>
          </cell>
          <cell r="BA51">
            <v>0.32923368022705773</v>
          </cell>
        </row>
        <row r="52">
          <cell r="A52">
            <v>0.40000000000000019</v>
          </cell>
          <cell r="C52">
            <v>0.46418551493795202</v>
          </cell>
          <cell r="S52">
            <v>4.0000000000000029E-2</v>
          </cell>
          <cell r="U52">
            <v>0.44949685103833364</v>
          </cell>
          <cell r="AI52">
            <v>4.0000000000000029E-2</v>
          </cell>
          <cell r="AK52">
            <v>0.15125345836630702</v>
          </cell>
          <cell r="AY52">
            <v>4.0000000000000029E-2</v>
          </cell>
          <cell r="BA52">
            <v>0.14966277047029022</v>
          </cell>
        </row>
        <row r="53">
          <cell r="A53">
            <v>0.4100000000000002</v>
          </cell>
          <cell r="C53">
            <v>0.24012232178167478</v>
          </cell>
          <cell r="S53">
            <v>4.1000000000000029E-2</v>
          </cell>
          <cell r="U53">
            <v>0.47255266290183123</v>
          </cell>
          <cell r="AI53">
            <v>4.1000000000000029E-2</v>
          </cell>
          <cell r="AK53">
            <v>0.25723694838677957</v>
          </cell>
          <cell r="AY53">
            <v>4.1000000000000029E-2</v>
          </cell>
          <cell r="BA53">
            <v>0.43183690908536027</v>
          </cell>
        </row>
        <row r="54">
          <cell r="A54">
            <v>0.42000000000000021</v>
          </cell>
          <cell r="C54">
            <v>0.44334232820705144</v>
          </cell>
          <cell r="S54">
            <v>4.200000000000003E-2</v>
          </cell>
          <cell r="U54">
            <v>0.5058577593041601</v>
          </cell>
          <cell r="AI54">
            <v>4.200000000000003E-2</v>
          </cell>
          <cell r="AK54">
            <v>0.11113489864487532</v>
          </cell>
          <cell r="AY54">
            <v>4.200000000000003E-2</v>
          </cell>
          <cell r="BA54">
            <v>0.4833826715903195</v>
          </cell>
        </row>
        <row r="55">
          <cell r="A55">
            <v>0.43000000000000022</v>
          </cell>
          <cell r="C55">
            <v>0.26302679013613556</v>
          </cell>
          <cell r="S55">
            <v>4.3000000000000031E-2</v>
          </cell>
          <cell r="U55">
            <v>0.72648627457550785</v>
          </cell>
          <cell r="AI55">
            <v>4.3000000000000031E-2</v>
          </cell>
          <cell r="AK55">
            <v>0.2654547148002292</v>
          </cell>
          <cell r="AY55">
            <v>4.3000000000000031E-2</v>
          </cell>
          <cell r="BA55">
            <v>0.74932096316415908</v>
          </cell>
        </row>
        <row r="56">
          <cell r="A56">
            <v>0.44000000000000022</v>
          </cell>
          <cell r="C56">
            <v>0.38164483532014243</v>
          </cell>
          <cell r="S56">
            <v>4.4000000000000032E-2</v>
          </cell>
          <cell r="U56">
            <v>0.89183989350160808</v>
          </cell>
          <cell r="AI56">
            <v>4.4000000000000032E-2</v>
          </cell>
          <cell r="AK56">
            <v>0.1560808015512373</v>
          </cell>
          <cell r="AY56">
            <v>4.4000000000000032E-2</v>
          </cell>
          <cell r="BA56">
            <v>0.84563737907040615</v>
          </cell>
        </row>
        <row r="57">
          <cell r="A57">
            <v>0.45000000000000023</v>
          </cell>
          <cell r="C57">
            <v>0.55424127149209812</v>
          </cell>
          <cell r="S57">
            <v>4.5000000000000033E-2</v>
          </cell>
          <cell r="U57">
            <v>0.56653389166478973</v>
          </cell>
          <cell r="AI57">
            <v>4.5000000000000033E-2</v>
          </cell>
          <cell r="AK57">
            <v>0.33717731017448693</v>
          </cell>
          <cell r="AY57">
            <v>4.5000000000000033E-2</v>
          </cell>
          <cell r="BA57">
            <v>0.90701010162663653</v>
          </cell>
        </row>
        <row r="58">
          <cell r="A58">
            <v>0.46000000000000024</v>
          </cell>
          <cell r="C58">
            <v>0.32837414393830461</v>
          </cell>
          <cell r="S58">
            <v>4.6000000000000034E-2</v>
          </cell>
          <cell r="U58">
            <v>0.44541391033026106</v>
          </cell>
          <cell r="AI58">
            <v>4.6000000000000034E-2</v>
          </cell>
          <cell r="AK58">
            <v>0.18665344832741734</v>
          </cell>
          <cell r="AY58">
            <v>4.6000000000000034E-2</v>
          </cell>
          <cell r="BA58">
            <v>7.3854792931913202E-2</v>
          </cell>
        </row>
        <row r="59">
          <cell r="A59">
            <v>0.47000000000000025</v>
          </cell>
          <cell r="C59">
            <v>0.68606388136667551</v>
          </cell>
          <cell r="S59">
            <v>4.7000000000000035E-2</v>
          </cell>
          <cell r="U59">
            <v>0.75478836546018435</v>
          </cell>
          <cell r="AI59">
            <v>4.7000000000000035E-2</v>
          </cell>
          <cell r="AK59">
            <v>0.36584770278736833</v>
          </cell>
          <cell r="AY59">
            <v>4.7000000000000035E-2</v>
          </cell>
          <cell r="BA59">
            <v>0.8146916104617451</v>
          </cell>
        </row>
        <row r="60">
          <cell r="A60">
            <v>0.48000000000000026</v>
          </cell>
          <cell r="C60">
            <v>0.69150014516059866</v>
          </cell>
          <cell r="S60">
            <v>4.8000000000000036E-2</v>
          </cell>
          <cell r="U60">
            <v>0.77430684966890428</v>
          </cell>
          <cell r="AI60">
            <v>4.8000000000000036E-2</v>
          </cell>
          <cell r="AK60">
            <v>0.30649124714642295</v>
          </cell>
          <cell r="AY60">
            <v>4.8000000000000036E-2</v>
          </cell>
          <cell r="BA60">
            <v>0.4847254860072634</v>
          </cell>
        </row>
        <row r="61">
          <cell r="A61">
            <v>0.49000000000000027</v>
          </cell>
          <cell r="C61">
            <v>0.31245184063017573</v>
          </cell>
          <cell r="S61">
            <v>4.9000000000000037E-2</v>
          </cell>
          <cell r="U61">
            <v>0.54649863644671925</v>
          </cell>
          <cell r="AI61">
            <v>4.9000000000000037E-2</v>
          </cell>
          <cell r="AK61">
            <v>0.12340780163166007</v>
          </cell>
          <cell r="AY61">
            <v>4.9000000000000037E-2</v>
          </cell>
          <cell r="BA61">
            <v>0.44718771935178686</v>
          </cell>
        </row>
        <row r="62">
          <cell r="A62">
            <v>0.50000000000000022</v>
          </cell>
          <cell r="C62">
            <v>0.24943749987896344</v>
          </cell>
          <cell r="S62">
            <v>5.0000000000000037E-2</v>
          </cell>
          <cell r="U62">
            <v>0.51383245789284804</v>
          </cell>
          <cell r="AI62">
            <v>5.0000000000000037E-2</v>
          </cell>
          <cell r="AK62">
            <v>0.18797784527557701</v>
          </cell>
          <cell r="AY62">
            <v>5.0000000000000037E-2</v>
          </cell>
          <cell r="BA62">
            <v>0.19214453566087833</v>
          </cell>
        </row>
        <row r="63">
          <cell r="A63">
            <v>0.51000000000000023</v>
          </cell>
          <cell r="C63">
            <v>0.4280571205536306</v>
          </cell>
          <cell r="S63">
            <v>5.1000000000000038E-2</v>
          </cell>
          <cell r="U63">
            <v>0.41977547929996933</v>
          </cell>
          <cell r="AI63">
            <v>5.1000000000000038E-2</v>
          </cell>
          <cell r="AK63">
            <v>0.33118707081152732</v>
          </cell>
          <cell r="AY63">
            <v>5.1000000000000038E-2</v>
          </cell>
          <cell r="BA63">
            <v>0.90914639728995639</v>
          </cell>
        </row>
        <row r="64">
          <cell r="A64">
            <v>0.52000000000000024</v>
          </cell>
          <cell r="C64">
            <v>0.6408704113274093</v>
          </cell>
          <cell r="S64">
            <v>5.2000000000000039E-2</v>
          </cell>
          <cell r="U64">
            <v>0.48592335804039338</v>
          </cell>
          <cell r="AI64">
            <v>5.2000000000000039E-2</v>
          </cell>
          <cell r="AK64">
            <v>0.20944599411728992</v>
          </cell>
          <cell r="AY64">
            <v>5.2000000000000039E-2</v>
          </cell>
          <cell r="BA64">
            <v>0.85534226508377331</v>
          </cell>
        </row>
        <row r="65">
          <cell r="A65">
            <v>0.53000000000000025</v>
          </cell>
          <cell r="C65">
            <v>0.42876143103472708</v>
          </cell>
          <cell r="S65">
            <v>5.300000000000004E-2</v>
          </cell>
          <cell r="U65">
            <v>0.52875198753747088</v>
          </cell>
          <cell r="AI65">
            <v>5.300000000000004E-2</v>
          </cell>
          <cell r="AK65">
            <v>0.22635693761146369</v>
          </cell>
          <cell r="AY65">
            <v>5.300000000000004E-2</v>
          </cell>
          <cell r="BA65">
            <v>0.36741233558153019</v>
          </cell>
        </row>
        <row r="66">
          <cell r="A66">
            <v>0.54000000000000026</v>
          </cell>
          <cell r="C66">
            <v>0.36123965523582713</v>
          </cell>
          <cell r="S66">
            <v>5.4000000000000041E-2</v>
          </cell>
          <cell r="U66">
            <v>0.66006879259966822</v>
          </cell>
          <cell r="AI66">
            <v>5.4000000000000041E-2</v>
          </cell>
          <cell r="AK66">
            <v>0.13125451360761539</v>
          </cell>
          <cell r="AY66">
            <v>5.4000000000000041E-2</v>
          </cell>
          <cell r="BA66">
            <v>0.35282448805200356</v>
          </cell>
        </row>
        <row r="67">
          <cell r="A67">
            <v>0.55000000000000027</v>
          </cell>
          <cell r="C67">
            <v>0.65790636917304657</v>
          </cell>
          <cell r="S67">
            <v>5.5000000000000042E-2</v>
          </cell>
          <cell r="U67">
            <v>0.42346169833986774</v>
          </cell>
          <cell r="AI67">
            <v>5.5000000000000042E-2</v>
          </cell>
          <cell r="AK67">
            <v>0.1047223431784155</v>
          </cell>
          <cell r="AY67">
            <v>5.5000000000000042E-2</v>
          </cell>
          <cell r="BA67">
            <v>0.61046174504837181</v>
          </cell>
        </row>
        <row r="68">
          <cell r="A68">
            <v>0.56000000000000028</v>
          </cell>
          <cell r="C68">
            <v>0.51088815058181414</v>
          </cell>
          <cell r="S68">
            <v>5.6000000000000043E-2</v>
          </cell>
          <cell r="U68">
            <v>0.28055645317316835</v>
          </cell>
          <cell r="AI68">
            <v>5.6000000000000043E-2</v>
          </cell>
          <cell r="AK68">
            <v>0.17425145337962886</v>
          </cell>
          <cell r="AY68">
            <v>5.6000000000000043E-2</v>
          </cell>
          <cell r="BA68">
            <v>0.35947752311777093</v>
          </cell>
        </row>
        <row r="69">
          <cell r="A69">
            <v>0.57000000000000028</v>
          </cell>
          <cell r="C69">
            <v>0.64637369975575842</v>
          </cell>
          <cell r="S69">
            <v>5.7000000000000044E-2</v>
          </cell>
          <cell r="U69">
            <v>0.3853357816624422</v>
          </cell>
          <cell r="AI69">
            <v>5.7000000000000044E-2</v>
          </cell>
          <cell r="AK69">
            <v>0.23426791358726162</v>
          </cell>
          <cell r="AY69">
            <v>5.7000000000000044E-2</v>
          </cell>
          <cell r="BA69">
            <v>0.55595568712424082</v>
          </cell>
        </row>
        <row r="70">
          <cell r="A70">
            <v>0.58000000000000029</v>
          </cell>
          <cell r="C70">
            <v>0.4272078187405674</v>
          </cell>
          <cell r="S70">
            <v>5.8000000000000045E-2</v>
          </cell>
          <cell r="U70">
            <v>0.51853611065484206</v>
          </cell>
          <cell r="AI70">
            <v>5.8000000000000045E-2</v>
          </cell>
          <cell r="AK70">
            <v>8.6665484977986401E-2</v>
          </cell>
          <cell r="AY70">
            <v>5.8000000000000045E-2</v>
          </cell>
          <cell r="BA70">
            <v>0.10818811609241004</v>
          </cell>
        </row>
        <row r="71">
          <cell r="A71">
            <v>0.5900000000000003</v>
          </cell>
          <cell r="C71">
            <v>0.26651901490516833</v>
          </cell>
          <cell r="S71">
            <v>5.9000000000000045E-2</v>
          </cell>
          <cell r="U71">
            <v>0.55301973432975671</v>
          </cell>
          <cell r="AI71">
            <v>5.9000000000000045E-2</v>
          </cell>
          <cell r="AK71">
            <v>0.25906467747015571</v>
          </cell>
          <cell r="AY71">
            <v>5.9000000000000045E-2</v>
          </cell>
          <cell r="BA71">
            <v>0.10989715262306587</v>
          </cell>
        </row>
        <row r="72">
          <cell r="A72">
            <v>0.60000000000000031</v>
          </cell>
          <cell r="C72">
            <v>0.40676153349111022</v>
          </cell>
          <cell r="S72">
            <v>6.0000000000000046E-2</v>
          </cell>
          <cell r="U72">
            <v>0.39617639992876069</v>
          </cell>
          <cell r="AI72">
            <v>6.0000000000000046E-2</v>
          </cell>
          <cell r="AK72">
            <v>0.22433863623750316</v>
          </cell>
          <cell r="AY72">
            <v>6.0000000000000046E-2</v>
          </cell>
          <cell r="BA72">
            <v>0.37897885067293313</v>
          </cell>
        </row>
        <row r="73">
          <cell r="A73">
            <v>0.61000000000000032</v>
          </cell>
          <cell r="C73">
            <v>0.77611311087865065</v>
          </cell>
          <cell r="S73">
            <v>6.1000000000000047E-2</v>
          </cell>
          <cell r="U73">
            <v>0.64068479843750525</v>
          </cell>
          <cell r="AI73">
            <v>6.1000000000000047E-2</v>
          </cell>
          <cell r="AK73">
            <v>7.4271634910368228E-2</v>
          </cell>
          <cell r="AY73">
            <v>6.1000000000000047E-2</v>
          </cell>
          <cell r="BA73">
            <v>0.50053407391582994</v>
          </cell>
        </row>
        <row r="74">
          <cell r="A74">
            <v>0.62000000000000033</v>
          </cell>
          <cell r="C74">
            <v>0.75591847144710633</v>
          </cell>
          <cell r="S74">
            <v>6.2000000000000048E-2</v>
          </cell>
          <cell r="U74">
            <v>0.50107393588393312</v>
          </cell>
          <cell r="AI74">
            <v>6.2000000000000048E-2</v>
          </cell>
          <cell r="AK74">
            <v>7.7703647878139229E-2</v>
          </cell>
          <cell r="AY74">
            <v>6.2000000000000048E-2</v>
          </cell>
          <cell r="BA74">
            <v>0.5952330088198492</v>
          </cell>
        </row>
        <row r="75">
          <cell r="A75">
            <v>0.63000000000000034</v>
          </cell>
          <cell r="C75">
            <v>0.33709593735801552</v>
          </cell>
          <cell r="S75">
            <v>6.3000000000000042E-2</v>
          </cell>
          <cell r="U75">
            <v>0.22042219322201712</v>
          </cell>
          <cell r="AI75">
            <v>6.3000000000000042E-2</v>
          </cell>
          <cell r="AK75">
            <v>6.9772476046277454E-2</v>
          </cell>
          <cell r="AY75">
            <v>6.3000000000000042E-2</v>
          </cell>
          <cell r="BA75">
            <v>0.69618823816644793</v>
          </cell>
        </row>
        <row r="76">
          <cell r="A76">
            <v>0.64000000000000035</v>
          </cell>
          <cell r="C76">
            <v>0.87122748219581969</v>
          </cell>
          <cell r="S76">
            <v>6.4000000000000043E-2</v>
          </cell>
          <cell r="U76">
            <v>0.19044609639219762</v>
          </cell>
          <cell r="AI76">
            <v>6.4000000000000043E-2</v>
          </cell>
          <cell r="AK76">
            <v>6.3973233832687687E-2</v>
          </cell>
          <cell r="AY76">
            <v>6.4000000000000043E-2</v>
          </cell>
          <cell r="BA76">
            <v>0.44859157078768275</v>
          </cell>
        </row>
        <row r="77">
          <cell r="A77">
            <v>0.65000000000000036</v>
          </cell>
          <cell r="C77">
            <v>0.36715024461518325</v>
          </cell>
          <cell r="S77">
            <v>6.5000000000000044E-2</v>
          </cell>
          <cell r="U77">
            <v>0.60899766789549581</v>
          </cell>
          <cell r="AI77">
            <v>6.5000000000000044E-2</v>
          </cell>
          <cell r="AK77">
            <v>0.34535274318750042</v>
          </cell>
          <cell r="AY77">
            <v>6.5000000000000044E-2</v>
          </cell>
          <cell r="BA77">
            <v>0.89431440168462173</v>
          </cell>
        </row>
        <row r="78">
          <cell r="A78">
            <v>0.66000000000000036</v>
          </cell>
          <cell r="C78">
            <v>0.4955135707383575</v>
          </cell>
          <cell r="S78">
            <v>6.6000000000000045E-2</v>
          </cell>
          <cell r="U78">
            <v>0.57734490410699624</v>
          </cell>
          <cell r="AI78">
            <v>6.6000000000000045E-2</v>
          </cell>
          <cell r="AK78">
            <v>0.14907994843979319</v>
          </cell>
          <cell r="AY78">
            <v>6.6000000000000045E-2</v>
          </cell>
          <cell r="BA78">
            <v>0.34244819483016448</v>
          </cell>
        </row>
        <row r="79">
          <cell r="A79">
            <v>0.67000000000000037</v>
          </cell>
          <cell r="C79">
            <v>0.50127196849938471</v>
          </cell>
          <cell r="S79">
            <v>6.7000000000000046E-2</v>
          </cell>
          <cell r="U79">
            <v>0.31657653414139997</v>
          </cell>
          <cell r="AI79">
            <v>6.7000000000000046E-2</v>
          </cell>
          <cell r="AK79">
            <v>0.25556003650904768</v>
          </cell>
          <cell r="AY79">
            <v>6.7000000000000046E-2</v>
          </cell>
          <cell r="BA79">
            <v>0.46018860438856168</v>
          </cell>
        </row>
        <row r="80">
          <cell r="A80">
            <v>0.68000000000000038</v>
          </cell>
          <cell r="C80">
            <v>0.40423554763844149</v>
          </cell>
          <cell r="S80">
            <v>6.8000000000000047E-2</v>
          </cell>
          <cell r="U80">
            <v>0.49557451462698315</v>
          </cell>
          <cell r="AI80">
            <v>6.8000000000000047E-2</v>
          </cell>
          <cell r="AK80">
            <v>0.25672846108269931</v>
          </cell>
          <cell r="AY80">
            <v>6.8000000000000047E-2</v>
          </cell>
          <cell r="BA80">
            <v>0.76680806909390542</v>
          </cell>
        </row>
        <row r="81">
          <cell r="A81">
            <v>0.69000000000000039</v>
          </cell>
          <cell r="C81">
            <v>0.57679630775275315</v>
          </cell>
          <cell r="S81">
            <v>6.9000000000000047E-2</v>
          </cell>
          <cell r="U81">
            <v>0.59870455083758878</v>
          </cell>
          <cell r="AI81">
            <v>6.9000000000000047E-2</v>
          </cell>
          <cell r="AK81">
            <v>6.5499628809499277E-2</v>
          </cell>
          <cell r="AY81">
            <v>6.9000000000000047E-2</v>
          </cell>
          <cell r="BA81">
            <v>0.22824793237098301</v>
          </cell>
        </row>
        <row r="82">
          <cell r="A82">
            <v>0.7000000000000004</v>
          </cell>
          <cell r="C82">
            <v>0.74174366912804035</v>
          </cell>
          <cell r="S82">
            <v>7.0000000000000048E-2</v>
          </cell>
          <cell r="U82">
            <v>0.62044131298999528</v>
          </cell>
          <cell r="AI82">
            <v>7.0000000000000048E-2</v>
          </cell>
          <cell r="AK82">
            <v>0.23709017433422541</v>
          </cell>
          <cell r="AY82">
            <v>7.0000000000000048E-2</v>
          </cell>
          <cell r="BA82">
            <v>0.11746574297311321</v>
          </cell>
        </row>
        <row r="83">
          <cell r="A83">
            <v>0.71000000000000041</v>
          </cell>
          <cell r="C83">
            <v>0.28668606020257792</v>
          </cell>
          <cell r="S83">
            <v>7.1000000000000049E-2</v>
          </cell>
          <cell r="U83">
            <v>0.65665543521665493</v>
          </cell>
          <cell r="AI83">
            <v>7.1000000000000049E-2</v>
          </cell>
          <cell r="AK83">
            <v>0.12511060128844742</v>
          </cell>
          <cell r="AY83">
            <v>7.1000000000000049E-2</v>
          </cell>
          <cell r="BA83">
            <v>0.8766747032074953</v>
          </cell>
        </row>
        <row r="84">
          <cell r="A84">
            <v>0.72000000000000042</v>
          </cell>
          <cell r="C84">
            <v>0.59342086855267617</v>
          </cell>
          <cell r="S84">
            <v>7.200000000000005E-2</v>
          </cell>
          <cell r="U84">
            <v>0.39178894969857292</v>
          </cell>
          <cell r="AI84">
            <v>7.200000000000005E-2</v>
          </cell>
          <cell r="AK84">
            <v>0.17636918717231123</v>
          </cell>
          <cell r="AY84">
            <v>7.200000000000005E-2</v>
          </cell>
          <cell r="BA84">
            <v>7.5777459028901026E-2</v>
          </cell>
        </row>
        <row r="85">
          <cell r="A85">
            <v>0.73000000000000043</v>
          </cell>
          <cell r="C85">
            <v>0.38543977925960432</v>
          </cell>
          <cell r="S85">
            <v>7.3000000000000051E-2</v>
          </cell>
          <cell r="U85">
            <v>0.56136790727317543</v>
          </cell>
          <cell r="AI85">
            <v>7.3000000000000051E-2</v>
          </cell>
          <cell r="AK85">
            <v>0.39852442010035749</v>
          </cell>
          <cell r="AY85">
            <v>7.3000000000000051E-2</v>
          </cell>
          <cell r="BA85">
            <v>0.27625354777672656</v>
          </cell>
        </row>
        <row r="86">
          <cell r="A86">
            <v>0.74000000000000044</v>
          </cell>
          <cell r="C86">
            <v>0.42650195765435545</v>
          </cell>
          <cell r="S86">
            <v>7.4000000000000052E-2</v>
          </cell>
          <cell r="U86">
            <v>0.11312208997399348</v>
          </cell>
          <cell r="AI86">
            <v>7.4000000000000052E-2</v>
          </cell>
          <cell r="AK86">
            <v>0.10330195871977253</v>
          </cell>
          <cell r="AY86">
            <v>7.4000000000000052E-2</v>
          </cell>
          <cell r="BA86">
            <v>9.7293008209479032E-2</v>
          </cell>
        </row>
        <row r="87">
          <cell r="A87">
            <v>0.75000000000000044</v>
          </cell>
          <cell r="C87">
            <v>0.28747282710672173</v>
          </cell>
          <cell r="S87">
            <v>7.5000000000000053E-2</v>
          </cell>
          <cell r="U87">
            <v>0.54325268823486317</v>
          </cell>
          <cell r="AI87">
            <v>7.5000000000000053E-2</v>
          </cell>
          <cell r="AK87">
            <v>0.10744342256469092</v>
          </cell>
          <cell r="AY87">
            <v>7.5000000000000053E-2</v>
          </cell>
          <cell r="BA87">
            <v>0.41914120914334546</v>
          </cell>
        </row>
        <row r="88">
          <cell r="A88">
            <v>0.76000000000000045</v>
          </cell>
          <cell r="C88">
            <v>0.4856486317315688</v>
          </cell>
          <cell r="S88">
            <v>7.6000000000000054E-2</v>
          </cell>
          <cell r="U88">
            <v>0.51334413687149416</v>
          </cell>
          <cell r="AI88">
            <v>7.6000000000000054E-2</v>
          </cell>
          <cell r="AK88">
            <v>0.22329121434737809</v>
          </cell>
          <cell r="AY88">
            <v>7.6000000000000054E-2</v>
          </cell>
          <cell r="BA88">
            <v>0.44193853572191533</v>
          </cell>
        </row>
        <row r="89">
          <cell r="A89">
            <v>0.77000000000000046</v>
          </cell>
          <cell r="C89">
            <v>0.76782691591275742</v>
          </cell>
          <cell r="S89">
            <v>7.7000000000000055E-2</v>
          </cell>
          <cell r="U89">
            <v>0.50808283179896119</v>
          </cell>
          <cell r="AI89">
            <v>7.7000000000000055E-2</v>
          </cell>
          <cell r="AK89">
            <v>0.19792708580106522</v>
          </cell>
          <cell r="AY89">
            <v>7.7000000000000055E-2</v>
          </cell>
          <cell r="BA89">
            <v>0.87884151738029115</v>
          </cell>
        </row>
        <row r="90">
          <cell r="A90">
            <v>0.78000000000000047</v>
          </cell>
          <cell r="C90">
            <v>0.32726152984686263</v>
          </cell>
          <cell r="S90">
            <v>7.8000000000000055E-2</v>
          </cell>
          <cell r="U90">
            <v>0.26780394044306077</v>
          </cell>
          <cell r="AI90">
            <v>7.8000000000000055E-2</v>
          </cell>
          <cell r="AK90">
            <v>0.26353353381019484</v>
          </cell>
          <cell r="AY90">
            <v>7.8000000000000055E-2</v>
          </cell>
          <cell r="BA90">
            <v>0.14172795800653096</v>
          </cell>
        </row>
        <row r="91">
          <cell r="A91">
            <v>0.79000000000000048</v>
          </cell>
          <cell r="C91">
            <v>0.69834771366796822</v>
          </cell>
          <cell r="S91">
            <v>7.9000000000000056E-2</v>
          </cell>
          <cell r="U91">
            <v>0.31818577917008595</v>
          </cell>
          <cell r="AI91">
            <v>7.9000000000000056E-2</v>
          </cell>
          <cell r="AK91">
            <v>9.0153629701247406E-2</v>
          </cell>
          <cell r="AY91">
            <v>7.9000000000000056E-2</v>
          </cell>
          <cell r="BA91">
            <v>0.86416211432233647</v>
          </cell>
        </row>
        <row r="92">
          <cell r="A92">
            <v>0.80000000000000049</v>
          </cell>
          <cell r="C92">
            <v>0.24499255157322836</v>
          </cell>
          <cell r="S92">
            <v>8.0000000000000057E-2</v>
          </cell>
          <cell r="U92">
            <v>0.45213185239584286</v>
          </cell>
          <cell r="AI92">
            <v>8.0000000000000057E-2</v>
          </cell>
          <cell r="AK92">
            <v>7.8348977134547693E-2</v>
          </cell>
          <cell r="AY92">
            <v>8.0000000000000057E-2</v>
          </cell>
          <cell r="BA92">
            <v>0.967741935483871</v>
          </cell>
        </row>
        <row r="93">
          <cell r="A93">
            <v>0.8100000000000005</v>
          </cell>
          <cell r="C93">
            <v>0.53721854891063248</v>
          </cell>
          <cell r="S93">
            <v>8.1000000000000058E-2</v>
          </cell>
          <cell r="U93">
            <v>0.26162106330284529</v>
          </cell>
          <cell r="AI93">
            <v>8.1000000000000058E-2</v>
          </cell>
          <cell r="AK93">
            <v>0.19947476104532669</v>
          </cell>
          <cell r="AY93">
            <v>8.1000000000000058E-2</v>
          </cell>
          <cell r="BA93">
            <v>0.9320352793969543</v>
          </cell>
        </row>
        <row r="94">
          <cell r="A94">
            <v>0.82000000000000051</v>
          </cell>
          <cell r="C94">
            <v>0.44888782278347145</v>
          </cell>
          <cell r="S94">
            <v>8.2000000000000059E-2</v>
          </cell>
          <cell r="U94">
            <v>0.40510105031828786</v>
          </cell>
          <cell r="AI94">
            <v>8.2000000000000059E-2</v>
          </cell>
          <cell r="AK94">
            <v>0.17146638613922704</v>
          </cell>
          <cell r="AY94">
            <v>8.2000000000000059E-2</v>
          </cell>
          <cell r="BA94">
            <v>0.45176549577318642</v>
          </cell>
        </row>
        <row r="95">
          <cell r="A95">
            <v>0.83000000000000052</v>
          </cell>
          <cell r="C95">
            <v>0.78920142153530604</v>
          </cell>
          <cell r="S95">
            <v>8.300000000000006E-2</v>
          </cell>
          <cell r="U95">
            <v>0.66718010710939146</v>
          </cell>
          <cell r="AI95">
            <v>8.300000000000006E-2</v>
          </cell>
          <cell r="AK95">
            <v>9.9437775006930448E-2</v>
          </cell>
          <cell r="AY95">
            <v>8.300000000000006E-2</v>
          </cell>
          <cell r="BA95">
            <v>0.44126712851344341</v>
          </cell>
        </row>
        <row r="96">
          <cell r="A96">
            <v>0.84000000000000052</v>
          </cell>
          <cell r="C96">
            <v>0.16692467504551228</v>
          </cell>
          <cell r="S96">
            <v>8.4000000000000061E-2</v>
          </cell>
          <cell r="U96">
            <v>0.39859097580307223</v>
          </cell>
          <cell r="AI96">
            <v>8.4000000000000061E-2</v>
          </cell>
          <cell r="AK96">
            <v>0.24218683896565207</v>
          </cell>
          <cell r="AY96">
            <v>8.4000000000000061E-2</v>
          </cell>
          <cell r="BA96">
            <v>0.966795861690115</v>
          </cell>
        </row>
        <row r="97">
          <cell r="A97">
            <v>0.85000000000000053</v>
          </cell>
          <cell r="C97">
            <v>0.6412605273387183</v>
          </cell>
          <cell r="S97">
            <v>8.5000000000000062E-2</v>
          </cell>
          <cell r="U97">
            <v>0.38748002671745246</v>
          </cell>
          <cell r="AI97">
            <v>8.5000000000000062E-2</v>
          </cell>
          <cell r="AK97">
            <v>0.1098214301292839</v>
          </cell>
          <cell r="AY97">
            <v>8.5000000000000062E-2</v>
          </cell>
          <cell r="BA97">
            <v>0.98770104068117315</v>
          </cell>
        </row>
        <row r="98">
          <cell r="A98">
            <v>0.86000000000000054</v>
          </cell>
          <cell r="C98">
            <v>0.57446173760161523</v>
          </cell>
          <cell r="S98">
            <v>8.6000000000000063E-2</v>
          </cell>
          <cell r="U98">
            <v>0.38734200499546079</v>
          </cell>
          <cell r="AI98">
            <v>8.6000000000000063E-2</v>
          </cell>
          <cell r="AK98">
            <v>7.9654558821984925E-2</v>
          </cell>
          <cell r="AY98">
            <v>8.6000000000000063E-2</v>
          </cell>
          <cell r="BA98">
            <v>0.39381084627826779</v>
          </cell>
        </row>
        <row r="99">
          <cell r="A99">
            <v>0.87000000000000055</v>
          </cell>
          <cell r="C99">
            <v>0.24141105833469825</v>
          </cell>
          <cell r="S99">
            <v>8.7000000000000063E-2</v>
          </cell>
          <cell r="U99">
            <v>0.74380155665975978</v>
          </cell>
          <cell r="AI99">
            <v>8.7000000000000063E-2</v>
          </cell>
          <cell r="AK99">
            <v>0.17702668912482356</v>
          </cell>
          <cell r="AY99">
            <v>8.7000000000000063E-2</v>
          </cell>
          <cell r="BA99">
            <v>0.48518326364940334</v>
          </cell>
        </row>
        <row r="100">
          <cell r="A100">
            <v>0.88000000000000056</v>
          </cell>
          <cell r="C100">
            <v>0.79293238621942841</v>
          </cell>
          <cell r="S100">
            <v>8.8000000000000064E-2</v>
          </cell>
          <cell r="U100">
            <v>0.42637354248084353</v>
          </cell>
          <cell r="AI100">
            <v>8.8000000000000064E-2</v>
          </cell>
          <cell r="AK100">
            <v>0.16537913556710854</v>
          </cell>
          <cell r="AY100">
            <v>8.8000000000000064E-2</v>
          </cell>
          <cell r="BA100">
            <v>0.63289284951322977</v>
          </cell>
        </row>
        <row r="101">
          <cell r="A101">
            <v>0.89000000000000057</v>
          </cell>
          <cell r="C101">
            <v>0.29119292926645735</v>
          </cell>
          <cell r="S101">
            <v>8.9000000000000065E-2</v>
          </cell>
          <cell r="U101">
            <v>0.16870396689100683</v>
          </cell>
          <cell r="AI101">
            <v>8.9000000000000065E-2</v>
          </cell>
          <cell r="AK101">
            <v>0.27742185222365312</v>
          </cell>
          <cell r="AY101">
            <v>8.9000000000000065E-2</v>
          </cell>
          <cell r="BA101">
            <v>0.37119663075655385</v>
          </cell>
        </row>
        <row r="102">
          <cell r="A102">
            <v>0.90000000000000058</v>
          </cell>
          <cell r="C102">
            <v>0.6623268261694345</v>
          </cell>
          <cell r="S102">
            <v>9.0000000000000066E-2</v>
          </cell>
          <cell r="U102">
            <v>0.51684016150882739</v>
          </cell>
          <cell r="AI102">
            <v>9.0000000000000066E-2</v>
          </cell>
          <cell r="AK102">
            <v>0.38010522013901826</v>
          </cell>
          <cell r="AY102">
            <v>9.0000000000000066E-2</v>
          </cell>
          <cell r="BA102">
            <v>0.77153843806268507</v>
          </cell>
        </row>
        <row r="103">
          <cell r="A103">
            <v>0.91000000000000059</v>
          </cell>
          <cell r="C103">
            <v>0.6879206676054791</v>
          </cell>
          <cell r="S103">
            <v>9.1000000000000067E-2</v>
          </cell>
          <cell r="U103">
            <v>0.30769693455699709</v>
          </cell>
          <cell r="AI103">
            <v>9.1000000000000067E-2</v>
          </cell>
          <cell r="AK103">
            <v>0.23682315141410315</v>
          </cell>
          <cell r="AY103">
            <v>9.1000000000000067E-2</v>
          </cell>
          <cell r="BA103">
            <v>0.7457808160649434</v>
          </cell>
        </row>
        <row r="104">
          <cell r="A104">
            <v>0.9200000000000006</v>
          </cell>
          <cell r="C104">
            <v>0.17919026225036302</v>
          </cell>
          <cell r="S104">
            <v>9.2000000000000068E-2</v>
          </cell>
          <cell r="U104">
            <v>0.3497908615310758</v>
          </cell>
          <cell r="AI104">
            <v>9.2000000000000068E-2</v>
          </cell>
          <cell r="AK104">
            <v>0.25063137744512243</v>
          </cell>
          <cell r="AY104">
            <v>9.2000000000000068E-2</v>
          </cell>
          <cell r="BA104">
            <v>0.73445844904934843</v>
          </cell>
        </row>
        <row r="105">
          <cell r="A105">
            <v>0.9300000000000006</v>
          </cell>
          <cell r="C105">
            <v>0.68901966665264802</v>
          </cell>
          <cell r="S105">
            <v>9.3000000000000069E-2</v>
          </cell>
          <cell r="U105">
            <v>0.58196180515376228</v>
          </cell>
          <cell r="AI105">
            <v>9.3000000000000069E-2</v>
          </cell>
          <cell r="AK105">
            <v>0.45610811581897359</v>
          </cell>
          <cell r="AY105">
            <v>9.3000000000000069E-2</v>
          </cell>
          <cell r="BA105">
            <v>0.22318185979796745</v>
          </cell>
        </row>
        <row r="106">
          <cell r="A106">
            <v>0.94000000000000061</v>
          </cell>
          <cell r="C106">
            <v>0.64207936795336817</v>
          </cell>
          <cell r="S106">
            <v>9.400000000000007E-2</v>
          </cell>
          <cell r="U106">
            <v>0.58463407712356186</v>
          </cell>
          <cell r="AI106">
            <v>9.400000000000007E-2</v>
          </cell>
          <cell r="AK106">
            <v>0.13360034542575583</v>
          </cell>
          <cell r="AY106">
            <v>9.400000000000007E-2</v>
          </cell>
          <cell r="BA106">
            <v>0.32569353312784205</v>
          </cell>
        </row>
        <row r="107">
          <cell r="A107">
            <v>0.95000000000000062</v>
          </cell>
          <cell r="C107">
            <v>0.71035495138149152</v>
          </cell>
          <cell r="S107">
            <v>9.500000000000007E-2</v>
          </cell>
          <cell r="U107">
            <v>0.51561843650567796</v>
          </cell>
          <cell r="AI107">
            <v>9.500000000000007E-2</v>
          </cell>
          <cell r="AK107">
            <v>5.9671213415756673E-2</v>
          </cell>
          <cell r="AY107">
            <v>9.500000000000007E-2</v>
          </cell>
          <cell r="BA107">
            <v>1.2756736960966825E-2</v>
          </cell>
        </row>
        <row r="108">
          <cell r="A108">
            <v>0.96000000000000063</v>
          </cell>
          <cell r="C108">
            <v>0.58676081654665047</v>
          </cell>
          <cell r="S108">
            <v>9.6000000000000071E-2</v>
          </cell>
          <cell r="U108">
            <v>0.34010873018159321</v>
          </cell>
          <cell r="AI108">
            <v>9.6000000000000071E-2</v>
          </cell>
          <cell r="AK108">
            <v>7.1738040922901689E-2</v>
          </cell>
          <cell r="AY108">
            <v>9.6000000000000071E-2</v>
          </cell>
          <cell r="BA108">
            <v>0.36558122501297036</v>
          </cell>
        </row>
        <row r="109">
          <cell r="A109">
            <v>0.97000000000000064</v>
          </cell>
          <cell r="C109">
            <v>0.32173232395600171</v>
          </cell>
          <cell r="S109">
            <v>9.7000000000000072E-2</v>
          </cell>
          <cell r="U109">
            <v>0.29415944169960118</v>
          </cell>
          <cell r="AI109">
            <v>9.7000000000000072E-2</v>
          </cell>
          <cell r="AK109">
            <v>7.9488442078825883E-2</v>
          </cell>
          <cell r="AY109">
            <v>9.7000000000000072E-2</v>
          </cell>
          <cell r="BA109">
            <v>0.37110507522812586</v>
          </cell>
        </row>
        <row r="110">
          <cell r="A110">
            <v>0.98000000000000065</v>
          </cell>
          <cell r="C110">
            <v>0.6229977601762493</v>
          </cell>
          <cell r="S110">
            <v>9.8000000000000073E-2</v>
          </cell>
          <cell r="U110">
            <v>0.58929026356065117</v>
          </cell>
          <cell r="AI110">
            <v>9.8000000000000073E-2</v>
          </cell>
          <cell r="AK110">
            <v>4.3792947181958614E-2</v>
          </cell>
          <cell r="AY110">
            <v>9.8000000000000073E-2</v>
          </cell>
          <cell r="BA110">
            <v>0.74425489059114358</v>
          </cell>
        </row>
        <row r="111">
          <cell r="A111">
            <v>0.99000000000000066</v>
          </cell>
          <cell r="C111">
            <v>0.67715238669819167</v>
          </cell>
          <cell r="S111">
            <v>9.9000000000000074E-2</v>
          </cell>
          <cell r="U111">
            <v>0.77954045609791134</v>
          </cell>
          <cell r="AI111">
            <v>9.9000000000000074E-2</v>
          </cell>
          <cell r="AK111">
            <v>0.36773819131473207</v>
          </cell>
          <cell r="AY111">
            <v>9.9000000000000074E-2</v>
          </cell>
          <cell r="BA111">
            <v>0.21115756706442457</v>
          </cell>
        </row>
        <row r="112">
          <cell r="A112">
            <v>1.0000000000000007</v>
          </cell>
          <cell r="C112">
            <v>0.65360849501523932</v>
          </cell>
          <cell r="S112">
            <v>0.10000000000000007</v>
          </cell>
          <cell r="U112">
            <v>0.44101401635763438</v>
          </cell>
          <cell r="AI112">
            <v>0.10000000000000007</v>
          </cell>
          <cell r="AK112">
            <v>0.13840498926883843</v>
          </cell>
          <cell r="AY112">
            <v>0.10000000000000007</v>
          </cell>
          <cell r="BA112">
            <v>0.28513443403424177</v>
          </cell>
        </row>
        <row r="113">
          <cell r="A113">
            <v>1.0100000000000007</v>
          </cell>
          <cell r="C113">
            <v>0.34860432837685368</v>
          </cell>
          <cell r="S113">
            <v>0.10100000000000008</v>
          </cell>
          <cell r="U113">
            <v>0.40526733101165602</v>
          </cell>
          <cell r="AI113">
            <v>0.10100000000000008</v>
          </cell>
          <cell r="AK113">
            <v>0.14336991656051201</v>
          </cell>
          <cell r="AY113">
            <v>0.10100000000000008</v>
          </cell>
          <cell r="BA113">
            <v>0.43739127780999176</v>
          </cell>
        </row>
        <row r="114">
          <cell r="A114">
            <v>1.0200000000000007</v>
          </cell>
          <cell r="C114">
            <v>0.47877268272155421</v>
          </cell>
          <cell r="S114">
            <v>0.10200000000000008</v>
          </cell>
          <cell r="U114">
            <v>0.38961389132579782</v>
          </cell>
          <cell r="AI114">
            <v>0.10200000000000008</v>
          </cell>
          <cell r="AK114">
            <v>0.13159508291353039</v>
          </cell>
          <cell r="AY114">
            <v>0.10200000000000008</v>
          </cell>
          <cell r="BA114">
            <v>0.96319467757194743</v>
          </cell>
        </row>
        <row r="115">
          <cell r="A115">
            <v>1.0300000000000007</v>
          </cell>
          <cell r="C115">
            <v>0.24910243006866886</v>
          </cell>
          <cell r="S115">
            <v>0.10300000000000008</v>
          </cell>
          <cell r="U115">
            <v>0.69766040100821525</v>
          </cell>
          <cell r="AI115">
            <v>0.10300000000000008</v>
          </cell>
          <cell r="AK115">
            <v>0.16163738783468767</v>
          </cell>
          <cell r="AY115">
            <v>0.10300000000000008</v>
          </cell>
          <cell r="BA115">
            <v>0.62340159306619469</v>
          </cell>
        </row>
        <row r="116">
          <cell r="A116">
            <v>1.0400000000000007</v>
          </cell>
          <cell r="C116">
            <v>0.64306834090061837</v>
          </cell>
          <cell r="S116">
            <v>0.10400000000000008</v>
          </cell>
          <cell r="U116">
            <v>0.71754666583678628</v>
          </cell>
          <cell r="AI116">
            <v>0.10400000000000008</v>
          </cell>
          <cell r="AK116">
            <v>0.18799250612268592</v>
          </cell>
          <cell r="AY116">
            <v>0.10400000000000008</v>
          </cell>
          <cell r="BA116">
            <v>0.87481307412945952</v>
          </cell>
        </row>
        <row r="117">
          <cell r="S117">
            <v>0.10500000000000008</v>
          </cell>
          <cell r="U117">
            <v>0.61584461829235604</v>
          </cell>
          <cell r="AI117">
            <v>0.10500000000000008</v>
          </cell>
          <cell r="AK117">
            <v>0.30423570862792038</v>
          </cell>
          <cell r="AY117">
            <v>0.10500000000000008</v>
          </cell>
          <cell r="BA117">
            <v>8.9968565935239705E-2</v>
          </cell>
        </row>
        <row r="118">
          <cell r="S118">
            <v>0.10600000000000008</v>
          </cell>
          <cell r="U118">
            <v>0.61734217258848489</v>
          </cell>
          <cell r="AI118">
            <v>0.10600000000000008</v>
          </cell>
          <cell r="AK118">
            <v>0.21940911049433465</v>
          </cell>
          <cell r="AY118">
            <v>0.10600000000000008</v>
          </cell>
          <cell r="BA118">
            <v>3.9582506790368358E-2</v>
          </cell>
        </row>
        <row r="119">
          <cell r="S119">
            <v>0.10700000000000008</v>
          </cell>
          <cell r="U119">
            <v>0.57227927325123273</v>
          </cell>
          <cell r="AI119">
            <v>0.10700000000000008</v>
          </cell>
          <cell r="AK119">
            <v>0.18911583949713229</v>
          </cell>
          <cell r="AY119">
            <v>0.10700000000000008</v>
          </cell>
          <cell r="BA119">
            <v>0.39484847560045166</v>
          </cell>
        </row>
        <row r="120">
          <cell r="S120">
            <v>0.10800000000000008</v>
          </cell>
          <cell r="U120">
            <v>0.78199125417910698</v>
          </cell>
          <cell r="AI120">
            <v>0.10800000000000008</v>
          </cell>
          <cell r="AK120">
            <v>0.25341838947978435</v>
          </cell>
          <cell r="AY120">
            <v>0.10800000000000008</v>
          </cell>
          <cell r="BA120">
            <v>0.24753563035981321</v>
          </cell>
        </row>
        <row r="121">
          <cell r="S121">
            <v>0.10900000000000008</v>
          </cell>
          <cell r="U121">
            <v>0.75926412275969146</v>
          </cell>
          <cell r="AI121">
            <v>0.10900000000000008</v>
          </cell>
          <cell r="AK121">
            <v>0.24852515642649076</v>
          </cell>
          <cell r="AY121">
            <v>0.10900000000000008</v>
          </cell>
          <cell r="BA121">
            <v>0.8418530838953826</v>
          </cell>
        </row>
        <row r="122">
          <cell r="S122">
            <v>0.11000000000000008</v>
          </cell>
          <cell r="U122">
            <v>0.6573975463468904</v>
          </cell>
          <cell r="AI122">
            <v>0.11000000000000008</v>
          </cell>
          <cell r="AK122">
            <v>0.1423383983072431</v>
          </cell>
          <cell r="AY122">
            <v>0.11000000000000008</v>
          </cell>
          <cell r="BA122">
            <v>0.37858211004974518</v>
          </cell>
        </row>
        <row r="123">
          <cell r="S123">
            <v>0.11100000000000008</v>
          </cell>
          <cell r="U123">
            <v>0.79427297402712138</v>
          </cell>
          <cell r="AI123">
            <v>0.11100000000000008</v>
          </cell>
          <cell r="AK123">
            <v>0.24103834013370717</v>
          </cell>
          <cell r="AY123">
            <v>0.11100000000000008</v>
          </cell>
          <cell r="BA123">
            <v>0.97894222846156198</v>
          </cell>
        </row>
        <row r="124">
          <cell r="S124">
            <v>0.11200000000000009</v>
          </cell>
          <cell r="U124">
            <v>0.1914580413209184</v>
          </cell>
          <cell r="AI124">
            <v>0.11200000000000009</v>
          </cell>
          <cell r="AK124">
            <v>0.14757557177256309</v>
          </cell>
          <cell r="AY124">
            <v>0.11200000000000009</v>
          </cell>
          <cell r="BA124">
            <v>0.53801080355235453</v>
          </cell>
        </row>
        <row r="125">
          <cell r="S125">
            <v>0.11300000000000009</v>
          </cell>
          <cell r="U125">
            <v>0.76892603270006854</v>
          </cell>
          <cell r="AI125">
            <v>0.11300000000000009</v>
          </cell>
          <cell r="AK125">
            <v>0.28022435657196243</v>
          </cell>
          <cell r="AY125">
            <v>0.11300000000000009</v>
          </cell>
          <cell r="BA125">
            <v>0.30539872432630388</v>
          </cell>
        </row>
        <row r="126">
          <cell r="S126">
            <v>0.11400000000000009</v>
          </cell>
          <cell r="U126">
            <v>0.60365435785588129</v>
          </cell>
          <cell r="AI126">
            <v>0.11400000000000009</v>
          </cell>
          <cell r="AK126">
            <v>0.15752502579432318</v>
          </cell>
          <cell r="AY126">
            <v>0.11400000000000009</v>
          </cell>
          <cell r="BA126">
            <v>0.59447004608294929</v>
          </cell>
        </row>
        <row r="127">
          <cell r="S127">
            <v>0.11500000000000009</v>
          </cell>
          <cell r="U127">
            <v>0.66750396164684145</v>
          </cell>
          <cell r="AI127">
            <v>0.11500000000000009</v>
          </cell>
          <cell r="AK127">
            <v>0.30069693096875094</v>
          </cell>
          <cell r="AY127">
            <v>0.11500000000000009</v>
          </cell>
          <cell r="BA127">
            <v>0.67754142887661362</v>
          </cell>
        </row>
        <row r="128">
          <cell r="S128">
            <v>0.11600000000000009</v>
          </cell>
          <cell r="U128">
            <v>0.5174664800990072</v>
          </cell>
          <cell r="AI128">
            <v>0.11600000000000009</v>
          </cell>
          <cell r="AK128">
            <v>0.29794456710396533</v>
          </cell>
          <cell r="AY128">
            <v>0.11600000000000009</v>
          </cell>
          <cell r="BA128">
            <v>0.90530106509598074</v>
          </cell>
        </row>
        <row r="129">
          <cell r="S129">
            <v>0.11700000000000009</v>
          </cell>
          <cell r="U129">
            <v>0.65038110034449814</v>
          </cell>
          <cell r="AI129">
            <v>0.11700000000000009</v>
          </cell>
          <cell r="AK129">
            <v>0.11673968176488862</v>
          </cell>
          <cell r="AY129">
            <v>0.11700000000000009</v>
          </cell>
          <cell r="BA129">
            <v>0.30845057527390363</v>
          </cell>
        </row>
        <row r="130">
          <cell r="S130">
            <v>0.11800000000000009</v>
          </cell>
          <cell r="U130">
            <v>0.52318639037412529</v>
          </cell>
          <cell r="AI130">
            <v>0.11800000000000009</v>
          </cell>
          <cell r="AK130">
            <v>0.22246941354492245</v>
          </cell>
          <cell r="AY130">
            <v>0.11800000000000009</v>
          </cell>
          <cell r="BA130">
            <v>0.78844569231238748</v>
          </cell>
        </row>
        <row r="131">
          <cell r="S131">
            <v>0.11900000000000009</v>
          </cell>
          <cell r="U131">
            <v>0.71336321529811397</v>
          </cell>
          <cell r="AI131">
            <v>0.11900000000000009</v>
          </cell>
          <cell r="AK131">
            <v>0.29400216980856686</v>
          </cell>
          <cell r="AY131">
            <v>0.11900000000000009</v>
          </cell>
          <cell r="BA131">
            <v>0.93380535294656208</v>
          </cell>
        </row>
        <row r="132">
          <cell r="S132">
            <v>0.12000000000000009</v>
          </cell>
          <cell r="U132">
            <v>0.30126186294416352</v>
          </cell>
          <cell r="AI132">
            <v>0.12000000000000009</v>
          </cell>
          <cell r="AK132">
            <v>0.12466907967971498</v>
          </cell>
          <cell r="AY132">
            <v>0.12000000000000009</v>
          </cell>
          <cell r="BA132">
            <v>0.28025147251808219</v>
          </cell>
        </row>
        <row r="133">
          <cell r="S133">
            <v>0.12100000000000009</v>
          </cell>
          <cell r="U133">
            <v>0.61410985317218714</v>
          </cell>
          <cell r="AI133">
            <v>0.12100000000000009</v>
          </cell>
          <cell r="AK133">
            <v>0.37257605300713503</v>
          </cell>
          <cell r="AY133">
            <v>0.12100000000000009</v>
          </cell>
          <cell r="BA133">
            <v>0.77748954741050447</v>
          </cell>
        </row>
        <row r="134">
          <cell r="S134">
            <v>0.12200000000000009</v>
          </cell>
          <cell r="U134">
            <v>0.67620921592747663</v>
          </cell>
          <cell r="AI134">
            <v>0.12200000000000009</v>
          </cell>
          <cell r="AK134">
            <v>0.32058584025103276</v>
          </cell>
          <cell r="AY134">
            <v>0.12200000000000009</v>
          </cell>
          <cell r="BA134">
            <v>0.52314828943754388</v>
          </cell>
        </row>
        <row r="135">
          <cell r="S135">
            <v>0.1230000000000001</v>
          </cell>
          <cell r="U135">
            <v>0.49176474033397255</v>
          </cell>
          <cell r="AI135">
            <v>0.1230000000000001</v>
          </cell>
          <cell r="AK135">
            <v>0.39074765097630781</v>
          </cell>
          <cell r="AY135">
            <v>0.1230000000000001</v>
          </cell>
          <cell r="BA135">
            <v>0.53282265694143494</v>
          </cell>
        </row>
        <row r="136">
          <cell r="S136">
            <v>0.1240000000000001</v>
          </cell>
          <cell r="U136">
            <v>0.7312723409809625</v>
          </cell>
          <cell r="AI136">
            <v>0.1240000000000001</v>
          </cell>
          <cell r="AK136">
            <v>7.114685081806961E-2</v>
          </cell>
          <cell r="AY136">
            <v>0.1240000000000001</v>
          </cell>
          <cell r="BA136">
            <v>0.3882259590441603</v>
          </cell>
        </row>
        <row r="137">
          <cell r="S137">
            <v>0.12500000000000008</v>
          </cell>
          <cell r="U137">
            <v>0.25007519019928542</v>
          </cell>
          <cell r="AI137">
            <v>0.12500000000000008</v>
          </cell>
          <cell r="AK137">
            <v>0.14896651664003563</v>
          </cell>
          <cell r="AY137">
            <v>0.12500000000000008</v>
          </cell>
          <cell r="BA137">
            <v>0.79506820886867891</v>
          </cell>
        </row>
        <row r="138">
          <cell r="S138">
            <v>0.12600000000000008</v>
          </cell>
          <cell r="U138">
            <v>0.724491616316295</v>
          </cell>
          <cell r="AI138">
            <v>0.12600000000000008</v>
          </cell>
          <cell r="AK138">
            <v>0.25811020414524988</v>
          </cell>
          <cell r="AY138">
            <v>0.12600000000000008</v>
          </cell>
          <cell r="BA138">
            <v>0.27603991821039459</v>
          </cell>
        </row>
        <row r="139">
          <cell r="S139">
            <v>0.12700000000000009</v>
          </cell>
          <cell r="U139">
            <v>0.72775731386143561</v>
          </cell>
          <cell r="AI139">
            <v>0.12700000000000009</v>
          </cell>
          <cell r="AK139">
            <v>0.18852803470999457</v>
          </cell>
          <cell r="AY139">
            <v>0.12700000000000009</v>
          </cell>
          <cell r="BA139">
            <v>0.36695455793939025</v>
          </cell>
        </row>
        <row r="140">
          <cell r="S140">
            <v>0.12800000000000009</v>
          </cell>
          <cell r="U140">
            <v>0.53157945277295249</v>
          </cell>
          <cell r="AI140">
            <v>0.12800000000000009</v>
          </cell>
          <cell r="AK140">
            <v>0.20253572820921295</v>
          </cell>
          <cell r="AY140">
            <v>0.12800000000000009</v>
          </cell>
          <cell r="BA140">
            <v>7.7974791711172831E-2</v>
          </cell>
        </row>
        <row r="141">
          <cell r="S141">
            <v>0.12900000000000009</v>
          </cell>
          <cell r="U141">
            <v>0.46316732135055722</v>
          </cell>
          <cell r="AI141">
            <v>0.12900000000000009</v>
          </cell>
          <cell r="AK141">
            <v>0.39763232590291542</v>
          </cell>
          <cell r="AY141">
            <v>0.12900000000000009</v>
          </cell>
          <cell r="BA141">
            <v>0.73708304086428422</v>
          </cell>
        </row>
        <row r="142">
          <cell r="S142">
            <v>0.13000000000000009</v>
          </cell>
          <cell r="U142">
            <v>0.66619064276666684</v>
          </cell>
          <cell r="AI142">
            <v>0.13000000000000009</v>
          </cell>
          <cell r="AK142">
            <v>0.3821173334329413</v>
          </cell>
          <cell r="AY142">
            <v>0.13000000000000009</v>
          </cell>
          <cell r="BA142">
            <v>0.65236365855891598</v>
          </cell>
        </row>
        <row r="143">
          <cell r="S143">
            <v>0.13100000000000009</v>
          </cell>
          <cell r="U143">
            <v>0.41675240335675728</v>
          </cell>
          <cell r="AI143">
            <v>0.13100000000000009</v>
          </cell>
          <cell r="AK143">
            <v>2.2948716283800005E-2</v>
          </cell>
          <cell r="AY143">
            <v>0.13100000000000009</v>
          </cell>
          <cell r="BA143">
            <v>0.9218115787224952</v>
          </cell>
        </row>
        <row r="144">
          <cell r="S144">
            <v>0.13200000000000009</v>
          </cell>
          <cell r="U144">
            <v>0.50922613313975962</v>
          </cell>
          <cell r="AI144">
            <v>0.13200000000000009</v>
          </cell>
          <cell r="AK144">
            <v>0.15507990193499574</v>
          </cell>
          <cell r="AY144">
            <v>0.13200000000000009</v>
          </cell>
          <cell r="BA144">
            <v>0.48905911435285498</v>
          </cell>
        </row>
        <row r="145">
          <cell r="S145">
            <v>0.13300000000000009</v>
          </cell>
          <cell r="U145">
            <v>0.66627128390662449</v>
          </cell>
          <cell r="AI145">
            <v>0.13300000000000009</v>
          </cell>
          <cell r="AK145">
            <v>0.23928974273154058</v>
          </cell>
          <cell r="AY145">
            <v>0.13300000000000009</v>
          </cell>
          <cell r="BA145">
            <v>0.89645069734794147</v>
          </cell>
        </row>
        <row r="146">
          <cell r="S146">
            <v>0.13400000000000009</v>
          </cell>
          <cell r="U146">
            <v>0.48005746695835544</v>
          </cell>
          <cell r="AI146">
            <v>0.13400000000000009</v>
          </cell>
          <cell r="AK146">
            <v>0.14776024070971586</v>
          </cell>
          <cell r="AY146">
            <v>0.13400000000000009</v>
          </cell>
          <cell r="BA146">
            <v>0.13916440321054721</v>
          </cell>
        </row>
        <row r="147">
          <cell r="S147">
            <v>0.13500000000000009</v>
          </cell>
          <cell r="U147">
            <v>0.46132961442179471</v>
          </cell>
          <cell r="AI147">
            <v>0.13500000000000009</v>
          </cell>
          <cell r="AK147">
            <v>0.18191922691561013</v>
          </cell>
          <cell r="AY147">
            <v>0.13500000000000009</v>
          </cell>
          <cell r="BA147">
            <v>0.13895077364421521</v>
          </cell>
        </row>
        <row r="148">
          <cell r="S148">
            <v>0.13600000000000009</v>
          </cell>
          <cell r="U148">
            <v>0.68645588910539035</v>
          </cell>
          <cell r="AI148">
            <v>0.13600000000000009</v>
          </cell>
          <cell r="AK148">
            <v>0.18886590312321327</v>
          </cell>
          <cell r="AY148">
            <v>0.13600000000000009</v>
          </cell>
          <cell r="BA148">
            <v>8.78933072908719E-2</v>
          </cell>
        </row>
        <row r="149">
          <cell r="S149">
            <v>0.13700000000000009</v>
          </cell>
          <cell r="U149">
            <v>0.79393637802883987</v>
          </cell>
          <cell r="AI149">
            <v>0.13700000000000009</v>
          </cell>
          <cell r="AK149">
            <v>0.22156710941128921</v>
          </cell>
          <cell r="AY149">
            <v>0.13700000000000009</v>
          </cell>
          <cell r="BA149">
            <v>0.49925229651783809</v>
          </cell>
        </row>
        <row r="150">
          <cell r="S150">
            <v>0.13800000000000009</v>
          </cell>
          <cell r="U150">
            <v>0.40124518781233415</v>
          </cell>
          <cell r="AI150">
            <v>0.13800000000000009</v>
          </cell>
          <cell r="AK150">
            <v>0.12258559049332758</v>
          </cell>
          <cell r="AY150">
            <v>0.13800000000000009</v>
          </cell>
          <cell r="BA150">
            <v>0.68163090914639723</v>
          </cell>
        </row>
        <row r="151">
          <cell r="S151">
            <v>0.1390000000000001</v>
          </cell>
          <cell r="U151">
            <v>0.43279808803969383</v>
          </cell>
          <cell r="AI151">
            <v>0.1390000000000001</v>
          </cell>
          <cell r="AK151">
            <v>0.10672617614725545</v>
          </cell>
          <cell r="AY151">
            <v>0.1390000000000001</v>
          </cell>
          <cell r="BA151">
            <v>0.81243324076052126</v>
          </cell>
        </row>
        <row r="152">
          <cell r="S152">
            <v>0.1400000000000001</v>
          </cell>
          <cell r="U152">
            <v>0.52242093226207786</v>
          </cell>
          <cell r="AI152">
            <v>0.1400000000000001</v>
          </cell>
          <cell r="AK152">
            <v>0.27173972524412082</v>
          </cell>
          <cell r="AY152">
            <v>0.1400000000000001</v>
          </cell>
          <cell r="BA152">
            <v>0.10452589495529037</v>
          </cell>
        </row>
        <row r="153">
          <cell r="S153">
            <v>0.1410000000000001</v>
          </cell>
          <cell r="U153">
            <v>0.30829938484757702</v>
          </cell>
          <cell r="AI153">
            <v>0.1410000000000001</v>
          </cell>
          <cell r="AK153">
            <v>0.14684349913039368</v>
          </cell>
          <cell r="AY153">
            <v>0.1410000000000001</v>
          </cell>
          <cell r="BA153">
            <v>0.51994384594256415</v>
          </cell>
        </row>
        <row r="154">
          <cell r="S154">
            <v>0.1420000000000001</v>
          </cell>
          <cell r="U154">
            <v>0.63102122696689511</v>
          </cell>
          <cell r="AI154">
            <v>0.1420000000000001</v>
          </cell>
          <cell r="AK154">
            <v>0.25997203399039837</v>
          </cell>
          <cell r="AY154">
            <v>0.1420000000000001</v>
          </cell>
          <cell r="BA154">
            <v>0.86281929990539263</v>
          </cell>
        </row>
        <row r="155">
          <cell r="S155">
            <v>0.1430000000000001</v>
          </cell>
          <cell r="U155">
            <v>0.54029397879505869</v>
          </cell>
          <cell r="AI155">
            <v>0.1430000000000001</v>
          </cell>
          <cell r="AK155">
            <v>5.5341073724244572E-2</v>
          </cell>
          <cell r="AY155">
            <v>0.1430000000000001</v>
          </cell>
          <cell r="BA155">
            <v>0.173894466994232</v>
          </cell>
        </row>
        <row r="156">
          <cell r="S156">
            <v>0.1440000000000001</v>
          </cell>
          <cell r="U156">
            <v>0.25599414767865647</v>
          </cell>
          <cell r="AI156">
            <v>0.1440000000000001</v>
          </cell>
          <cell r="AK156">
            <v>0.34337567825668502</v>
          </cell>
          <cell r="AY156">
            <v>0.1440000000000001</v>
          </cell>
          <cell r="BA156">
            <v>0.4008911404766991</v>
          </cell>
        </row>
        <row r="157">
          <cell r="S157">
            <v>0.1450000000000001</v>
          </cell>
          <cell r="U157">
            <v>0.53367241667054344</v>
          </cell>
          <cell r="AI157">
            <v>0.1450000000000001</v>
          </cell>
          <cell r="AK157">
            <v>0.15309750720851481</v>
          </cell>
          <cell r="AY157">
            <v>0.1450000000000001</v>
          </cell>
          <cell r="BA157">
            <v>0.20139164403210547</v>
          </cell>
        </row>
        <row r="158">
          <cell r="S158">
            <v>0.1460000000000001</v>
          </cell>
          <cell r="U158">
            <v>0.481234630705344</v>
          </cell>
          <cell r="AI158">
            <v>0.1460000000000001</v>
          </cell>
          <cell r="AK158">
            <v>0.19919340372971595</v>
          </cell>
          <cell r="AY158">
            <v>0.1460000000000001</v>
          </cell>
          <cell r="BA158">
            <v>0.96826075014496293</v>
          </cell>
        </row>
        <row r="159">
          <cell r="S159">
            <v>0.1470000000000001</v>
          </cell>
          <cell r="U159">
            <v>0.3730203507646872</v>
          </cell>
          <cell r="AI159">
            <v>0.1470000000000001</v>
          </cell>
          <cell r="AK159">
            <v>0.21767033188940377</v>
          </cell>
          <cell r="AY159">
            <v>0.1470000000000001</v>
          </cell>
          <cell r="BA159">
            <v>0.82424390392773217</v>
          </cell>
        </row>
        <row r="160">
          <cell r="S160">
            <v>0.1480000000000001</v>
          </cell>
          <cell r="U160">
            <v>0.58882953318118947</v>
          </cell>
          <cell r="AI160">
            <v>0.1480000000000001</v>
          </cell>
          <cell r="AK160">
            <v>0.20332214217165112</v>
          </cell>
          <cell r="AY160">
            <v>0.1480000000000001</v>
          </cell>
          <cell r="BA160">
            <v>0.30191961424604025</v>
          </cell>
        </row>
        <row r="161">
          <cell r="S161">
            <v>0.1490000000000001</v>
          </cell>
          <cell r="U161">
            <v>0.64815281636668354</v>
          </cell>
          <cell r="AI161">
            <v>0.1490000000000001</v>
          </cell>
          <cell r="AK161">
            <v>0.15359159473965495</v>
          </cell>
          <cell r="AY161">
            <v>0.1490000000000001</v>
          </cell>
          <cell r="BA161">
            <v>0.68639179662465288</v>
          </cell>
        </row>
        <row r="162">
          <cell r="S162">
            <v>0.15000000000000011</v>
          </cell>
          <cell r="U162">
            <v>0.57558776359501351</v>
          </cell>
          <cell r="AI162">
            <v>0.15000000000000011</v>
          </cell>
          <cell r="AK162">
            <v>0.14053482096155029</v>
          </cell>
          <cell r="AY162">
            <v>0.15000000000000011</v>
          </cell>
          <cell r="BA162">
            <v>0.71660512100589002</v>
          </cell>
        </row>
        <row r="163">
          <cell r="S163">
            <v>0.15100000000000011</v>
          </cell>
          <cell r="U163">
            <v>0.39891090055489542</v>
          </cell>
          <cell r="AI163">
            <v>0.15100000000000011</v>
          </cell>
          <cell r="AK163">
            <v>0.17547701039149613</v>
          </cell>
          <cell r="AY163">
            <v>0.15100000000000011</v>
          </cell>
          <cell r="BA163">
            <v>0.66655476546525472</v>
          </cell>
        </row>
        <row r="164">
          <cell r="S164">
            <v>0.15200000000000011</v>
          </cell>
          <cell r="U164">
            <v>0.53873220026909496</v>
          </cell>
          <cell r="AI164">
            <v>0.15200000000000011</v>
          </cell>
          <cell r="AK164">
            <v>0.2637232070787574</v>
          </cell>
          <cell r="AY164">
            <v>0.15200000000000011</v>
          </cell>
          <cell r="BA164">
            <v>0.42100283822138129</v>
          </cell>
        </row>
        <row r="165">
          <cell r="S165">
            <v>0.15300000000000011</v>
          </cell>
          <cell r="U165">
            <v>0.44118727713667044</v>
          </cell>
          <cell r="AI165">
            <v>0.15300000000000011</v>
          </cell>
          <cell r="AK165">
            <v>0.29618520401641002</v>
          </cell>
          <cell r="AY165">
            <v>0.15300000000000011</v>
          </cell>
          <cell r="BA165">
            <v>0.66661580248420671</v>
          </cell>
        </row>
        <row r="166">
          <cell r="S166">
            <v>0.15400000000000011</v>
          </cell>
          <cell r="U166">
            <v>0.52847563161837707</v>
          </cell>
          <cell r="AI166">
            <v>0.15400000000000011</v>
          </cell>
          <cell r="AK166">
            <v>0.4102853502468331</v>
          </cell>
          <cell r="AY166">
            <v>0.15400000000000011</v>
          </cell>
          <cell r="BA166">
            <v>0.93749809259315775</v>
          </cell>
        </row>
        <row r="167">
          <cell r="S167">
            <v>0.15500000000000011</v>
          </cell>
          <cell r="U167">
            <v>0.42342945304612928</v>
          </cell>
          <cell r="AI167">
            <v>0.15500000000000011</v>
          </cell>
          <cell r="AK167">
            <v>0.21364702477588204</v>
          </cell>
          <cell r="AY167">
            <v>0.15500000000000011</v>
          </cell>
          <cell r="BA167">
            <v>0.99774163029877616</v>
          </cell>
        </row>
        <row r="168">
          <cell r="S168">
            <v>0.15600000000000011</v>
          </cell>
          <cell r="U168">
            <v>0.37701992625292846</v>
          </cell>
          <cell r="AI168">
            <v>0.15600000000000011</v>
          </cell>
          <cell r="AK168">
            <v>0.29346355553000369</v>
          </cell>
          <cell r="AY168">
            <v>0.15600000000000011</v>
          </cell>
          <cell r="BA168">
            <v>1.046784875026704E-2</v>
          </cell>
        </row>
        <row r="169">
          <cell r="S169">
            <v>0.15700000000000011</v>
          </cell>
          <cell r="U169">
            <v>0.47097161436711688</v>
          </cell>
          <cell r="AI169">
            <v>0.15700000000000011</v>
          </cell>
          <cell r="AK169">
            <v>0.25113759910503519</v>
          </cell>
          <cell r="AY169">
            <v>0.15700000000000011</v>
          </cell>
          <cell r="BA169">
            <v>0.45567186498611406</v>
          </cell>
        </row>
        <row r="170">
          <cell r="S170">
            <v>0.15800000000000011</v>
          </cell>
          <cell r="U170">
            <v>0.3540224355256632</v>
          </cell>
          <cell r="AI170">
            <v>0.15800000000000011</v>
          </cell>
          <cell r="AK170">
            <v>0.31031991030549821</v>
          </cell>
          <cell r="AY170">
            <v>0.15800000000000011</v>
          </cell>
          <cell r="BA170">
            <v>0.97778252510147401</v>
          </cell>
        </row>
        <row r="171">
          <cell r="S171">
            <v>0.15900000000000011</v>
          </cell>
          <cell r="U171">
            <v>0.31321695053810567</v>
          </cell>
          <cell r="AI171">
            <v>0.15900000000000011</v>
          </cell>
          <cell r="AK171">
            <v>0.22956495289246648</v>
          </cell>
          <cell r="AY171">
            <v>0.15900000000000011</v>
          </cell>
          <cell r="BA171">
            <v>0.41428876613666188</v>
          </cell>
        </row>
        <row r="172">
          <cell r="S172">
            <v>0.16000000000000011</v>
          </cell>
          <cell r="U172">
            <v>0.37344893138139618</v>
          </cell>
          <cell r="AI172">
            <v>0.16000000000000011</v>
          </cell>
          <cell r="AK172">
            <v>0.10952031753448035</v>
          </cell>
          <cell r="AY172">
            <v>0.16000000000000011</v>
          </cell>
          <cell r="BA172">
            <v>0.86925870540482808</v>
          </cell>
        </row>
        <row r="173">
          <cell r="S173">
            <v>0.16100000000000012</v>
          </cell>
          <cell r="U173">
            <v>0.44455131264594971</v>
          </cell>
          <cell r="AI173">
            <v>0.16100000000000012</v>
          </cell>
          <cell r="AK173">
            <v>0.36624881915460772</v>
          </cell>
          <cell r="AY173">
            <v>0.16100000000000012</v>
          </cell>
          <cell r="BA173">
            <v>0.39188818018127997</v>
          </cell>
        </row>
        <row r="174">
          <cell r="S174">
            <v>0.16200000000000012</v>
          </cell>
          <cell r="U174">
            <v>0.68890953768842911</v>
          </cell>
          <cell r="AI174">
            <v>0.16200000000000012</v>
          </cell>
          <cell r="AK174">
            <v>0.15027002653219676</v>
          </cell>
          <cell r="AY174">
            <v>0.16200000000000012</v>
          </cell>
          <cell r="BA174">
            <v>0.11780144657734913</v>
          </cell>
        </row>
        <row r="175">
          <cell r="S175">
            <v>0.16300000000000012</v>
          </cell>
          <cell r="U175">
            <v>0.35820000448531658</v>
          </cell>
          <cell r="AI175">
            <v>0.16300000000000012</v>
          </cell>
          <cell r="AK175">
            <v>0.21975874843362686</v>
          </cell>
          <cell r="AY175">
            <v>0.16300000000000012</v>
          </cell>
          <cell r="BA175">
            <v>0.68895535142063657</v>
          </cell>
        </row>
        <row r="176">
          <cell r="S176">
            <v>0.16400000000000012</v>
          </cell>
          <cell r="U176">
            <v>0.52245154569196772</v>
          </cell>
          <cell r="AI176">
            <v>0.16400000000000012</v>
          </cell>
          <cell r="AK176">
            <v>8.0079656519642828E-2</v>
          </cell>
          <cell r="AY176">
            <v>0.16400000000000012</v>
          </cell>
          <cell r="BA176">
            <v>0.33777886288033693</v>
          </cell>
        </row>
        <row r="177">
          <cell r="S177">
            <v>0.16500000000000012</v>
          </cell>
          <cell r="U177">
            <v>0.48358749524099498</v>
          </cell>
          <cell r="AI177">
            <v>0.16500000000000012</v>
          </cell>
          <cell r="AK177">
            <v>8.4103740346247804E-2</v>
          </cell>
          <cell r="AY177">
            <v>0.16500000000000012</v>
          </cell>
          <cell r="BA177">
            <v>0.97775200659199801</v>
          </cell>
        </row>
        <row r="178">
          <cell r="S178">
            <v>0.16600000000000012</v>
          </cell>
          <cell r="U178">
            <v>0.53921136112847434</v>
          </cell>
          <cell r="AI178">
            <v>0.16600000000000012</v>
          </cell>
          <cell r="AK178">
            <v>0.17959273884171434</v>
          </cell>
          <cell r="AY178">
            <v>0.16600000000000012</v>
          </cell>
          <cell r="BA178">
            <v>0.77855769524216434</v>
          </cell>
        </row>
        <row r="179">
          <cell r="S179">
            <v>0.16700000000000012</v>
          </cell>
          <cell r="U179">
            <v>0.64490474563974698</v>
          </cell>
          <cell r="AI179">
            <v>0.16700000000000012</v>
          </cell>
          <cell r="AK179">
            <v>4.898796639763809E-2</v>
          </cell>
          <cell r="AY179">
            <v>0.16700000000000012</v>
          </cell>
          <cell r="BA179">
            <v>0.27423932615131075</v>
          </cell>
        </row>
        <row r="180">
          <cell r="S180">
            <v>0.16800000000000012</v>
          </cell>
          <cell r="U180">
            <v>0.56748838506808175</v>
          </cell>
          <cell r="AI180">
            <v>0.16800000000000012</v>
          </cell>
          <cell r="AK180">
            <v>9.771926923337268E-2</v>
          </cell>
          <cell r="AY180">
            <v>0.16800000000000012</v>
          </cell>
          <cell r="BA180">
            <v>0.41264076662495802</v>
          </cell>
        </row>
        <row r="181">
          <cell r="S181">
            <v>0.16900000000000012</v>
          </cell>
          <cell r="U181">
            <v>0.30930001535081636</v>
          </cell>
          <cell r="AI181">
            <v>0.16900000000000012</v>
          </cell>
          <cell r="AK181">
            <v>0.19376605207087039</v>
          </cell>
          <cell r="AY181">
            <v>0.16900000000000012</v>
          </cell>
          <cell r="BA181">
            <v>0.6615192114017151</v>
          </cell>
        </row>
        <row r="182">
          <cell r="S182">
            <v>0.17000000000000012</v>
          </cell>
          <cell r="U182">
            <v>0.46732823986313776</v>
          </cell>
          <cell r="AI182">
            <v>0.17000000000000012</v>
          </cell>
          <cell r="AK182">
            <v>0.18306156834156789</v>
          </cell>
          <cell r="AY182">
            <v>0.17000000000000012</v>
          </cell>
          <cell r="BA182">
            <v>0.80095828119754631</v>
          </cell>
        </row>
        <row r="183">
          <cell r="S183">
            <v>0.17100000000000012</v>
          </cell>
          <cell r="U183">
            <v>0.84817929498912692</v>
          </cell>
          <cell r="AI183">
            <v>0.17100000000000012</v>
          </cell>
          <cell r="AK183">
            <v>0.27498051926232192</v>
          </cell>
          <cell r="AY183">
            <v>0.17100000000000012</v>
          </cell>
          <cell r="BA183">
            <v>0.58909878841517382</v>
          </cell>
        </row>
        <row r="184">
          <cell r="S184">
            <v>0.17200000000000013</v>
          </cell>
          <cell r="U184">
            <v>0.77466613720715038</v>
          </cell>
          <cell r="AI184">
            <v>0.17200000000000013</v>
          </cell>
          <cell r="AK184">
            <v>7.7224182491819157E-2</v>
          </cell>
          <cell r="AY184">
            <v>0.17200000000000013</v>
          </cell>
          <cell r="BA184">
            <v>0.51115451521347699</v>
          </cell>
        </row>
        <row r="185">
          <cell r="S185">
            <v>0.17300000000000013</v>
          </cell>
          <cell r="U185">
            <v>0.60394210501969126</v>
          </cell>
          <cell r="AI185">
            <v>0.17300000000000013</v>
          </cell>
          <cell r="AK185">
            <v>0.25632729667658405</v>
          </cell>
          <cell r="AY185">
            <v>0.17300000000000013</v>
          </cell>
          <cell r="BA185">
            <v>0.66826380199591051</v>
          </cell>
        </row>
        <row r="186">
          <cell r="S186">
            <v>0.17400000000000013</v>
          </cell>
          <cell r="U186">
            <v>0.67375210135313612</v>
          </cell>
          <cell r="AI186">
            <v>0.17400000000000013</v>
          </cell>
          <cell r="AK186">
            <v>0.10884864986971264</v>
          </cell>
          <cell r="AY186">
            <v>0.17400000000000013</v>
          </cell>
          <cell r="BA186">
            <v>0.57896664326914271</v>
          </cell>
        </row>
        <row r="187">
          <cell r="S187">
            <v>0.17500000000000013</v>
          </cell>
          <cell r="U187">
            <v>0.66500387187036303</v>
          </cell>
          <cell r="AI187">
            <v>0.17500000000000013</v>
          </cell>
          <cell r="AK187">
            <v>0.11626921002812111</v>
          </cell>
          <cell r="AY187">
            <v>0.17500000000000013</v>
          </cell>
          <cell r="BA187">
            <v>0.74523148289437546</v>
          </cell>
        </row>
        <row r="188">
          <cell r="S188">
            <v>0.17600000000000013</v>
          </cell>
          <cell r="U188">
            <v>0.55117466231672974</v>
          </cell>
          <cell r="AI188">
            <v>0.17600000000000013</v>
          </cell>
          <cell r="AK188">
            <v>0.28245500195356377</v>
          </cell>
          <cell r="AY188">
            <v>0.17600000000000013</v>
          </cell>
          <cell r="BA188">
            <v>0.91796624652851955</v>
          </cell>
        </row>
        <row r="189">
          <cell r="S189">
            <v>0.17700000000000013</v>
          </cell>
          <cell r="U189">
            <v>0.31117852866270507</v>
          </cell>
          <cell r="AI189">
            <v>0.17700000000000013</v>
          </cell>
          <cell r="AK189">
            <v>0.19928462269995961</v>
          </cell>
          <cell r="AY189">
            <v>0.17700000000000013</v>
          </cell>
          <cell r="BA189">
            <v>0.78527176732688375</v>
          </cell>
        </row>
        <row r="190">
          <cell r="S190">
            <v>0.17800000000000013</v>
          </cell>
          <cell r="U190">
            <v>0.45500899190120486</v>
          </cell>
          <cell r="AI190">
            <v>0.17800000000000013</v>
          </cell>
          <cell r="AK190">
            <v>8.4423666900778918E-2</v>
          </cell>
          <cell r="AY190">
            <v>0.17800000000000013</v>
          </cell>
          <cell r="BA190">
            <v>0.32715842158268993</v>
          </cell>
        </row>
        <row r="191">
          <cell r="S191">
            <v>0.17900000000000013</v>
          </cell>
          <cell r="U191">
            <v>0.85176332754379769</v>
          </cell>
          <cell r="AI191">
            <v>0.17900000000000013</v>
          </cell>
          <cell r="AK191">
            <v>0.13733192215551729</v>
          </cell>
          <cell r="AY191">
            <v>0.17900000000000013</v>
          </cell>
          <cell r="BA191">
            <v>0.86892300180059201</v>
          </cell>
        </row>
        <row r="192">
          <cell r="S192">
            <v>0.18000000000000013</v>
          </cell>
          <cell r="U192">
            <v>0.50373988728560959</v>
          </cell>
          <cell r="AI192">
            <v>0.18000000000000013</v>
          </cell>
          <cell r="AK192">
            <v>0.19910221541777406</v>
          </cell>
          <cell r="AY192">
            <v>0.18000000000000013</v>
          </cell>
          <cell r="BA192">
            <v>0.44407483138523512</v>
          </cell>
        </row>
        <row r="193">
          <cell r="S193">
            <v>0.18100000000000013</v>
          </cell>
          <cell r="U193">
            <v>0.30794256618532329</v>
          </cell>
          <cell r="AI193">
            <v>0.18100000000000013</v>
          </cell>
          <cell r="AK193">
            <v>0.27264968866495853</v>
          </cell>
          <cell r="AY193">
            <v>0.18100000000000013</v>
          </cell>
          <cell r="BA193">
            <v>0.50941496017334509</v>
          </cell>
        </row>
        <row r="194">
          <cell r="S194">
            <v>0.18200000000000013</v>
          </cell>
          <cell r="U194">
            <v>0.32719958181950332</v>
          </cell>
          <cell r="AI194">
            <v>0.18200000000000013</v>
          </cell>
          <cell r="AK194">
            <v>0.29548690480987239</v>
          </cell>
          <cell r="AY194">
            <v>0.18200000000000013</v>
          </cell>
          <cell r="BA194">
            <v>0.26447340311899165</v>
          </cell>
        </row>
        <row r="195">
          <cell r="S195">
            <v>0.18300000000000013</v>
          </cell>
          <cell r="U195">
            <v>0.58787634468709216</v>
          </cell>
          <cell r="AI195">
            <v>0.18300000000000013</v>
          </cell>
          <cell r="AK195">
            <v>0.11564506051720479</v>
          </cell>
          <cell r="AY195">
            <v>0.18300000000000013</v>
          </cell>
          <cell r="BA195">
            <v>0.67485580004272594</v>
          </cell>
        </row>
        <row r="196">
          <cell r="S196">
            <v>0.18400000000000014</v>
          </cell>
          <cell r="U196">
            <v>0.49758551238298576</v>
          </cell>
          <cell r="AI196">
            <v>0.18400000000000014</v>
          </cell>
          <cell r="AK196">
            <v>0.18963097727205169</v>
          </cell>
          <cell r="AY196">
            <v>0.18400000000000014</v>
          </cell>
          <cell r="BA196">
            <v>0.33066805017242956</v>
          </cell>
        </row>
        <row r="197">
          <cell r="S197">
            <v>0.18500000000000014</v>
          </cell>
          <cell r="U197">
            <v>0.60670994392907751</v>
          </cell>
          <cell r="AI197">
            <v>0.18500000000000014</v>
          </cell>
          <cell r="AK197">
            <v>0.12665631037558522</v>
          </cell>
          <cell r="AY197">
            <v>0.18500000000000014</v>
          </cell>
          <cell r="BA197">
            <v>0.4617145298623615</v>
          </cell>
        </row>
        <row r="198">
          <cell r="S198">
            <v>0.18600000000000014</v>
          </cell>
          <cell r="U198">
            <v>0.77883284541771491</v>
          </cell>
          <cell r="AI198">
            <v>0.18600000000000014</v>
          </cell>
          <cell r="AK198">
            <v>0.11621329829695422</v>
          </cell>
          <cell r="AY198">
            <v>0.18600000000000014</v>
          </cell>
          <cell r="BA198">
            <v>0.99526963103122046</v>
          </cell>
        </row>
        <row r="199">
          <cell r="S199">
            <v>0.18700000000000014</v>
          </cell>
          <cell r="U199">
            <v>0.46356851450724623</v>
          </cell>
          <cell r="AI199">
            <v>0.18700000000000014</v>
          </cell>
          <cell r="AK199">
            <v>0.32830995854819978</v>
          </cell>
          <cell r="AY199">
            <v>0.18700000000000014</v>
          </cell>
          <cell r="BA199">
            <v>0.44828638569292278</v>
          </cell>
        </row>
        <row r="200">
          <cell r="S200">
            <v>0.18800000000000014</v>
          </cell>
          <cell r="U200">
            <v>0.53792882981981738</v>
          </cell>
          <cell r="AI200">
            <v>0.18800000000000014</v>
          </cell>
          <cell r="AK200">
            <v>0.1708567124736638</v>
          </cell>
          <cell r="AY200">
            <v>0.18800000000000014</v>
          </cell>
          <cell r="BA200">
            <v>0.9276406140324106</v>
          </cell>
        </row>
        <row r="201">
          <cell r="S201">
            <v>0.18900000000000014</v>
          </cell>
          <cell r="U201">
            <v>0.37925979930589027</v>
          </cell>
          <cell r="AI201">
            <v>0.18900000000000014</v>
          </cell>
          <cell r="AK201">
            <v>0.15210874224894363</v>
          </cell>
          <cell r="AY201">
            <v>0.18900000000000014</v>
          </cell>
          <cell r="BA201">
            <v>0.47575304422132025</v>
          </cell>
        </row>
        <row r="202">
          <cell r="S202">
            <v>0.19000000000000014</v>
          </cell>
          <cell r="U202">
            <v>0.39585467565648952</v>
          </cell>
          <cell r="AI202">
            <v>0.19000000000000014</v>
          </cell>
          <cell r="AK202">
            <v>0.16035580874931848</v>
          </cell>
          <cell r="AY202">
            <v>0.19000000000000014</v>
          </cell>
          <cell r="BA202">
            <v>0.86861781670583205</v>
          </cell>
        </row>
        <row r="203">
          <cell r="S203">
            <v>0.19100000000000014</v>
          </cell>
          <cell r="U203">
            <v>0.66724080103226391</v>
          </cell>
          <cell r="AI203">
            <v>0.19100000000000014</v>
          </cell>
          <cell r="AK203">
            <v>0.18723091938652681</v>
          </cell>
          <cell r="AY203">
            <v>0.19100000000000014</v>
          </cell>
          <cell r="BA203">
            <v>9.1463972899563595E-2</v>
          </cell>
        </row>
        <row r="204">
          <cell r="S204">
            <v>0.19200000000000014</v>
          </cell>
          <cell r="U204">
            <v>0.34848926454166301</v>
          </cell>
          <cell r="AI204">
            <v>0.19200000000000014</v>
          </cell>
          <cell r="AK204">
            <v>0.11369216625487538</v>
          </cell>
          <cell r="AY204">
            <v>0.19200000000000014</v>
          </cell>
          <cell r="BA204">
            <v>0.17905209509567552</v>
          </cell>
        </row>
        <row r="205">
          <cell r="S205">
            <v>0.19300000000000014</v>
          </cell>
          <cell r="U205">
            <v>0.50236878588400946</v>
          </cell>
          <cell r="AI205">
            <v>0.19300000000000014</v>
          </cell>
          <cell r="AK205">
            <v>0.16382114585164478</v>
          </cell>
          <cell r="AY205">
            <v>0.19300000000000014</v>
          </cell>
          <cell r="BA205">
            <v>0.26645710623493146</v>
          </cell>
        </row>
        <row r="206">
          <cell r="S206">
            <v>0.19400000000000014</v>
          </cell>
          <cell r="U206">
            <v>0.54966047571370269</v>
          </cell>
          <cell r="AI206">
            <v>0.19400000000000014</v>
          </cell>
          <cell r="AK206">
            <v>0.12832630385714899</v>
          </cell>
          <cell r="AY206">
            <v>0.19400000000000014</v>
          </cell>
          <cell r="BA206">
            <v>0.597827082125309</v>
          </cell>
        </row>
        <row r="207">
          <cell r="S207">
            <v>0.19500000000000015</v>
          </cell>
          <cell r="U207">
            <v>0.45060466872774013</v>
          </cell>
          <cell r="AI207">
            <v>0.19500000000000015</v>
          </cell>
          <cell r="AK207">
            <v>0.27866868942781509</v>
          </cell>
          <cell r="AY207">
            <v>0.19500000000000015</v>
          </cell>
          <cell r="BA207">
            <v>0.39085055085909604</v>
          </cell>
        </row>
        <row r="208">
          <cell r="S208">
            <v>0.19600000000000015</v>
          </cell>
          <cell r="U208">
            <v>0.44522577473410513</v>
          </cell>
          <cell r="AI208">
            <v>0.19600000000000015</v>
          </cell>
          <cell r="AK208">
            <v>0.24997604528488293</v>
          </cell>
          <cell r="AY208">
            <v>0.19600000000000015</v>
          </cell>
          <cell r="BA208">
            <v>0.44679097872859891</v>
          </cell>
        </row>
        <row r="209">
          <cell r="S209">
            <v>0.19700000000000015</v>
          </cell>
          <cell r="U209">
            <v>0.64083328068113488</v>
          </cell>
          <cell r="AI209">
            <v>0.19700000000000015</v>
          </cell>
          <cell r="AK209">
            <v>0.34910719071126173</v>
          </cell>
          <cell r="AY209">
            <v>0.19700000000000015</v>
          </cell>
          <cell r="BA209">
            <v>8.4810937833796188E-2</v>
          </cell>
        </row>
        <row r="210">
          <cell r="S210">
            <v>0.19800000000000015</v>
          </cell>
          <cell r="U210">
            <v>0.50104346940298217</v>
          </cell>
          <cell r="AI210">
            <v>0.19800000000000015</v>
          </cell>
          <cell r="AK210">
            <v>0.22717942592450702</v>
          </cell>
          <cell r="AY210">
            <v>0.19800000000000015</v>
          </cell>
          <cell r="BA210">
            <v>0.92059083834345534</v>
          </cell>
        </row>
        <row r="211">
          <cell r="S211">
            <v>0.19900000000000015</v>
          </cell>
          <cell r="U211">
            <v>0.53197936729471929</v>
          </cell>
          <cell r="AI211">
            <v>0.19900000000000015</v>
          </cell>
          <cell r="AK211">
            <v>0.14925006540957197</v>
          </cell>
          <cell r="AY211">
            <v>0.19900000000000015</v>
          </cell>
          <cell r="BA211">
            <v>0.16125980407116916</v>
          </cell>
        </row>
        <row r="212">
          <cell r="S212">
            <v>0.20000000000000015</v>
          </cell>
          <cell r="U212">
            <v>0.50841817794827415</v>
          </cell>
          <cell r="AI212">
            <v>0.20000000000000015</v>
          </cell>
          <cell r="AK212">
            <v>0.24517053321322868</v>
          </cell>
          <cell r="AY212">
            <v>0.20000000000000015</v>
          </cell>
          <cell r="BA212">
            <v>0.70278023621326335</v>
          </cell>
        </row>
        <row r="213">
          <cell r="S213">
            <v>0.20100000000000015</v>
          </cell>
          <cell r="U213">
            <v>0.71140154867133387</v>
          </cell>
          <cell r="AI213">
            <v>0.20100000000000015</v>
          </cell>
          <cell r="AK213">
            <v>0.27971192785564158</v>
          </cell>
          <cell r="AY213">
            <v>0.20100000000000015</v>
          </cell>
          <cell r="BA213">
            <v>0.26551103244117558</v>
          </cell>
        </row>
        <row r="214">
          <cell r="S214">
            <v>0.20200000000000015</v>
          </cell>
          <cell r="U214">
            <v>0.67148196603354815</v>
          </cell>
          <cell r="AI214">
            <v>0.20200000000000015</v>
          </cell>
          <cell r="AK214">
            <v>0.29047230094783583</v>
          </cell>
          <cell r="AY214">
            <v>0.20200000000000015</v>
          </cell>
          <cell r="BA214">
            <v>0.58143864253669852</v>
          </cell>
        </row>
        <row r="215">
          <cell r="S215">
            <v>0.20300000000000015</v>
          </cell>
          <cell r="U215">
            <v>0.55295713297012417</v>
          </cell>
          <cell r="AI215">
            <v>0.20300000000000015</v>
          </cell>
          <cell r="AK215">
            <v>0.15044697988634445</v>
          </cell>
          <cell r="AY215">
            <v>0.20300000000000015</v>
          </cell>
          <cell r="BA215">
            <v>0.42335276345103307</v>
          </cell>
        </row>
        <row r="216">
          <cell r="S216">
            <v>0.20400000000000015</v>
          </cell>
          <cell r="U216">
            <v>0.85358132500239936</v>
          </cell>
          <cell r="AI216">
            <v>0.20400000000000015</v>
          </cell>
          <cell r="AK216">
            <v>5.7877013320961734E-2</v>
          </cell>
          <cell r="AY216">
            <v>0.20400000000000015</v>
          </cell>
          <cell r="BA216">
            <v>0.62196722312082275</v>
          </cell>
        </row>
        <row r="217">
          <cell r="S217">
            <v>0.20500000000000015</v>
          </cell>
          <cell r="U217">
            <v>0.32109886882012462</v>
          </cell>
          <cell r="AI217">
            <v>0.20500000000000015</v>
          </cell>
          <cell r="AK217">
            <v>0.34200968591193082</v>
          </cell>
          <cell r="AY217">
            <v>0.20500000000000015</v>
          </cell>
          <cell r="BA217">
            <v>7.3122348704489262E-2</v>
          </cell>
        </row>
        <row r="218">
          <cell r="S218">
            <v>0.20600000000000016</v>
          </cell>
          <cell r="U218">
            <v>0.43053516845241652</v>
          </cell>
          <cell r="AI218">
            <v>0.20600000000000016</v>
          </cell>
          <cell r="AK218">
            <v>3.2405448283903793E-2</v>
          </cell>
          <cell r="AY218">
            <v>0.20600000000000016</v>
          </cell>
          <cell r="BA218">
            <v>0.41798150578325755</v>
          </cell>
        </row>
        <row r="219">
          <cell r="S219">
            <v>0.20700000000000016</v>
          </cell>
          <cell r="U219">
            <v>0.63953623582564423</v>
          </cell>
          <cell r="AI219">
            <v>0.20700000000000016</v>
          </cell>
          <cell r="AK219">
            <v>8.1152957153390257E-2</v>
          </cell>
          <cell r="AY219">
            <v>0.20700000000000016</v>
          </cell>
          <cell r="BA219">
            <v>0.27030243842890711</v>
          </cell>
        </row>
        <row r="220">
          <cell r="S220">
            <v>0.20800000000000016</v>
          </cell>
          <cell r="U220">
            <v>0.43763632170327965</v>
          </cell>
          <cell r="AI220">
            <v>0.20800000000000016</v>
          </cell>
          <cell r="AK220">
            <v>0.21944238192976051</v>
          </cell>
          <cell r="AY220">
            <v>0.20800000000000016</v>
          </cell>
          <cell r="BA220">
            <v>0.60698263496810811</v>
          </cell>
        </row>
        <row r="221">
          <cell r="S221">
            <v>0.20900000000000016</v>
          </cell>
          <cell r="U221">
            <v>0.50847915190165105</v>
          </cell>
          <cell r="AI221">
            <v>0.20900000000000016</v>
          </cell>
          <cell r="AK221">
            <v>0.27648628085541904</v>
          </cell>
          <cell r="AY221">
            <v>0.20900000000000016</v>
          </cell>
          <cell r="BA221">
            <v>0.75356303598132268</v>
          </cell>
        </row>
        <row r="222">
          <cell r="S222">
            <v>0.21000000000000016</v>
          </cell>
          <cell r="U222">
            <v>0.44235196496351625</v>
          </cell>
          <cell r="AI222">
            <v>0.21000000000000016</v>
          </cell>
          <cell r="AK222">
            <v>6.5311785293500624E-2</v>
          </cell>
          <cell r="AY222">
            <v>0.21000000000000016</v>
          </cell>
          <cell r="BA222">
            <v>0.83169042023987549</v>
          </cell>
        </row>
        <row r="223">
          <cell r="S223">
            <v>0.21100000000000016</v>
          </cell>
          <cell r="U223">
            <v>0.60458592857245874</v>
          </cell>
          <cell r="AI223">
            <v>0.21100000000000016</v>
          </cell>
          <cell r="AK223">
            <v>0.43007034961530288</v>
          </cell>
          <cell r="AY223">
            <v>0.21100000000000016</v>
          </cell>
          <cell r="BA223">
            <v>0.58037049470503865</v>
          </cell>
        </row>
        <row r="224">
          <cell r="S224">
            <v>0.21200000000000016</v>
          </cell>
          <cell r="U224">
            <v>0.26660131309924701</v>
          </cell>
          <cell r="AI224">
            <v>0.21200000000000016</v>
          </cell>
          <cell r="AK224">
            <v>0.22680666341701172</v>
          </cell>
          <cell r="AY224">
            <v>0.21200000000000016</v>
          </cell>
          <cell r="BA224">
            <v>0.27533799249244667</v>
          </cell>
        </row>
        <row r="225">
          <cell r="S225">
            <v>0.21300000000000016</v>
          </cell>
          <cell r="U225">
            <v>0.81745408831538247</v>
          </cell>
          <cell r="AI225">
            <v>0.21300000000000016</v>
          </cell>
          <cell r="AK225">
            <v>0.11661223398554729</v>
          </cell>
          <cell r="AY225">
            <v>0.21300000000000016</v>
          </cell>
          <cell r="BA225">
            <v>0.19678334910122988</v>
          </cell>
        </row>
        <row r="226">
          <cell r="S226">
            <v>0.21400000000000016</v>
          </cell>
          <cell r="U226">
            <v>0.38665124532692091</v>
          </cell>
          <cell r="AI226">
            <v>0.21400000000000016</v>
          </cell>
          <cell r="AK226">
            <v>0.17724840873591993</v>
          </cell>
          <cell r="AY226">
            <v>0.21400000000000016</v>
          </cell>
          <cell r="BA226">
            <v>0.42454298532059692</v>
          </cell>
        </row>
        <row r="227">
          <cell r="S227">
            <v>0.21500000000000016</v>
          </cell>
          <cell r="U227">
            <v>0.69391732535256501</v>
          </cell>
          <cell r="AI227">
            <v>0.21500000000000016</v>
          </cell>
          <cell r="AK227">
            <v>0.27017569189922452</v>
          </cell>
          <cell r="AY227">
            <v>0.21500000000000016</v>
          </cell>
          <cell r="BA227">
            <v>0.23145237586596271</v>
          </cell>
        </row>
        <row r="228">
          <cell r="S228">
            <v>0.21600000000000016</v>
          </cell>
          <cell r="U228">
            <v>0.51926980518438315</v>
          </cell>
          <cell r="AI228">
            <v>0.21600000000000016</v>
          </cell>
          <cell r="AK228">
            <v>0.21521259704008477</v>
          </cell>
          <cell r="AY228">
            <v>0.21600000000000016</v>
          </cell>
          <cell r="BA228">
            <v>0.44123661000396741</v>
          </cell>
        </row>
        <row r="229">
          <cell r="S229">
            <v>0.21700000000000016</v>
          </cell>
          <cell r="U229">
            <v>0.17163157717308977</v>
          </cell>
          <cell r="AI229">
            <v>0.21700000000000016</v>
          </cell>
          <cell r="AK229">
            <v>0.34586749082119683</v>
          </cell>
          <cell r="AY229">
            <v>0.21700000000000016</v>
          </cell>
          <cell r="BA229">
            <v>0.11709952085940123</v>
          </cell>
        </row>
        <row r="230">
          <cell r="S230">
            <v>0.21800000000000017</v>
          </cell>
          <cell r="U230">
            <v>0.32744728755456198</v>
          </cell>
          <cell r="AI230">
            <v>0.21800000000000017</v>
          </cell>
          <cell r="AK230">
            <v>0.17643347522730268</v>
          </cell>
          <cell r="AY230">
            <v>0.21800000000000017</v>
          </cell>
          <cell r="BA230">
            <v>8.3437604907376325E-2</v>
          </cell>
        </row>
        <row r="231">
          <cell r="S231">
            <v>0.21900000000000017</v>
          </cell>
          <cell r="U231">
            <v>0.39422580002198809</v>
          </cell>
          <cell r="AI231">
            <v>0.21900000000000017</v>
          </cell>
          <cell r="AK231">
            <v>0.17184233944064695</v>
          </cell>
          <cell r="AY231">
            <v>0.21900000000000017</v>
          </cell>
          <cell r="BA231">
            <v>0.97369304483169039</v>
          </cell>
        </row>
        <row r="232">
          <cell r="S232">
            <v>0.22000000000000017</v>
          </cell>
          <cell r="U232">
            <v>0.41701303428646824</v>
          </cell>
          <cell r="AI232">
            <v>0.22000000000000017</v>
          </cell>
          <cell r="AK232">
            <v>0.15186141740400033</v>
          </cell>
          <cell r="AY232">
            <v>0.22000000000000017</v>
          </cell>
          <cell r="BA232">
            <v>0.12228766747032076</v>
          </cell>
        </row>
        <row r="233">
          <cell r="S233">
            <v>0.22100000000000017</v>
          </cell>
          <cell r="U233">
            <v>0.38293684380880105</v>
          </cell>
          <cell r="AI233">
            <v>0.22100000000000017</v>
          </cell>
          <cell r="AK233">
            <v>0.31483134466820839</v>
          </cell>
          <cell r="AY233">
            <v>0.22100000000000017</v>
          </cell>
          <cell r="BA233">
            <v>0.15732291634876552</v>
          </cell>
        </row>
        <row r="234">
          <cell r="S234">
            <v>0.22200000000000017</v>
          </cell>
          <cell r="U234">
            <v>0.35764102851835394</v>
          </cell>
          <cell r="AI234">
            <v>0.22200000000000017</v>
          </cell>
          <cell r="AK234">
            <v>0.17503497019875994</v>
          </cell>
          <cell r="AY234">
            <v>0.22200000000000017</v>
          </cell>
          <cell r="BA234">
            <v>0.29258095034638509</v>
          </cell>
        </row>
        <row r="235">
          <cell r="S235">
            <v>0.22300000000000017</v>
          </cell>
          <cell r="U235">
            <v>0.58131178923990823</v>
          </cell>
          <cell r="AI235">
            <v>0.22300000000000017</v>
          </cell>
          <cell r="AK235">
            <v>0.26964715405004558</v>
          </cell>
          <cell r="AY235">
            <v>0.22300000000000017</v>
          </cell>
          <cell r="BA235">
            <v>0.61656544694357129</v>
          </cell>
        </row>
        <row r="236">
          <cell r="S236">
            <v>0.22400000000000017</v>
          </cell>
          <cell r="U236">
            <v>0.29890468292756267</v>
          </cell>
          <cell r="AI236">
            <v>0.22400000000000017</v>
          </cell>
          <cell r="AK236">
            <v>0.2000154879421816</v>
          </cell>
          <cell r="AY236">
            <v>0.22400000000000017</v>
          </cell>
          <cell r="BA236">
            <v>0.60335093234046444</v>
          </cell>
        </row>
        <row r="237">
          <cell r="S237">
            <v>0.22500000000000017</v>
          </cell>
          <cell r="U237">
            <v>0.74099644651607144</v>
          </cell>
          <cell r="AI237">
            <v>0.22500000000000017</v>
          </cell>
          <cell r="AK237">
            <v>0.25648550535329595</v>
          </cell>
          <cell r="AY237">
            <v>0.22500000000000017</v>
          </cell>
          <cell r="BA237">
            <v>0.82293160802026433</v>
          </cell>
        </row>
        <row r="238">
          <cell r="S238">
            <v>0.22600000000000017</v>
          </cell>
          <cell r="U238">
            <v>0.78700152243885757</v>
          </cell>
          <cell r="AI238">
            <v>0.22600000000000017</v>
          </cell>
          <cell r="AK238">
            <v>0.2329874252789772</v>
          </cell>
          <cell r="AY238">
            <v>0.22600000000000017</v>
          </cell>
          <cell r="BA238">
            <v>0.95599230933561208</v>
          </cell>
        </row>
        <row r="239">
          <cell r="S239">
            <v>0.22700000000000017</v>
          </cell>
          <cell r="U239">
            <v>0.5107813991467911</v>
          </cell>
          <cell r="AI239">
            <v>0.22700000000000017</v>
          </cell>
          <cell r="AK239">
            <v>0.28246810276121337</v>
          </cell>
          <cell r="AY239">
            <v>0.22700000000000017</v>
          </cell>
          <cell r="BA239">
            <v>0.68688009277626882</v>
          </cell>
        </row>
        <row r="240">
          <cell r="S240">
            <v>0.22800000000000017</v>
          </cell>
          <cell r="U240">
            <v>0.37860851932737816</v>
          </cell>
          <cell r="AI240">
            <v>0.22800000000000017</v>
          </cell>
          <cell r="AK240">
            <v>0.25109703295128638</v>
          </cell>
          <cell r="AY240">
            <v>0.22800000000000017</v>
          </cell>
          <cell r="BA240">
            <v>8.7771233252967915E-2</v>
          </cell>
        </row>
        <row r="241">
          <cell r="S241">
            <v>0.22900000000000018</v>
          </cell>
          <cell r="U241">
            <v>0.40641325790083088</v>
          </cell>
          <cell r="AI241">
            <v>0.22900000000000018</v>
          </cell>
          <cell r="AK241">
            <v>0.10398810823399399</v>
          </cell>
          <cell r="AY241">
            <v>0.22900000000000018</v>
          </cell>
          <cell r="BA241">
            <v>0.65254676961577196</v>
          </cell>
        </row>
        <row r="242">
          <cell r="S242">
            <v>0.23000000000000018</v>
          </cell>
          <cell r="U242">
            <v>0.56253766587754439</v>
          </cell>
          <cell r="AI242">
            <v>0.23000000000000018</v>
          </cell>
          <cell r="AK242">
            <v>0.13545331287525841</v>
          </cell>
          <cell r="AY242">
            <v>0.23000000000000018</v>
          </cell>
          <cell r="BA242">
            <v>0.51081881160924103</v>
          </cell>
        </row>
        <row r="243">
          <cell r="S243">
            <v>0.23100000000000018</v>
          </cell>
          <cell r="U243">
            <v>0.7169435577507226</v>
          </cell>
          <cell r="AI243">
            <v>0.23100000000000018</v>
          </cell>
          <cell r="AK243">
            <v>0.18871896432470747</v>
          </cell>
          <cell r="AY243">
            <v>0.23100000000000018</v>
          </cell>
          <cell r="BA243">
            <v>0.21341593676564838</v>
          </cell>
        </row>
        <row r="244">
          <cell r="S244">
            <v>0.23200000000000018</v>
          </cell>
          <cell r="U244">
            <v>0.50591871183570825</v>
          </cell>
          <cell r="AI244">
            <v>0.23200000000000018</v>
          </cell>
          <cell r="AK244">
            <v>0.12310851735150063</v>
          </cell>
          <cell r="AY244">
            <v>0.23200000000000018</v>
          </cell>
          <cell r="BA244">
            <v>0.96829126865443893</v>
          </cell>
        </row>
        <row r="245">
          <cell r="S245">
            <v>0.23300000000000018</v>
          </cell>
          <cell r="U245">
            <v>0.36405163800977619</v>
          </cell>
          <cell r="AI245">
            <v>0.23300000000000018</v>
          </cell>
          <cell r="AK245">
            <v>0.26998749982795922</v>
          </cell>
          <cell r="AY245">
            <v>0.23300000000000018</v>
          </cell>
          <cell r="BA245">
            <v>0.53123569444868313</v>
          </cell>
        </row>
        <row r="246">
          <cell r="S246">
            <v>0.23400000000000018</v>
          </cell>
          <cell r="U246">
            <v>0.32510549929427346</v>
          </cell>
          <cell r="AI246">
            <v>0.23400000000000018</v>
          </cell>
          <cell r="AK246">
            <v>0.21916806438853154</v>
          </cell>
          <cell r="AY246">
            <v>0.23400000000000018</v>
          </cell>
          <cell r="BA246">
            <v>0.61314737388225959</v>
          </cell>
        </row>
        <row r="247">
          <cell r="S247">
            <v>0.23500000000000018</v>
          </cell>
          <cell r="U247">
            <v>0.38257059684832001</v>
          </cell>
          <cell r="AI247">
            <v>0.23500000000000018</v>
          </cell>
          <cell r="AK247">
            <v>4.0327515786945309E-2</v>
          </cell>
          <cell r="AY247">
            <v>0.23500000000000018</v>
          </cell>
          <cell r="BA247">
            <v>0.79494613483077492</v>
          </cell>
        </row>
        <row r="248">
          <cell r="S248">
            <v>0.23600000000000018</v>
          </cell>
          <cell r="U248">
            <v>0.69335553384320148</v>
          </cell>
          <cell r="AI248">
            <v>0.23600000000000018</v>
          </cell>
          <cell r="AK248">
            <v>0.1328721345657751</v>
          </cell>
          <cell r="AY248">
            <v>0.23600000000000018</v>
          </cell>
          <cell r="BA248">
            <v>0.24774925992614522</v>
          </cell>
        </row>
        <row r="249">
          <cell r="S249">
            <v>0.23700000000000018</v>
          </cell>
          <cell r="U249">
            <v>0.43259120160673581</v>
          </cell>
          <cell r="AI249">
            <v>0.23700000000000018</v>
          </cell>
          <cell r="AK249">
            <v>0.14219495392526169</v>
          </cell>
          <cell r="AY249">
            <v>0.23700000000000018</v>
          </cell>
          <cell r="BA249">
            <v>0.55223242896816915</v>
          </cell>
        </row>
        <row r="250">
          <cell r="S250">
            <v>0.23800000000000018</v>
          </cell>
          <cell r="U250">
            <v>0.39023150126834083</v>
          </cell>
          <cell r="AI250">
            <v>0.23800000000000018</v>
          </cell>
          <cell r="AK250">
            <v>9.5959511565476899E-2</v>
          </cell>
          <cell r="AY250">
            <v>0.23800000000000018</v>
          </cell>
          <cell r="BA250">
            <v>0.17697683645130771</v>
          </cell>
        </row>
        <row r="251">
          <cell r="S251">
            <v>0.23900000000000018</v>
          </cell>
          <cell r="U251">
            <v>0.12152555824835419</v>
          </cell>
          <cell r="AI251">
            <v>0.23900000000000018</v>
          </cell>
          <cell r="AK251">
            <v>0.15138073552377942</v>
          </cell>
          <cell r="AY251">
            <v>0.23900000000000018</v>
          </cell>
          <cell r="BA251">
            <v>0.60774559770500813</v>
          </cell>
        </row>
        <row r="252">
          <cell r="S252">
            <v>0.24000000000000019</v>
          </cell>
          <cell r="U252">
            <v>0.14255752982737552</v>
          </cell>
          <cell r="AI252">
            <v>0.24000000000000019</v>
          </cell>
          <cell r="AK252">
            <v>0.21907671186583511</v>
          </cell>
          <cell r="AY252">
            <v>0.24000000000000019</v>
          </cell>
          <cell r="BA252">
            <v>0.14206366161076692</v>
          </cell>
        </row>
        <row r="253">
          <cell r="S253">
            <v>0.24100000000000019</v>
          </cell>
          <cell r="U253">
            <v>0.25191299490068431</v>
          </cell>
          <cell r="AI253">
            <v>0.24100000000000019</v>
          </cell>
          <cell r="AK253">
            <v>0.19868465898938847</v>
          </cell>
          <cell r="AY253">
            <v>0.24100000000000019</v>
          </cell>
          <cell r="BA253">
            <v>0.33405560472426526</v>
          </cell>
        </row>
        <row r="254">
          <cell r="S254">
            <v>0.24200000000000019</v>
          </cell>
          <cell r="U254">
            <v>0.374322478794411</v>
          </cell>
          <cell r="AI254">
            <v>0.24200000000000019</v>
          </cell>
          <cell r="AK254">
            <v>0.15431829112951995</v>
          </cell>
          <cell r="AY254">
            <v>0.24200000000000019</v>
          </cell>
          <cell r="BA254">
            <v>4.8402356028931552E-2</v>
          </cell>
        </row>
        <row r="255">
          <cell r="S255">
            <v>0.24300000000000019</v>
          </cell>
          <cell r="U255">
            <v>0.21148282717311873</v>
          </cell>
          <cell r="AI255">
            <v>0.24300000000000019</v>
          </cell>
          <cell r="AK255">
            <v>9.6187250734421789E-2</v>
          </cell>
          <cell r="AY255">
            <v>0.24300000000000019</v>
          </cell>
          <cell r="BA255">
            <v>0.50865199743644518</v>
          </cell>
        </row>
        <row r="256">
          <cell r="S256">
            <v>0.24400000000000019</v>
          </cell>
          <cell r="U256">
            <v>0.67708940148092034</v>
          </cell>
          <cell r="AI256">
            <v>0.24400000000000019</v>
          </cell>
          <cell r="AK256">
            <v>0.32004922344473452</v>
          </cell>
          <cell r="AY256">
            <v>0.24400000000000019</v>
          </cell>
          <cell r="BA256">
            <v>0.39558091982787563</v>
          </cell>
        </row>
        <row r="257">
          <cell r="S257">
            <v>0.24500000000000019</v>
          </cell>
          <cell r="U257">
            <v>0.44699591638705627</v>
          </cell>
          <cell r="AI257">
            <v>0.24500000000000019</v>
          </cell>
          <cell r="AK257">
            <v>0.27779823876096066</v>
          </cell>
          <cell r="AY257">
            <v>0.24500000000000019</v>
          </cell>
          <cell r="BA257">
            <v>0.19888912625507371</v>
          </cell>
        </row>
        <row r="258">
          <cell r="S258">
            <v>0.24600000000000019</v>
          </cell>
          <cell r="U258">
            <v>0.54864704905984207</v>
          </cell>
          <cell r="AI258">
            <v>0.24600000000000019</v>
          </cell>
          <cell r="AK258">
            <v>0.24951413121175703</v>
          </cell>
          <cell r="AY258">
            <v>0.24600000000000019</v>
          </cell>
          <cell r="BA258">
            <v>9.54313791314432E-2</v>
          </cell>
        </row>
        <row r="259">
          <cell r="S259">
            <v>0.24700000000000019</v>
          </cell>
          <cell r="U259">
            <v>0.2612253644515512</v>
          </cell>
          <cell r="AI259">
            <v>0.24700000000000019</v>
          </cell>
          <cell r="AK259">
            <v>0.23821853997265363</v>
          </cell>
          <cell r="AY259">
            <v>0.24700000000000019</v>
          </cell>
          <cell r="BA259">
            <v>0.8902859584337901</v>
          </cell>
        </row>
        <row r="260">
          <cell r="S260">
            <v>0.24800000000000019</v>
          </cell>
          <cell r="U260">
            <v>0.28227707547436881</v>
          </cell>
          <cell r="AI260">
            <v>0.24800000000000019</v>
          </cell>
          <cell r="AK260">
            <v>0.31628700320952208</v>
          </cell>
          <cell r="AY260">
            <v>0.24800000000000019</v>
          </cell>
          <cell r="BA260">
            <v>0.34080019531846062</v>
          </cell>
        </row>
        <row r="261">
          <cell r="S261">
            <v>0.24900000000000019</v>
          </cell>
          <cell r="U261">
            <v>0.42452492303971578</v>
          </cell>
          <cell r="AI261">
            <v>0.24900000000000019</v>
          </cell>
          <cell r="AK261">
            <v>0.24512192337387151</v>
          </cell>
          <cell r="AY261">
            <v>0.24900000000000019</v>
          </cell>
          <cell r="BA261">
            <v>0.11841181676686914</v>
          </cell>
        </row>
        <row r="262">
          <cell r="S262">
            <v>0.25000000000000017</v>
          </cell>
          <cell r="U262">
            <v>0.5280611759001469</v>
          </cell>
          <cell r="AI262">
            <v>0.25000000000000017</v>
          </cell>
          <cell r="AK262">
            <v>0.19545640190393876</v>
          </cell>
          <cell r="AY262">
            <v>0.25000000000000017</v>
          </cell>
          <cell r="BA262">
            <v>0.99526963103122046</v>
          </cell>
        </row>
        <row r="263">
          <cell r="S263">
            <v>0.25100000000000017</v>
          </cell>
          <cell r="U263">
            <v>0.4692969451448456</v>
          </cell>
          <cell r="AI263">
            <v>0.25100000000000017</v>
          </cell>
          <cell r="AK263">
            <v>7.0548552172481349E-2</v>
          </cell>
          <cell r="AY263">
            <v>0.25100000000000017</v>
          </cell>
          <cell r="BA263">
            <v>0.44422742393261511</v>
          </cell>
        </row>
        <row r="264">
          <cell r="S264">
            <v>0.25200000000000017</v>
          </cell>
          <cell r="U264">
            <v>0.42189598896720254</v>
          </cell>
          <cell r="AI264">
            <v>0.25200000000000017</v>
          </cell>
          <cell r="AK264">
            <v>0.13305619963400694</v>
          </cell>
          <cell r="AY264">
            <v>0.25200000000000017</v>
          </cell>
          <cell r="BA264">
            <v>0.23346659749137852</v>
          </cell>
        </row>
        <row r="265">
          <cell r="S265">
            <v>0.25300000000000017</v>
          </cell>
          <cell r="U265">
            <v>0.4091932529993732</v>
          </cell>
          <cell r="AI265">
            <v>0.25300000000000017</v>
          </cell>
          <cell r="AK265">
            <v>0.20113853387105596</v>
          </cell>
          <cell r="AY265">
            <v>0.25300000000000017</v>
          </cell>
          <cell r="BA265">
            <v>0.83364360484633926</v>
          </cell>
        </row>
        <row r="266">
          <cell r="S266">
            <v>0.25400000000000017</v>
          </cell>
          <cell r="U266">
            <v>0.60024817569726996</v>
          </cell>
          <cell r="AI266">
            <v>0.25400000000000017</v>
          </cell>
          <cell r="AK266">
            <v>0.2203345449105335</v>
          </cell>
          <cell r="AY266">
            <v>0.25400000000000017</v>
          </cell>
          <cell r="BA266">
            <v>0.49992370372631001</v>
          </cell>
        </row>
        <row r="267">
          <cell r="S267">
            <v>0.25500000000000017</v>
          </cell>
          <cell r="U267">
            <v>0.84425655739273597</v>
          </cell>
          <cell r="AI267">
            <v>0.25500000000000017</v>
          </cell>
          <cell r="AK267">
            <v>7.3879646183996284E-2</v>
          </cell>
          <cell r="AY267">
            <v>0.25500000000000017</v>
          </cell>
          <cell r="BA267">
            <v>0.48884548478652301</v>
          </cell>
        </row>
        <row r="268">
          <cell r="S268">
            <v>0.25600000000000017</v>
          </cell>
          <cell r="U268">
            <v>0.51500774364439939</v>
          </cell>
          <cell r="AI268">
            <v>0.25600000000000017</v>
          </cell>
          <cell r="AK268">
            <v>0.30210994370082533</v>
          </cell>
          <cell r="AY268">
            <v>0.25600000000000017</v>
          </cell>
          <cell r="BA268">
            <v>0.89434492019409773</v>
          </cell>
        </row>
        <row r="269">
          <cell r="S269">
            <v>0.25700000000000017</v>
          </cell>
          <cell r="U269">
            <v>0.43351380186833621</v>
          </cell>
          <cell r="AI269">
            <v>0.25700000000000017</v>
          </cell>
          <cell r="AK269">
            <v>0.17389561479964818</v>
          </cell>
          <cell r="AY269">
            <v>0.25700000000000017</v>
          </cell>
          <cell r="BA269">
            <v>5.4689168980986962E-2</v>
          </cell>
        </row>
        <row r="270">
          <cell r="S270">
            <v>0.25800000000000017</v>
          </cell>
          <cell r="U270">
            <v>0.63896338648845652</v>
          </cell>
          <cell r="AI270">
            <v>0.25800000000000017</v>
          </cell>
          <cell r="AK270">
            <v>0.19153638034170295</v>
          </cell>
          <cell r="AY270">
            <v>0.25800000000000017</v>
          </cell>
          <cell r="BA270">
            <v>0.46201971495712152</v>
          </cell>
        </row>
        <row r="271">
          <cell r="S271">
            <v>0.25900000000000017</v>
          </cell>
          <cell r="U271">
            <v>0.32303652285178563</v>
          </cell>
          <cell r="AI271">
            <v>0.25900000000000017</v>
          </cell>
          <cell r="AK271">
            <v>0.11828494691521785</v>
          </cell>
          <cell r="AY271">
            <v>0.25900000000000017</v>
          </cell>
          <cell r="BA271">
            <v>1.7731254005554375E-2</v>
          </cell>
        </row>
        <row r="272">
          <cell r="S272">
            <v>0.26000000000000018</v>
          </cell>
          <cell r="U272">
            <v>0.5849117565663875</v>
          </cell>
          <cell r="AI272">
            <v>0.26000000000000018</v>
          </cell>
          <cell r="AK272">
            <v>0.23496653061603801</v>
          </cell>
          <cell r="AY272">
            <v>0.26000000000000018</v>
          </cell>
          <cell r="BA272">
            <v>0.18878749961851865</v>
          </cell>
        </row>
        <row r="273">
          <cell r="S273">
            <v>0.26100000000000018</v>
          </cell>
          <cell r="U273">
            <v>0.74036679183534493</v>
          </cell>
          <cell r="AI273">
            <v>0.26100000000000018</v>
          </cell>
          <cell r="AK273">
            <v>0.131128540942023</v>
          </cell>
          <cell r="AY273">
            <v>0.26100000000000018</v>
          </cell>
          <cell r="BA273">
            <v>0.14694662312692647</v>
          </cell>
        </row>
        <row r="274">
          <cell r="S274">
            <v>0.26200000000000018</v>
          </cell>
          <cell r="U274">
            <v>0.71030640290905689</v>
          </cell>
          <cell r="AI274">
            <v>0.26200000000000018</v>
          </cell>
          <cell r="AK274">
            <v>9.6688173452242107E-2</v>
          </cell>
          <cell r="AY274">
            <v>0.26200000000000018</v>
          </cell>
          <cell r="BA274">
            <v>0.40110477004303108</v>
          </cell>
        </row>
        <row r="275">
          <cell r="S275">
            <v>0.26300000000000018</v>
          </cell>
          <cell r="U275">
            <v>0.32633078949263211</v>
          </cell>
          <cell r="AI275">
            <v>0.26300000000000018</v>
          </cell>
          <cell r="AK275">
            <v>0.16422286465781361</v>
          </cell>
          <cell r="AY275">
            <v>0.26300000000000018</v>
          </cell>
          <cell r="BA275">
            <v>0.12521744438001647</v>
          </cell>
        </row>
        <row r="276">
          <cell r="S276">
            <v>0.26400000000000018</v>
          </cell>
          <cell r="U276">
            <v>0.4629821168659688</v>
          </cell>
          <cell r="AI276">
            <v>0.26400000000000018</v>
          </cell>
          <cell r="AK276">
            <v>0.14387771551850476</v>
          </cell>
          <cell r="AY276">
            <v>0.26400000000000018</v>
          </cell>
          <cell r="BA276">
            <v>0.37546922208319344</v>
          </cell>
        </row>
        <row r="277">
          <cell r="S277">
            <v>0.26500000000000018</v>
          </cell>
          <cell r="U277">
            <v>0.27237550016962014</v>
          </cell>
          <cell r="AI277">
            <v>0.26500000000000018</v>
          </cell>
          <cell r="AK277">
            <v>0.2706592921068296</v>
          </cell>
          <cell r="AY277">
            <v>0.26500000000000018</v>
          </cell>
          <cell r="BA277">
            <v>0.2098452711569567</v>
          </cell>
        </row>
        <row r="278">
          <cell r="S278">
            <v>0.26600000000000018</v>
          </cell>
          <cell r="U278">
            <v>0.40391895111469595</v>
          </cell>
          <cell r="AI278">
            <v>0.26600000000000018</v>
          </cell>
          <cell r="AK278">
            <v>8.8653198874168906E-2</v>
          </cell>
          <cell r="AY278">
            <v>0.26600000000000018</v>
          </cell>
          <cell r="BA278">
            <v>0.89242225409710985</v>
          </cell>
        </row>
        <row r="279">
          <cell r="S279">
            <v>0.26700000000000018</v>
          </cell>
          <cell r="U279">
            <v>0.76626198191820727</v>
          </cell>
          <cell r="AI279">
            <v>0.26700000000000018</v>
          </cell>
          <cell r="AK279">
            <v>0.144399296042902</v>
          </cell>
          <cell r="AY279">
            <v>0.26700000000000018</v>
          </cell>
          <cell r="BA279">
            <v>0.96487319559312723</v>
          </cell>
        </row>
        <row r="280">
          <cell r="S280">
            <v>0.26800000000000018</v>
          </cell>
          <cell r="U280">
            <v>0.80537682896140939</v>
          </cell>
          <cell r="AI280">
            <v>0.26800000000000018</v>
          </cell>
          <cell r="AK280">
            <v>0.19247836651056049</v>
          </cell>
          <cell r="AY280">
            <v>0.26800000000000018</v>
          </cell>
          <cell r="BA280">
            <v>0.85558641315958128</v>
          </cell>
        </row>
        <row r="281">
          <cell r="S281">
            <v>0.26900000000000018</v>
          </cell>
          <cell r="U281">
            <v>0.34528881081958107</v>
          </cell>
          <cell r="AI281">
            <v>0.26900000000000018</v>
          </cell>
          <cell r="AK281">
            <v>0.32601325619111576</v>
          </cell>
          <cell r="AY281">
            <v>0.26900000000000018</v>
          </cell>
          <cell r="BA281">
            <v>0.95440534684286016</v>
          </cell>
        </row>
        <row r="282">
          <cell r="S282">
            <v>0.27000000000000018</v>
          </cell>
          <cell r="U282">
            <v>0.15921116585301051</v>
          </cell>
          <cell r="AI282">
            <v>0.27000000000000018</v>
          </cell>
          <cell r="AK282">
            <v>0.27709665287659868</v>
          </cell>
          <cell r="AY282">
            <v>0.27000000000000018</v>
          </cell>
          <cell r="BA282">
            <v>0.55928220465712453</v>
          </cell>
        </row>
        <row r="283">
          <cell r="S283">
            <v>0.27100000000000019</v>
          </cell>
          <cell r="U283">
            <v>0.50127196849938471</v>
          </cell>
          <cell r="AI283">
            <v>0.27100000000000019</v>
          </cell>
          <cell r="AK283">
            <v>0.16898774051598967</v>
          </cell>
          <cell r="AY283">
            <v>0.27100000000000019</v>
          </cell>
          <cell r="BA283">
            <v>0.89745780816064946</v>
          </cell>
        </row>
        <row r="284">
          <cell r="S284">
            <v>0.27200000000000019</v>
          </cell>
          <cell r="U284">
            <v>0.73931314296359707</v>
          </cell>
          <cell r="AI284">
            <v>0.27200000000000019</v>
          </cell>
          <cell r="AK284">
            <v>0.25365581932415404</v>
          </cell>
          <cell r="AY284">
            <v>0.27200000000000019</v>
          </cell>
          <cell r="BA284">
            <v>0.35358745078890347</v>
          </cell>
        </row>
        <row r="285">
          <cell r="S285">
            <v>0.27300000000000019</v>
          </cell>
          <cell r="U285">
            <v>0.94171782465609188</v>
          </cell>
          <cell r="AI285">
            <v>0.27300000000000019</v>
          </cell>
          <cell r="AK285">
            <v>0.12849863683270224</v>
          </cell>
          <cell r="AY285">
            <v>0.27300000000000019</v>
          </cell>
          <cell r="BA285">
            <v>0.28577532273323769</v>
          </cell>
        </row>
        <row r="286">
          <cell r="S286">
            <v>0.27400000000000019</v>
          </cell>
          <cell r="U286">
            <v>0.78010186122701997</v>
          </cell>
          <cell r="AI286">
            <v>0.27400000000000019</v>
          </cell>
          <cell r="AK286">
            <v>0.31082026698612775</v>
          </cell>
          <cell r="AY286">
            <v>0.27400000000000019</v>
          </cell>
          <cell r="BA286">
            <v>0.95028534806360054</v>
          </cell>
        </row>
        <row r="287">
          <cell r="S287">
            <v>0.27500000000000019</v>
          </cell>
          <cell r="U287">
            <v>0.53908769019950498</v>
          </cell>
          <cell r="AI287">
            <v>0.27500000000000019</v>
          </cell>
          <cell r="AK287">
            <v>0.16756707247108299</v>
          </cell>
          <cell r="AY287">
            <v>0.27500000000000019</v>
          </cell>
          <cell r="BA287">
            <v>0.98507644886623735</v>
          </cell>
        </row>
        <row r="288">
          <cell r="S288">
            <v>0.27600000000000019</v>
          </cell>
          <cell r="U288">
            <v>0.38760076028102713</v>
          </cell>
          <cell r="AI288">
            <v>0.27600000000000019</v>
          </cell>
          <cell r="AK288">
            <v>0.16943341321293115</v>
          </cell>
          <cell r="AY288">
            <v>0.27600000000000019</v>
          </cell>
          <cell r="BA288">
            <v>6.0884426404614389E-2</v>
          </cell>
        </row>
        <row r="289">
          <cell r="S289">
            <v>0.27700000000000019</v>
          </cell>
          <cell r="U289">
            <v>0.66428218790926308</v>
          </cell>
          <cell r="AI289">
            <v>0.27700000000000019</v>
          </cell>
          <cell r="AK289">
            <v>0.15283627011940534</v>
          </cell>
          <cell r="AY289">
            <v>0.27700000000000019</v>
          </cell>
          <cell r="BA289">
            <v>0.9974364452040162</v>
          </cell>
        </row>
        <row r="290">
          <cell r="S290">
            <v>0.27800000000000019</v>
          </cell>
          <cell r="U290">
            <v>0.40659571599688921</v>
          </cell>
          <cell r="AI290">
            <v>0.27800000000000019</v>
          </cell>
          <cell r="AK290">
            <v>0.22643469245999137</v>
          </cell>
          <cell r="AY290">
            <v>0.27800000000000019</v>
          </cell>
          <cell r="BA290">
            <v>8.2094790490432445E-2</v>
          </cell>
        </row>
        <row r="291">
          <cell r="S291">
            <v>0.27900000000000019</v>
          </cell>
          <cell r="U291">
            <v>0.28086120864073438</v>
          </cell>
          <cell r="AI291">
            <v>0.27900000000000019</v>
          </cell>
          <cell r="AK291">
            <v>0.11003012760704414</v>
          </cell>
          <cell r="AY291">
            <v>0.27900000000000019</v>
          </cell>
          <cell r="BA291">
            <v>0.48655659657582323</v>
          </cell>
        </row>
        <row r="292">
          <cell r="S292">
            <v>0.28000000000000019</v>
          </cell>
          <cell r="U292">
            <v>0.47595598663387989</v>
          </cell>
          <cell r="AI292">
            <v>0.28000000000000019</v>
          </cell>
          <cell r="AK292">
            <v>0.27340937535043297</v>
          </cell>
          <cell r="AY292">
            <v>0.28000000000000019</v>
          </cell>
          <cell r="BA292">
            <v>0.77373577074495681</v>
          </cell>
        </row>
        <row r="293">
          <cell r="S293">
            <v>0.28100000000000019</v>
          </cell>
          <cell r="U293">
            <v>0.41148289305187574</v>
          </cell>
          <cell r="AI293">
            <v>0.28100000000000019</v>
          </cell>
          <cell r="AK293">
            <v>0.17722694819130624</v>
          </cell>
          <cell r="AY293">
            <v>0.28100000000000019</v>
          </cell>
          <cell r="BA293">
            <v>0.48246711630603961</v>
          </cell>
        </row>
        <row r="294">
          <cell r="S294">
            <v>0.28200000000000019</v>
          </cell>
          <cell r="U294">
            <v>0.41605140458005502</v>
          </cell>
          <cell r="AI294">
            <v>0.28200000000000019</v>
          </cell>
          <cell r="AK294">
            <v>0.10009500308720384</v>
          </cell>
          <cell r="AY294">
            <v>0.28200000000000019</v>
          </cell>
          <cell r="BA294">
            <v>0.93014313180944241</v>
          </cell>
        </row>
        <row r="295">
          <cell r="S295">
            <v>0.2830000000000002</v>
          </cell>
          <cell r="U295">
            <v>0.36669622828142989</v>
          </cell>
          <cell r="AI295">
            <v>0.2830000000000002</v>
          </cell>
          <cell r="AK295">
            <v>0.34103024586160779</v>
          </cell>
          <cell r="AY295">
            <v>0.2830000000000002</v>
          </cell>
          <cell r="BA295">
            <v>0.51152073732718895</v>
          </cell>
        </row>
        <row r="296">
          <cell r="S296">
            <v>0.2840000000000002</v>
          </cell>
          <cell r="U296">
            <v>0.59260882243998492</v>
          </cell>
          <cell r="AI296">
            <v>0.2840000000000002</v>
          </cell>
          <cell r="AK296">
            <v>4.660200166596816E-2</v>
          </cell>
          <cell r="AY296">
            <v>0.2840000000000002</v>
          </cell>
          <cell r="BA296">
            <v>0.55626087221900078</v>
          </cell>
        </row>
        <row r="297">
          <cell r="S297">
            <v>0.2850000000000002</v>
          </cell>
          <cell r="U297">
            <v>0.46430888340656007</v>
          </cell>
          <cell r="AI297">
            <v>0.2850000000000002</v>
          </cell>
          <cell r="AK297">
            <v>9.7588666327771148E-2</v>
          </cell>
          <cell r="AY297">
            <v>0.2850000000000002</v>
          </cell>
          <cell r="BA297">
            <v>0.86922818689535208</v>
          </cell>
        </row>
        <row r="298">
          <cell r="S298">
            <v>0.2860000000000002</v>
          </cell>
          <cell r="U298">
            <v>0.72215686346447705</v>
          </cell>
          <cell r="AI298">
            <v>0.2860000000000002</v>
          </cell>
          <cell r="AK298">
            <v>0.32894115095782928</v>
          </cell>
          <cell r="AY298">
            <v>0.2860000000000002</v>
          </cell>
          <cell r="BA298">
            <v>0.6471144749290445</v>
          </cell>
        </row>
        <row r="299">
          <cell r="S299">
            <v>0.2870000000000002</v>
          </cell>
          <cell r="U299">
            <v>0.46128325367062673</v>
          </cell>
          <cell r="AI299">
            <v>0.2870000000000002</v>
          </cell>
          <cell r="AK299">
            <v>0.23463045223892898</v>
          </cell>
          <cell r="AY299">
            <v>0.2870000000000002</v>
          </cell>
          <cell r="BA299">
            <v>0.48878444776757102</v>
          </cell>
        </row>
        <row r="300">
          <cell r="S300">
            <v>0.2880000000000002</v>
          </cell>
          <cell r="U300">
            <v>0.57090266445398696</v>
          </cell>
          <cell r="AI300">
            <v>0.2880000000000002</v>
          </cell>
          <cell r="AK300">
            <v>0.1558905266788328</v>
          </cell>
          <cell r="AY300">
            <v>0.2880000000000002</v>
          </cell>
          <cell r="BA300">
            <v>0.96050904873805965</v>
          </cell>
        </row>
        <row r="301">
          <cell r="S301">
            <v>0.2890000000000002</v>
          </cell>
          <cell r="U301">
            <v>0.42310691413930279</v>
          </cell>
          <cell r="AI301">
            <v>0.2890000000000002</v>
          </cell>
          <cell r="AK301">
            <v>0.39093638345833626</v>
          </cell>
          <cell r="AY301">
            <v>0.2890000000000002</v>
          </cell>
          <cell r="BA301">
            <v>0.48643452253791924</v>
          </cell>
        </row>
        <row r="302">
          <cell r="S302">
            <v>0.2900000000000002</v>
          </cell>
          <cell r="U302">
            <v>0.82955182712644726</v>
          </cell>
          <cell r="AI302">
            <v>0.2900000000000002</v>
          </cell>
          <cell r="AK302">
            <v>0.20777989442465006</v>
          </cell>
          <cell r="AY302">
            <v>0.2900000000000002</v>
          </cell>
          <cell r="BA302">
            <v>0.79201635792107916</v>
          </cell>
        </row>
        <row r="303">
          <cell r="S303">
            <v>0.2910000000000002</v>
          </cell>
          <cell r="U303">
            <v>0.71069511414970643</v>
          </cell>
          <cell r="AI303">
            <v>0.2910000000000002</v>
          </cell>
          <cell r="AK303">
            <v>0.2840383284633009</v>
          </cell>
          <cell r="AY303">
            <v>0.2910000000000002</v>
          </cell>
          <cell r="BA303">
            <v>0.60536515396588031</v>
          </cell>
        </row>
        <row r="304">
          <cell r="S304">
            <v>0.2920000000000002</v>
          </cell>
          <cell r="U304">
            <v>0.42842536940926546</v>
          </cell>
          <cell r="AI304">
            <v>0.2920000000000002</v>
          </cell>
          <cell r="AK304">
            <v>0.14523419780780336</v>
          </cell>
          <cell r="AY304">
            <v>0.2920000000000002</v>
          </cell>
          <cell r="BA304">
            <v>0.33399456770531327</v>
          </cell>
        </row>
        <row r="305">
          <cell r="S305">
            <v>0.2930000000000002</v>
          </cell>
          <cell r="U305">
            <v>0.47361107092799926</v>
          </cell>
          <cell r="AI305">
            <v>0.2930000000000002</v>
          </cell>
          <cell r="AK305">
            <v>0.13066860006772543</v>
          </cell>
          <cell r="AY305">
            <v>0.2930000000000002</v>
          </cell>
          <cell r="BA305">
            <v>6.5340128788109977E-2</v>
          </cell>
        </row>
        <row r="306">
          <cell r="S306">
            <v>0.29400000000000021</v>
          </cell>
          <cell r="U306">
            <v>0.59438364858961046</v>
          </cell>
          <cell r="AI306">
            <v>0.29400000000000021</v>
          </cell>
          <cell r="AK306">
            <v>0.16717863394220192</v>
          </cell>
          <cell r="AY306">
            <v>0.29400000000000021</v>
          </cell>
          <cell r="BA306">
            <v>0.34946745200964385</v>
          </cell>
        </row>
        <row r="307">
          <cell r="S307">
            <v>0.29500000000000021</v>
          </cell>
          <cell r="U307">
            <v>0.43897954289356633</v>
          </cell>
          <cell r="AI307">
            <v>0.29500000000000021</v>
          </cell>
          <cell r="AK307">
            <v>0.2331491836034747</v>
          </cell>
          <cell r="AY307">
            <v>0.29500000000000021</v>
          </cell>
          <cell r="BA307">
            <v>0.87258522293771168</v>
          </cell>
        </row>
        <row r="308">
          <cell r="S308">
            <v>0.29600000000000021</v>
          </cell>
          <cell r="U308">
            <v>0.69692959461990378</v>
          </cell>
          <cell r="AI308">
            <v>0.29600000000000021</v>
          </cell>
          <cell r="AK308">
            <v>0.13293104828213051</v>
          </cell>
          <cell r="AY308">
            <v>0.29600000000000021</v>
          </cell>
          <cell r="BA308">
            <v>0.2468031861323893</v>
          </cell>
        </row>
        <row r="309">
          <cell r="S309">
            <v>0.29700000000000021</v>
          </cell>
          <cell r="U309">
            <v>0.80902261494304173</v>
          </cell>
          <cell r="AI309">
            <v>0.29700000000000021</v>
          </cell>
          <cell r="AK309">
            <v>0.11054627371166004</v>
          </cell>
          <cell r="AY309">
            <v>0.29700000000000021</v>
          </cell>
          <cell r="BA309">
            <v>0.58388012329477823</v>
          </cell>
        </row>
        <row r="310">
          <cell r="S310">
            <v>0.29800000000000021</v>
          </cell>
          <cell r="U310">
            <v>0.11257788657982462</v>
          </cell>
          <cell r="AI310">
            <v>0.29800000000000021</v>
          </cell>
          <cell r="AK310">
            <v>0.17170754359759727</v>
          </cell>
          <cell r="AY310">
            <v>0.29800000000000021</v>
          </cell>
          <cell r="BA310">
            <v>0.82183294167912835</v>
          </cell>
        </row>
        <row r="311">
          <cell r="S311">
            <v>0.29900000000000021</v>
          </cell>
          <cell r="U311">
            <v>0.45200726609803532</v>
          </cell>
          <cell r="AI311">
            <v>0.29900000000000021</v>
          </cell>
          <cell r="AK311">
            <v>5.0929477630722253E-2</v>
          </cell>
          <cell r="AY311">
            <v>0.29900000000000021</v>
          </cell>
          <cell r="BA311">
            <v>0.97531052583391831</v>
          </cell>
        </row>
        <row r="312">
          <cell r="S312">
            <v>0.30000000000000021</v>
          </cell>
          <cell r="U312">
            <v>0.18878652537804277</v>
          </cell>
          <cell r="AI312">
            <v>0.30000000000000021</v>
          </cell>
          <cell r="AK312">
            <v>0.24282660566682968</v>
          </cell>
          <cell r="AY312">
            <v>0.30000000000000021</v>
          </cell>
          <cell r="BA312">
            <v>0.56871242408520772</v>
          </cell>
        </row>
        <row r="313">
          <cell r="S313">
            <v>0.30100000000000021</v>
          </cell>
          <cell r="U313">
            <v>0.66949591343156589</v>
          </cell>
          <cell r="AI313">
            <v>0.30100000000000021</v>
          </cell>
          <cell r="AK313">
            <v>0.12179852090834925</v>
          </cell>
          <cell r="AY313">
            <v>0.30100000000000021</v>
          </cell>
          <cell r="BA313">
            <v>0.15976439710684531</v>
          </cell>
        </row>
        <row r="314">
          <cell r="S314">
            <v>0.30200000000000021</v>
          </cell>
          <cell r="U314">
            <v>0.51505354183535734</v>
          </cell>
          <cell r="AI314">
            <v>0.30200000000000021</v>
          </cell>
          <cell r="AK314">
            <v>0.24311396514198325</v>
          </cell>
          <cell r="AY314">
            <v>0.30200000000000021</v>
          </cell>
          <cell r="BA314">
            <v>0.17453535569322795</v>
          </cell>
        </row>
        <row r="315">
          <cell r="S315">
            <v>0.30300000000000021</v>
          </cell>
          <cell r="U315">
            <v>0.55215931592476475</v>
          </cell>
          <cell r="AI315">
            <v>0.30300000000000021</v>
          </cell>
          <cell r="AK315">
            <v>0.1961247104947621</v>
          </cell>
          <cell r="AY315">
            <v>0.30300000000000021</v>
          </cell>
          <cell r="BA315">
            <v>0.56059450056459248</v>
          </cell>
        </row>
        <row r="316">
          <cell r="S316">
            <v>0.30400000000000021</v>
          </cell>
          <cell r="U316">
            <v>0.32788022005108369</v>
          </cell>
          <cell r="AI316">
            <v>0.30400000000000021</v>
          </cell>
          <cell r="AK316">
            <v>0.20090895079325943</v>
          </cell>
          <cell r="AY316">
            <v>0.30400000000000021</v>
          </cell>
          <cell r="BA316">
            <v>0.22803430280465106</v>
          </cell>
        </row>
        <row r="317">
          <cell r="S317">
            <v>0.30500000000000022</v>
          </cell>
          <cell r="U317">
            <v>0.1334657322454455</v>
          </cell>
          <cell r="AI317">
            <v>0.30500000000000022</v>
          </cell>
          <cell r="AK317">
            <v>0.16554840865370174</v>
          </cell>
          <cell r="AY317">
            <v>0.30500000000000022</v>
          </cell>
          <cell r="BA317">
            <v>0.89901425214392527</v>
          </cell>
        </row>
        <row r="318">
          <cell r="S318">
            <v>0.30600000000000022</v>
          </cell>
          <cell r="U318">
            <v>0.42610058128536221</v>
          </cell>
          <cell r="AI318">
            <v>0.30600000000000022</v>
          </cell>
          <cell r="AK318">
            <v>0.15325281183535278</v>
          </cell>
          <cell r="AY318">
            <v>0.30600000000000022</v>
          </cell>
          <cell r="BA318">
            <v>0.91644032105471973</v>
          </cell>
        </row>
        <row r="319">
          <cell r="S319">
            <v>0.30700000000000022</v>
          </cell>
          <cell r="U319">
            <v>0.61291690247854813</v>
          </cell>
          <cell r="AI319">
            <v>0.30700000000000022</v>
          </cell>
          <cell r="AK319">
            <v>0.28357416447605466</v>
          </cell>
          <cell r="AY319">
            <v>0.30700000000000022</v>
          </cell>
          <cell r="BA319">
            <v>0.12216559343241676</v>
          </cell>
        </row>
        <row r="320">
          <cell r="S320">
            <v>0.30800000000000022</v>
          </cell>
          <cell r="U320">
            <v>0.45348581047678715</v>
          </cell>
          <cell r="AI320">
            <v>0.30800000000000022</v>
          </cell>
          <cell r="AK320">
            <v>0.20679855935806857</v>
          </cell>
          <cell r="AY320">
            <v>0.30800000000000022</v>
          </cell>
          <cell r="BA320">
            <v>0.18362987151707511</v>
          </cell>
        </row>
        <row r="321">
          <cell r="S321">
            <v>0.30900000000000022</v>
          </cell>
          <cell r="U321">
            <v>0.60132481341180855</v>
          </cell>
          <cell r="AI321">
            <v>0.30900000000000022</v>
          </cell>
          <cell r="AK321">
            <v>9.491788684798419E-2</v>
          </cell>
          <cell r="AY321">
            <v>0.30900000000000022</v>
          </cell>
          <cell r="BA321">
            <v>0.10531937620166633</v>
          </cell>
        </row>
        <row r="322">
          <cell r="S322">
            <v>0.31000000000000022</v>
          </cell>
          <cell r="U322">
            <v>0.31378374675241916</v>
          </cell>
          <cell r="AI322">
            <v>0.31000000000000022</v>
          </cell>
          <cell r="AK322">
            <v>0.22097916820533858</v>
          </cell>
          <cell r="AY322">
            <v>0.31000000000000022</v>
          </cell>
          <cell r="BA322">
            <v>9.5736564226203177E-2</v>
          </cell>
        </row>
        <row r="323">
          <cell r="S323">
            <v>0.31100000000000022</v>
          </cell>
          <cell r="U323">
            <v>7.3457602052811516E-2</v>
          </cell>
          <cell r="AI323">
            <v>0.31100000000000022</v>
          </cell>
          <cell r="AK323">
            <v>0.13710674767193917</v>
          </cell>
          <cell r="AY323">
            <v>0.31100000000000022</v>
          </cell>
          <cell r="BA323">
            <v>0.13672292245246742</v>
          </cell>
        </row>
        <row r="324">
          <cell r="S324">
            <v>0.31200000000000022</v>
          </cell>
          <cell r="U324">
            <v>0.50005331577018808</v>
          </cell>
          <cell r="AI324">
            <v>0.31200000000000022</v>
          </cell>
          <cell r="AK324">
            <v>0.17937722248192914</v>
          </cell>
          <cell r="AY324">
            <v>0.31200000000000022</v>
          </cell>
          <cell r="BA324">
            <v>0.64067506942960906</v>
          </cell>
        </row>
        <row r="325">
          <cell r="S325">
            <v>0.31300000000000022</v>
          </cell>
          <cell r="U325">
            <v>0.37792089927189265</v>
          </cell>
          <cell r="AI325">
            <v>0.31300000000000022</v>
          </cell>
          <cell r="AK325">
            <v>5.7245691882061467E-2</v>
          </cell>
          <cell r="AY325">
            <v>0.31300000000000022</v>
          </cell>
          <cell r="BA325">
            <v>0.75737784966582233</v>
          </cell>
        </row>
        <row r="326">
          <cell r="S326">
            <v>0.31400000000000022</v>
          </cell>
          <cell r="U326">
            <v>0.69158922160851077</v>
          </cell>
          <cell r="AI326">
            <v>0.31400000000000022</v>
          </cell>
          <cell r="AK326">
            <v>0.32095179135982355</v>
          </cell>
          <cell r="AY326">
            <v>0.31400000000000022</v>
          </cell>
          <cell r="BA326">
            <v>0.49378948332163458</v>
          </cell>
        </row>
        <row r="327">
          <cell r="S327">
            <v>0.31500000000000022</v>
          </cell>
          <cell r="U327">
            <v>0.15016404257334434</v>
          </cell>
          <cell r="AI327">
            <v>0.31500000000000022</v>
          </cell>
          <cell r="AK327">
            <v>0.17161532787994543</v>
          </cell>
          <cell r="AY327">
            <v>0.31500000000000022</v>
          </cell>
          <cell r="BA327">
            <v>0.60847804193243205</v>
          </cell>
        </row>
        <row r="328">
          <cell r="S328">
            <v>0.31600000000000023</v>
          </cell>
          <cell r="U328">
            <v>0.60216756950933958</v>
          </cell>
          <cell r="AI328">
            <v>0.31600000000000023</v>
          </cell>
          <cell r="AK328">
            <v>0.21041501012744068</v>
          </cell>
          <cell r="AY328">
            <v>0.31600000000000023</v>
          </cell>
          <cell r="BA328">
            <v>4.2085024567400126E-2</v>
          </cell>
        </row>
        <row r="329">
          <cell r="S329">
            <v>0.31700000000000023</v>
          </cell>
          <cell r="U329">
            <v>0.64247087780371692</v>
          </cell>
          <cell r="AI329">
            <v>0.31700000000000023</v>
          </cell>
          <cell r="AK329">
            <v>0.3303460742381632</v>
          </cell>
          <cell r="AY329">
            <v>0.31700000000000023</v>
          </cell>
          <cell r="BA329">
            <v>0.65974913785210731</v>
          </cell>
        </row>
        <row r="330">
          <cell r="S330">
            <v>0.31800000000000023</v>
          </cell>
          <cell r="U330">
            <v>0.50942432805307658</v>
          </cell>
          <cell r="AI330">
            <v>0.31800000000000023</v>
          </cell>
          <cell r="AK330">
            <v>0.22503173160951229</v>
          </cell>
          <cell r="AY330">
            <v>0.31800000000000023</v>
          </cell>
          <cell r="BA330">
            <v>0.79692983794671468</v>
          </cell>
        </row>
        <row r="331">
          <cell r="S331">
            <v>0.31900000000000023</v>
          </cell>
          <cell r="U331">
            <v>0.21831294435335563</v>
          </cell>
          <cell r="AI331">
            <v>0.31900000000000023</v>
          </cell>
          <cell r="AK331">
            <v>0.25170678495171062</v>
          </cell>
          <cell r="AY331">
            <v>0.31900000000000023</v>
          </cell>
          <cell r="BA331">
            <v>0.67821283608508565</v>
          </cell>
        </row>
        <row r="332">
          <cell r="S332">
            <v>0.32000000000000023</v>
          </cell>
          <cell r="U332">
            <v>0.51245920879920459</v>
          </cell>
          <cell r="AI332">
            <v>0.32000000000000023</v>
          </cell>
          <cell r="AK332">
            <v>0.43503522210310386</v>
          </cell>
          <cell r="AY332">
            <v>0.32000000000000023</v>
          </cell>
          <cell r="BA332">
            <v>0.86645100253303631</v>
          </cell>
        </row>
        <row r="333">
          <cell r="S333">
            <v>0.32100000000000023</v>
          </cell>
          <cell r="U333">
            <v>0.78464599005336</v>
          </cell>
          <cell r="AI333">
            <v>0.32100000000000023</v>
          </cell>
          <cell r="AK333">
            <v>0.28793487878356072</v>
          </cell>
          <cell r="AY333">
            <v>0.32100000000000023</v>
          </cell>
          <cell r="BA333">
            <v>0.17404705954161198</v>
          </cell>
        </row>
        <row r="334">
          <cell r="S334">
            <v>0.32200000000000023</v>
          </cell>
          <cell r="U334">
            <v>0.51134568393620228</v>
          </cell>
          <cell r="AI334">
            <v>0.32200000000000023</v>
          </cell>
          <cell r="AK334">
            <v>0.20732403804418831</v>
          </cell>
          <cell r="AY334">
            <v>0.32200000000000023</v>
          </cell>
          <cell r="BA334">
            <v>2.8168584246345406E-2</v>
          </cell>
        </row>
        <row r="335">
          <cell r="S335">
            <v>0.32300000000000023</v>
          </cell>
          <cell r="U335">
            <v>0.8567705411928499</v>
          </cell>
          <cell r="AI335">
            <v>0.32300000000000023</v>
          </cell>
          <cell r="AK335">
            <v>0.26276661681377333</v>
          </cell>
          <cell r="AY335">
            <v>0.32300000000000023</v>
          </cell>
          <cell r="BA335">
            <v>0.45289468062379834</v>
          </cell>
        </row>
        <row r="336">
          <cell r="S336">
            <v>0.32400000000000023</v>
          </cell>
          <cell r="U336">
            <v>0.4496373444294316</v>
          </cell>
          <cell r="AI336">
            <v>0.32400000000000023</v>
          </cell>
          <cell r="AK336">
            <v>0.19901105768296756</v>
          </cell>
          <cell r="AY336">
            <v>0.32400000000000023</v>
          </cell>
          <cell r="BA336">
            <v>0.76390881069368577</v>
          </cell>
        </row>
        <row r="337">
          <cell r="S337">
            <v>0.32500000000000023</v>
          </cell>
          <cell r="U337">
            <v>0.196377530744475</v>
          </cell>
          <cell r="AI337">
            <v>0.32500000000000023</v>
          </cell>
          <cell r="AK337">
            <v>0.24017092732677325</v>
          </cell>
          <cell r="AY337">
            <v>0.32500000000000023</v>
          </cell>
          <cell r="BA337">
            <v>0.93633838923306989</v>
          </cell>
        </row>
        <row r="338">
          <cell r="S338">
            <v>0.32600000000000023</v>
          </cell>
          <cell r="U338">
            <v>0.22075795930862618</v>
          </cell>
          <cell r="AI338">
            <v>0.32600000000000023</v>
          </cell>
          <cell r="AK338">
            <v>0.25094501610605713</v>
          </cell>
          <cell r="AY338">
            <v>0.32600000000000023</v>
          </cell>
          <cell r="BA338">
            <v>2.020325327311014E-2</v>
          </cell>
        </row>
        <row r="339">
          <cell r="S339">
            <v>0.32700000000000023</v>
          </cell>
          <cell r="U339">
            <v>0.63404958742268802</v>
          </cell>
          <cell r="AI339">
            <v>0.32700000000000023</v>
          </cell>
          <cell r="AK339">
            <v>0.26038461669234081</v>
          </cell>
          <cell r="AY339">
            <v>0.32700000000000023</v>
          </cell>
          <cell r="BA339">
            <v>0.7125156407361064</v>
          </cell>
        </row>
        <row r="340">
          <cell r="S340">
            <v>0.32800000000000024</v>
          </cell>
          <cell r="U340">
            <v>0.30240821372843829</v>
          </cell>
          <cell r="AI340">
            <v>0.32800000000000024</v>
          </cell>
          <cell r="AK340">
            <v>6.063373025035864E-2</v>
          </cell>
          <cell r="AY340">
            <v>0.32800000000000024</v>
          </cell>
          <cell r="BA340">
            <v>6.1067537461470374E-2</v>
          </cell>
        </row>
        <row r="341">
          <cell r="S341">
            <v>0.32900000000000024</v>
          </cell>
          <cell r="U341">
            <v>0.76078657067833566</v>
          </cell>
          <cell r="AI341">
            <v>0.32900000000000024</v>
          </cell>
          <cell r="AK341">
            <v>0.15418426710984087</v>
          </cell>
          <cell r="AY341">
            <v>0.32900000000000024</v>
          </cell>
          <cell r="BA341">
            <v>0.46699423200170903</v>
          </cell>
        </row>
        <row r="342">
          <cell r="S342">
            <v>0.33000000000000024</v>
          </cell>
          <cell r="U342">
            <v>0.26060167197766243</v>
          </cell>
          <cell r="AI342">
            <v>0.33000000000000024</v>
          </cell>
          <cell r="AK342">
            <v>0.23159215763730645</v>
          </cell>
          <cell r="AY342">
            <v>0.33000000000000024</v>
          </cell>
          <cell r="BA342">
            <v>0.21024201178014468</v>
          </cell>
        </row>
        <row r="343">
          <cell r="S343">
            <v>0.33100000000000024</v>
          </cell>
          <cell r="U343">
            <v>0.47939986119949102</v>
          </cell>
          <cell r="AI343">
            <v>0.33100000000000024</v>
          </cell>
          <cell r="AK343">
            <v>0.11781893928653987</v>
          </cell>
          <cell r="AY343">
            <v>0.33100000000000024</v>
          </cell>
          <cell r="BA343">
            <v>0.64976958525345618</v>
          </cell>
        </row>
        <row r="344">
          <cell r="S344">
            <v>0.33200000000000024</v>
          </cell>
          <cell r="U344">
            <v>0.25064992175404377</v>
          </cell>
          <cell r="AI344">
            <v>0.33200000000000024</v>
          </cell>
          <cell r="AK344">
            <v>0.3193828800351648</v>
          </cell>
          <cell r="AY344">
            <v>0.33200000000000024</v>
          </cell>
          <cell r="BA344">
            <v>0.16666158024842065</v>
          </cell>
        </row>
        <row r="345">
          <cell r="S345">
            <v>0.33300000000000024</v>
          </cell>
          <cell r="U345">
            <v>0.45500899190120486</v>
          </cell>
          <cell r="AI345">
            <v>0.33300000000000024</v>
          </cell>
          <cell r="AK345">
            <v>0.14842039047794908</v>
          </cell>
          <cell r="AY345">
            <v>0.33300000000000024</v>
          </cell>
          <cell r="BA345">
            <v>7.9714346751304663E-2</v>
          </cell>
        </row>
        <row r="346">
          <cell r="S346">
            <v>0.33400000000000024</v>
          </cell>
          <cell r="U346">
            <v>0.39784929978151728</v>
          </cell>
          <cell r="AI346">
            <v>0.33400000000000024</v>
          </cell>
          <cell r="AK346">
            <v>0.34537840342177117</v>
          </cell>
          <cell r="AY346">
            <v>0.33400000000000024</v>
          </cell>
          <cell r="BA346">
            <v>0.53865169225135046</v>
          </cell>
        </row>
        <row r="347">
          <cell r="S347">
            <v>0.33500000000000024</v>
          </cell>
          <cell r="U347">
            <v>0.24411303482153218</v>
          </cell>
          <cell r="AI347">
            <v>0.33500000000000024</v>
          </cell>
          <cell r="AK347">
            <v>0.23812574226702443</v>
          </cell>
          <cell r="AY347">
            <v>0.33500000000000024</v>
          </cell>
          <cell r="BA347">
            <v>0.29950865199743643</v>
          </cell>
        </row>
        <row r="348">
          <cell r="S348">
            <v>0.33600000000000024</v>
          </cell>
          <cell r="U348">
            <v>0.67337929681390496</v>
          </cell>
          <cell r="AI348">
            <v>0.33600000000000024</v>
          </cell>
          <cell r="AK348">
            <v>0.1434629321672998</v>
          </cell>
          <cell r="AY348">
            <v>0.33600000000000024</v>
          </cell>
          <cell r="BA348">
            <v>0.90826136051515249</v>
          </cell>
        </row>
        <row r="349">
          <cell r="S349">
            <v>0.33700000000000024</v>
          </cell>
          <cell r="U349">
            <v>0.53117963528614198</v>
          </cell>
          <cell r="AI349">
            <v>0.33700000000000024</v>
          </cell>
          <cell r="AK349">
            <v>0.19925421296505175</v>
          </cell>
          <cell r="AY349">
            <v>0.33700000000000024</v>
          </cell>
          <cell r="BA349">
            <v>0.99533066805017245</v>
          </cell>
        </row>
        <row r="350">
          <cell r="S350">
            <v>0.33800000000000024</v>
          </cell>
          <cell r="U350">
            <v>0.48726617896913393</v>
          </cell>
          <cell r="AI350">
            <v>0.33800000000000024</v>
          </cell>
          <cell r="AK350">
            <v>0.17840135291867598</v>
          </cell>
          <cell r="AY350">
            <v>0.33800000000000024</v>
          </cell>
          <cell r="BA350">
            <v>0.73226111636707658</v>
          </cell>
        </row>
        <row r="351">
          <cell r="S351">
            <v>0.33900000000000025</v>
          </cell>
          <cell r="U351">
            <v>0.67943021655078195</v>
          </cell>
          <cell r="AI351">
            <v>0.33900000000000025</v>
          </cell>
          <cell r="AK351">
            <v>0.21113260227182429</v>
          </cell>
          <cell r="AY351">
            <v>0.33900000000000025</v>
          </cell>
          <cell r="BA351">
            <v>0.8137455366679891</v>
          </cell>
        </row>
        <row r="352">
          <cell r="S352">
            <v>0.34000000000000025</v>
          </cell>
          <cell r="U352">
            <v>0.44301232778827399</v>
          </cell>
          <cell r="AI352">
            <v>0.34000000000000025</v>
          </cell>
          <cell r="AK352">
            <v>0.28979717853384113</v>
          </cell>
          <cell r="AY352">
            <v>0.34000000000000025</v>
          </cell>
          <cell r="BA352">
            <v>0.33237708670308541</v>
          </cell>
        </row>
        <row r="353">
          <cell r="S353">
            <v>0.34100000000000025</v>
          </cell>
          <cell r="U353">
            <v>0.62848346278585376</v>
          </cell>
          <cell r="AI353">
            <v>0.34100000000000025</v>
          </cell>
          <cell r="AK353">
            <v>0.35924272454196993</v>
          </cell>
          <cell r="AY353">
            <v>0.34100000000000025</v>
          </cell>
          <cell r="BA353">
            <v>6.6805017242957843E-2</v>
          </cell>
        </row>
        <row r="354">
          <cell r="S354">
            <v>0.34200000000000025</v>
          </cell>
          <cell r="U354">
            <v>0.44528849076633625</v>
          </cell>
          <cell r="AI354">
            <v>0.34200000000000025</v>
          </cell>
          <cell r="AK354">
            <v>0.18205644170724433</v>
          </cell>
          <cell r="AY354">
            <v>0.34200000000000025</v>
          </cell>
          <cell r="BA354">
            <v>0.75377666554765466</v>
          </cell>
        </row>
        <row r="355">
          <cell r="S355">
            <v>0.34300000000000025</v>
          </cell>
          <cell r="U355">
            <v>0.35857214317716374</v>
          </cell>
          <cell r="AI355">
            <v>0.34300000000000025</v>
          </cell>
          <cell r="AK355">
            <v>0.29205030006430588</v>
          </cell>
          <cell r="AY355">
            <v>0.34300000000000025</v>
          </cell>
          <cell r="BA355">
            <v>0.23850215155491805</v>
          </cell>
        </row>
        <row r="356">
          <cell r="S356">
            <v>0.34400000000000025</v>
          </cell>
          <cell r="U356">
            <v>0.17320503437171056</v>
          </cell>
          <cell r="AI356">
            <v>0.34400000000000025</v>
          </cell>
          <cell r="AK356">
            <v>0.23463045223892898</v>
          </cell>
          <cell r="AY356">
            <v>0.34400000000000025</v>
          </cell>
          <cell r="BA356">
            <v>0.99853511154515218</v>
          </cell>
        </row>
        <row r="357">
          <cell r="S357">
            <v>0.34500000000000025</v>
          </cell>
          <cell r="U357">
            <v>0.29280103672900337</v>
          </cell>
          <cell r="AI357">
            <v>0.34500000000000025</v>
          </cell>
          <cell r="AK357">
            <v>0.1543394517585738</v>
          </cell>
          <cell r="AY357">
            <v>0.34500000000000025</v>
          </cell>
          <cell r="BA357">
            <v>2.246162297433393E-2</v>
          </cell>
        </row>
        <row r="358">
          <cell r="S358">
            <v>0.34600000000000025</v>
          </cell>
          <cell r="U358">
            <v>0.4614068787849786</v>
          </cell>
          <cell r="AI358">
            <v>0.34600000000000025</v>
          </cell>
          <cell r="AK358">
            <v>0.13935220861374481</v>
          </cell>
          <cell r="AY358">
            <v>0.34600000000000025</v>
          </cell>
          <cell r="BA358">
            <v>0.69823297830133979</v>
          </cell>
        </row>
        <row r="359">
          <cell r="S359">
            <v>0.34700000000000025</v>
          </cell>
          <cell r="U359">
            <v>0.80631180854871587</v>
          </cell>
          <cell r="AI359">
            <v>0.34700000000000025</v>
          </cell>
          <cell r="AK359">
            <v>0.14170690605608252</v>
          </cell>
          <cell r="AY359">
            <v>0.34700000000000025</v>
          </cell>
          <cell r="BA359">
            <v>0.94918668172246468</v>
          </cell>
        </row>
        <row r="360">
          <cell r="S360">
            <v>0.34800000000000025</v>
          </cell>
          <cell r="U360">
            <v>0.18824383585107576</v>
          </cell>
          <cell r="AI360">
            <v>0.34800000000000025</v>
          </cell>
          <cell r="AK360">
            <v>9.52153666493636E-2</v>
          </cell>
          <cell r="AY360">
            <v>0.34800000000000025</v>
          </cell>
          <cell r="BA360">
            <v>0.29865413373210853</v>
          </cell>
        </row>
        <row r="361">
          <cell r="S361">
            <v>0.34900000000000025</v>
          </cell>
          <cell r="U361">
            <v>0.58664610412533258</v>
          </cell>
          <cell r="AI361">
            <v>0.34900000000000025</v>
          </cell>
          <cell r="AK361">
            <v>0.2376533351674408</v>
          </cell>
          <cell r="AY361">
            <v>0.34900000000000025</v>
          </cell>
          <cell r="BA361">
            <v>0.63228247932370985</v>
          </cell>
        </row>
        <row r="362">
          <cell r="S362">
            <v>0.35000000000000026</v>
          </cell>
          <cell r="U362">
            <v>0.71186572117755731</v>
          </cell>
          <cell r="AI362">
            <v>0.35000000000000026</v>
          </cell>
          <cell r="AK362">
            <v>0.22493745037832369</v>
          </cell>
          <cell r="AY362">
            <v>0.35000000000000026</v>
          </cell>
          <cell r="BA362">
            <v>0.9183324686422315</v>
          </cell>
        </row>
        <row r="363">
          <cell r="S363">
            <v>0.35100000000000026</v>
          </cell>
          <cell r="U363">
            <v>0.43061496537833271</v>
          </cell>
          <cell r="AI363">
            <v>0.35100000000000026</v>
          </cell>
          <cell r="AK363">
            <v>9.4484269202349327E-2</v>
          </cell>
          <cell r="AY363">
            <v>0.35100000000000026</v>
          </cell>
          <cell r="BA363">
            <v>0.4000671407208472</v>
          </cell>
        </row>
        <row r="364">
          <cell r="S364">
            <v>0.35200000000000026</v>
          </cell>
          <cell r="U364">
            <v>0.14306206591727275</v>
          </cell>
          <cell r="AI364">
            <v>0.35200000000000026</v>
          </cell>
          <cell r="AK364">
            <v>0.13823119385361496</v>
          </cell>
          <cell r="AY364">
            <v>0.35200000000000026</v>
          </cell>
          <cell r="BA364">
            <v>0.83321634571367531</v>
          </cell>
        </row>
        <row r="365">
          <cell r="S365">
            <v>0.35300000000000026</v>
          </cell>
          <cell r="U365">
            <v>0.74383072610693701</v>
          </cell>
          <cell r="AI365">
            <v>0.35300000000000026</v>
          </cell>
          <cell r="AK365">
            <v>0.20621173429821893</v>
          </cell>
          <cell r="AY365">
            <v>0.35300000000000026</v>
          </cell>
          <cell r="BA365">
            <v>0.70470290231025112</v>
          </cell>
        </row>
        <row r="366">
          <cell r="S366">
            <v>0.35400000000000026</v>
          </cell>
          <cell r="U366">
            <v>0.44865348371209185</v>
          </cell>
          <cell r="AI366">
            <v>0.35400000000000026</v>
          </cell>
          <cell r="AK366">
            <v>9.6139852061939202E-2</v>
          </cell>
          <cell r="AY366">
            <v>0.35400000000000026</v>
          </cell>
          <cell r="BA366">
            <v>0.6590777306436354</v>
          </cell>
        </row>
        <row r="367">
          <cell r="S367">
            <v>0.35500000000000026</v>
          </cell>
          <cell r="U367">
            <v>0.68558562170335668</v>
          </cell>
          <cell r="AI367">
            <v>0.35500000000000026</v>
          </cell>
          <cell r="AK367">
            <v>0.17440096169598837</v>
          </cell>
          <cell r="AY367">
            <v>0.35500000000000026</v>
          </cell>
          <cell r="BA367">
            <v>0.34476760155034031</v>
          </cell>
        </row>
        <row r="368">
          <cell r="S368">
            <v>0.35600000000000026</v>
          </cell>
          <cell r="U368">
            <v>0.28212586934420458</v>
          </cell>
          <cell r="AI368">
            <v>0.35600000000000026</v>
          </cell>
          <cell r="AK368">
            <v>0.16934850792834991</v>
          </cell>
          <cell r="AY368">
            <v>0.35600000000000026</v>
          </cell>
          <cell r="BA368">
            <v>0.37519455549790948</v>
          </cell>
        </row>
        <row r="369">
          <cell r="S369">
            <v>0.35700000000000026</v>
          </cell>
          <cell r="U369">
            <v>0.77691577508486864</v>
          </cell>
          <cell r="AI369">
            <v>0.35700000000000026</v>
          </cell>
          <cell r="AK369">
            <v>0.22876608986055502</v>
          </cell>
          <cell r="AY369">
            <v>0.35700000000000026</v>
          </cell>
          <cell r="BA369">
            <v>0.31965086825159461</v>
          </cell>
        </row>
        <row r="370">
          <cell r="S370">
            <v>0.35800000000000026</v>
          </cell>
          <cell r="U370">
            <v>0.50904319015127153</v>
          </cell>
          <cell r="AI370">
            <v>0.35800000000000026</v>
          </cell>
          <cell r="AK370">
            <v>8.5276842489876326E-2</v>
          </cell>
          <cell r="AY370">
            <v>0.35800000000000026</v>
          </cell>
          <cell r="BA370">
            <v>0.98391674550614949</v>
          </cell>
        </row>
        <row r="371">
          <cell r="S371">
            <v>0.35900000000000026</v>
          </cell>
          <cell r="U371">
            <v>0.10603458226535212</v>
          </cell>
          <cell r="AI371">
            <v>0.35900000000000026</v>
          </cell>
          <cell r="AK371">
            <v>0.30800780833013641</v>
          </cell>
          <cell r="AY371">
            <v>0.35900000000000026</v>
          </cell>
          <cell r="BA371">
            <v>0.18335520493179114</v>
          </cell>
        </row>
        <row r="372">
          <cell r="S372">
            <v>0.36000000000000026</v>
          </cell>
          <cell r="U372">
            <v>0.49106352390838642</v>
          </cell>
          <cell r="AI372">
            <v>0.36000000000000026</v>
          </cell>
          <cell r="AK372">
            <v>0.12641457120731647</v>
          </cell>
          <cell r="AY372">
            <v>0.36000000000000026</v>
          </cell>
          <cell r="BA372">
            <v>0.45329142124698629</v>
          </cell>
        </row>
        <row r="373">
          <cell r="S373">
            <v>0.36100000000000027</v>
          </cell>
          <cell r="U373">
            <v>0.65951685176117447</v>
          </cell>
          <cell r="AI373">
            <v>0.36100000000000027</v>
          </cell>
          <cell r="AK373">
            <v>0.25691891342226325</v>
          </cell>
          <cell r="AY373">
            <v>0.36100000000000027</v>
          </cell>
          <cell r="BA373">
            <v>0.20419934690389721</v>
          </cell>
        </row>
        <row r="374">
          <cell r="S374">
            <v>0.36200000000000027</v>
          </cell>
          <cell r="U374">
            <v>0.47669111236548395</v>
          </cell>
          <cell r="AI374">
            <v>0.36200000000000027</v>
          </cell>
          <cell r="AK374">
            <v>0.26924935394798766</v>
          </cell>
          <cell r="AY374">
            <v>0.36200000000000027</v>
          </cell>
          <cell r="BA374">
            <v>0.27274391918698693</v>
          </cell>
        </row>
        <row r="375">
          <cell r="S375">
            <v>0.36300000000000027</v>
          </cell>
          <cell r="U375">
            <v>0.62945334904483508</v>
          </cell>
          <cell r="AI375">
            <v>0.36300000000000027</v>
          </cell>
          <cell r="AK375">
            <v>0.11640491309076934</v>
          </cell>
          <cell r="AY375">
            <v>0.36300000000000027</v>
          </cell>
          <cell r="BA375">
            <v>0.59303567613757746</v>
          </cell>
        </row>
        <row r="376">
          <cell r="S376">
            <v>0.36400000000000027</v>
          </cell>
          <cell r="U376">
            <v>0.44384495629333759</v>
          </cell>
          <cell r="AI376">
            <v>0.36400000000000027</v>
          </cell>
          <cell r="AK376">
            <v>0.13763676719899004</v>
          </cell>
          <cell r="AY376">
            <v>0.36400000000000027</v>
          </cell>
          <cell r="BA376">
            <v>8.526871547593616E-2</v>
          </cell>
        </row>
        <row r="377">
          <cell r="S377">
            <v>0.36500000000000027</v>
          </cell>
          <cell r="U377">
            <v>0.46129870743229812</v>
          </cell>
          <cell r="AI377">
            <v>0.36500000000000027</v>
          </cell>
          <cell r="AK377">
            <v>0.28328340586594403</v>
          </cell>
          <cell r="AY377">
            <v>0.36500000000000027</v>
          </cell>
          <cell r="BA377">
            <v>0.65691091647083955</v>
          </cell>
        </row>
        <row r="378">
          <cell r="S378">
            <v>0.36600000000000027</v>
          </cell>
          <cell r="U378">
            <v>0.43095001845951086</v>
          </cell>
          <cell r="AI378">
            <v>0.36600000000000027</v>
          </cell>
          <cell r="AK378">
            <v>0.36201275680567935</v>
          </cell>
          <cell r="AY378">
            <v>0.36600000000000027</v>
          </cell>
          <cell r="BA378">
            <v>7.3641163365581228E-2</v>
          </cell>
        </row>
        <row r="379">
          <cell r="S379">
            <v>0.36700000000000027</v>
          </cell>
          <cell r="U379">
            <v>0.2756910254954642</v>
          </cell>
          <cell r="AI379">
            <v>0.36700000000000027</v>
          </cell>
          <cell r="AK379">
            <v>0.23244938284213412</v>
          </cell>
          <cell r="AY379">
            <v>0.36700000000000027</v>
          </cell>
          <cell r="BA379">
            <v>9.7903378398999014E-2</v>
          </cell>
        </row>
        <row r="380">
          <cell r="S380">
            <v>0.36800000000000027</v>
          </cell>
          <cell r="U380">
            <v>0.50527873041940785</v>
          </cell>
          <cell r="AI380">
            <v>0.36800000000000027</v>
          </cell>
          <cell r="AK380">
            <v>0.33086264301035062</v>
          </cell>
          <cell r="AY380">
            <v>0.36800000000000027</v>
          </cell>
          <cell r="BA380">
            <v>0.69335001678518016</v>
          </cell>
        </row>
        <row r="381">
          <cell r="S381">
            <v>0.36900000000000027</v>
          </cell>
          <cell r="U381">
            <v>0.61987929276973885</v>
          </cell>
          <cell r="AI381">
            <v>0.36900000000000027</v>
          </cell>
          <cell r="AK381">
            <v>0.1247757395602276</v>
          </cell>
          <cell r="AY381">
            <v>0.36900000000000027</v>
          </cell>
          <cell r="BA381">
            <v>0.92742698446607863</v>
          </cell>
        </row>
        <row r="382">
          <cell r="S382">
            <v>0.37000000000000027</v>
          </cell>
          <cell r="U382">
            <v>0.39439573555406515</v>
          </cell>
          <cell r="AI382">
            <v>0.37000000000000027</v>
          </cell>
          <cell r="AK382">
            <v>0.26421546784205907</v>
          </cell>
          <cell r="AY382">
            <v>0.37000000000000027</v>
          </cell>
          <cell r="BA382">
            <v>0.58940397350993379</v>
          </cell>
        </row>
        <row r="383">
          <cell r="S383">
            <v>0.37100000000000027</v>
          </cell>
          <cell r="U383">
            <v>0.30800951147872818</v>
          </cell>
          <cell r="AI383">
            <v>0.37100000000000027</v>
          </cell>
          <cell r="AK383">
            <v>0.1369686653252051</v>
          </cell>
          <cell r="AY383">
            <v>0.37100000000000027</v>
          </cell>
          <cell r="BA383">
            <v>0.73485518967253638</v>
          </cell>
        </row>
        <row r="384">
          <cell r="S384">
            <v>0.37200000000000027</v>
          </cell>
          <cell r="U384">
            <v>0.60226879745565187</v>
          </cell>
          <cell r="AI384">
            <v>0.37200000000000027</v>
          </cell>
          <cell r="AK384">
            <v>0.28449112278332855</v>
          </cell>
          <cell r="AY384">
            <v>0.37200000000000027</v>
          </cell>
          <cell r="BA384">
            <v>0.73201696829126861</v>
          </cell>
        </row>
        <row r="385">
          <cell r="S385">
            <v>0.37300000000000028</v>
          </cell>
          <cell r="U385">
            <v>0.64265747099262582</v>
          </cell>
          <cell r="AI385">
            <v>0.37300000000000028</v>
          </cell>
          <cell r="AK385">
            <v>9.9052371655566532E-2</v>
          </cell>
          <cell r="AY385">
            <v>0.37300000000000028</v>
          </cell>
          <cell r="BA385">
            <v>0.45728934598834192</v>
          </cell>
        </row>
        <row r="386">
          <cell r="S386">
            <v>0.37400000000000028</v>
          </cell>
          <cell r="U386">
            <v>0.64845662322835818</v>
          </cell>
          <cell r="AI386">
            <v>0.37400000000000028</v>
          </cell>
          <cell r="AK386">
            <v>0.16480091109618791</v>
          </cell>
          <cell r="AY386">
            <v>0.37400000000000028</v>
          </cell>
          <cell r="BA386">
            <v>0.5798516800439466</v>
          </cell>
        </row>
        <row r="387">
          <cell r="S387">
            <v>0.37500000000000028</v>
          </cell>
          <cell r="U387">
            <v>0.61556658463835801</v>
          </cell>
          <cell r="AI387">
            <v>0.37500000000000028</v>
          </cell>
          <cell r="AK387">
            <v>0.1732200259371342</v>
          </cell>
          <cell r="AY387">
            <v>0.37500000000000028</v>
          </cell>
          <cell r="BA387">
            <v>0.47083956419568468</v>
          </cell>
        </row>
        <row r="388">
          <cell r="S388">
            <v>0.37600000000000028</v>
          </cell>
          <cell r="U388">
            <v>0.54239997731194545</v>
          </cell>
          <cell r="AI388">
            <v>0.37600000000000028</v>
          </cell>
          <cell r="AK388">
            <v>0.30874974579089165</v>
          </cell>
          <cell r="AY388">
            <v>0.37600000000000028</v>
          </cell>
          <cell r="BA388">
            <v>6.0396130252998441E-2</v>
          </cell>
        </row>
        <row r="389">
          <cell r="S389">
            <v>0.37700000000000028</v>
          </cell>
          <cell r="U389">
            <v>0.53167173208012541</v>
          </cell>
          <cell r="AI389">
            <v>0.37700000000000028</v>
          </cell>
          <cell r="AK389">
            <v>0.15710944345590466</v>
          </cell>
          <cell r="AY389">
            <v>0.37700000000000028</v>
          </cell>
          <cell r="BA389">
            <v>0.88836329233680222</v>
          </cell>
        </row>
        <row r="390">
          <cell r="S390">
            <v>0.37800000000000028</v>
          </cell>
          <cell r="U390">
            <v>0.48004217569998292</v>
          </cell>
          <cell r="AI390">
            <v>0.37800000000000028</v>
          </cell>
          <cell r="AK390">
            <v>0.26601076668946577</v>
          </cell>
          <cell r="AY390">
            <v>0.37800000000000028</v>
          </cell>
          <cell r="BA390">
            <v>0.96163823358867151</v>
          </cell>
        </row>
        <row r="391">
          <cell r="S391">
            <v>0.37900000000000028</v>
          </cell>
          <cell r="U391">
            <v>0.31801462244076256</v>
          </cell>
          <cell r="AI391">
            <v>0.37900000000000028</v>
          </cell>
          <cell r="AK391">
            <v>0.19119586024665491</v>
          </cell>
          <cell r="AY391">
            <v>0.37900000000000028</v>
          </cell>
          <cell r="BA391">
            <v>0.52897732474745929</v>
          </cell>
        </row>
        <row r="392">
          <cell r="S392">
            <v>0.38000000000000028</v>
          </cell>
          <cell r="U392">
            <v>0.56275915788386366</v>
          </cell>
          <cell r="AI392">
            <v>0.38000000000000028</v>
          </cell>
          <cell r="AK392">
            <v>0.3430008813655806</v>
          </cell>
          <cell r="AY392">
            <v>0.38000000000000028</v>
          </cell>
          <cell r="BA392">
            <v>0.58983123264259774</v>
          </cell>
        </row>
        <row r="393">
          <cell r="S393">
            <v>0.38100000000000028</v>
          </cell>
          <cell r="U393">
            <v>0.56114678601738177</v>
          </cell>
          <cell r="AI393">
            <v>0.38100000000000028</v>
          </cell>
          <cell r="AK393">
            <v>0.29425058416248928</v>
          </cell>
          <cell r="AY393">
            <v>0.38100000000000028</v>
          </cell>
          <cell r="BA393">
            <v>0.24506363109225748</v>
          </cell>
        </row>
        <row r="394">
          <cell r="S394">
            <v>0.38200000000000028</v>
          </cell>
          <cell r="U394">
            <v>0.61379833391317384</v>
          </cell>
          <cell r="AI394">
            <v>0.38200000000000028</v>
          </cell>
          <cell r="AK394">
            <v>8.4136905970327039E-2</v>
          </cell>
          <cell r="AY394">
            <v>0.38200000000000028</v>
          </cell>
          <cell r="BA394">
            <v>0.88656270027771844</v>
          </cell>
        </row>
        <row r="395">
          <cell r="S395">
            <v>0.38300000000000028</v>
          </cell>
          <cell r="U395">
            <v>0.34404593218346835</v>
          </cell>
          <cell r="AI395">
            <v>0.38300000000000028</v>
          </cell>
          <cell r="AK395">
            <v>0.19342314376835268</v>
          </cell>
          <cell r="AY395">
            <v>0.38300000000000028</v>
          </cell>
          <cell r="BA395">
            <v>0.27869502853480638</v>
          </cell>
        </row>
        <row r="396">
          <cell r="S396">
            <v>0.38400000000000029</v>
          </cell>
          <cell r="U396">
            <v>0.61905521609743386</v>
          </cell>
          <cell r="AI396">
            <v>0.38400000000000029</v>
          </cell>
          <cell r="AK396">
            <v>0.18733334908908525</v>
          </cell>
          <cell r="AY396">
            <v>0.38400000000000029</v>
          </cell>
          <cell r="BA396">
            <v>0.23795281838435012</v>
          </cell>
        </row>
        <row r="397">
          <cell r="S397">
            <v>0.38500000000000029</v>
          </cell>
          <cell r="U397">
            <v>0.57579708869098045</v>
          </cell>
          <cell r="AI397">
            <v>0.38500000000000029</v>
          </cell>
          <cell r="AK397">
            <v>0.26963543521125855</v>
          </cell>
          <cell r="AY397">
            <v>0.38500000000000029</v>
          </cell>
          <cell r="BA397">
            <v>0.19678334910122988</v>
          </cell>
        </row>
        <row r="398">
          <cell r="S398">
            <v>0.38600000000000029</v>
          </cell>
          <cell r="U398">
            <v>0.55544868735405029</v>
          </cell>
          <cell r="AI398">
            <v>0.38600000000000029</v>
          </cell>
          <cell r="AK398">
            <v>0.25803542959411074</v>
          </cell>
          <cell r="AY398">
            <v>0.38600000000000029</v>
          </cell>
          <cell r="BA398">
            <v>0.57948545793023465</v>
          </cell>
        </row>
        <row r="399">
          <cell r="S399">
            <v>0.38700000000000029</v>
          </cell>
          <cell r="U399">
            <v>0.56492981494897521</v>
          </cell>
          <cell r="AI399">
            <v>0.38700000000000029</v>
          </cell>
          <cell r="AK399">
            <v>0.19613222826432519</v>
          </cell>
          <cell r="AY399">
            <v>0.38700000000000029</v>
          </cell>
          <cell r="BA399">
            <v>0.84667500839259013</v>
          </cell>
        </row>
        <row r="400">
          <cell r="S400">
            <v>0.38800000000000029</v>
          </cell>
          <cell r="U400">
            <v>0.30144567726886601</v>
          </cell>
          <cell r="AI400">
            <v>0.38800000000000029</v>
          </cell>
          <cell r="AK400">
            <v>0.10500949359634876</v>
          </cell>
          <cell r="AY400">
            <v>0.38800000000000029</v>
          </cell>
          <cell r="BA400">
            <v>0.72093874935148172</v>
          </cell>
        </row>
        <row r="401">
          <cell r="S401">
            <v>0.38900000000000029</v>
          </cell>
          <cell r="U401">
            <v>0.51175750279524568</v>
          </cell>
          <cell r="AI401">
            <v>0.38900000000000029</v>
          </cell>
          <cell r="AK401">
            <v>0.25829197836805973</v>
          </cell>
          <cell r="AY401">
            <v>0.38900000000000029</v>
          </cell>
          <cell r="BA401">
            <v>0.80645161290322576</v>
          </cell>
        </row>
        <row r="402">
          <cell r="S402">
            <v>0.39000000000000029</v>
          </cell>
          <cell r="U402">
            <v>0.26048802474524424</v>
          </cell>
          <cell r="AI402">
            <v>0.39000000000000029</v>
          </cell>
          <cell r="AK402">
            <v>0.34730010552024126</v>
          </cell>
          <cell r="AY402">
            <v>0.39000000000000029</v>
          </cell>
          <cell r="BA402">
            <v>0.71736808374279004</v>
          </cell>
        </row>
        <row r="403">
          <cell r="S403">
            <v>0.39100000000000029</v>
          </cell>
          <cell r="U403">
            <v>0.36441756952390808</v>
          </cell>
          <cell r="AI403">
            <v>0.39100000000000029</v>
          </cell>
          <cell r="AK403">
            <v>0.50053685333521103</v>
          </cell>
          <cell r="AY403">
            <v>0.39100000000000029</v>
          </cell>
          <cell r="BA403">
            <v>0.10470900601214636</v>
          </cell>
        </row>
        <row r="404">
          <cell r="S404">
            <v>0.39200000000000029</v>
          </cell>
          <cell r="U404">
            <v>0.64838064457087685</v>
          </cell>
          <cell r="AI404">
            <v>0.39200000000000029</v>
          </cell>
          <cell r="AK404">
            <v>9.6820038812851672E-2</v>
          </cell>
          <cell r="AY404">
            <v>0.39200000000000029</v>
          </cell>
          <cell r="BA404">
            <v>0.21469771416364025</v>
          </cell>
        </row>
        <row r="405">
          <cell r="S405">
            <v>0.39300000000000029</v>
          </cell>
          <cell r="U405">
            <v>0.17285771750392134</v>
          </cell>
          <cell r="AI405">
            <v>0.39300000000000029</v>
          </cell>
          <cell r="AK405">
            <v>0.28106208822403689</v>
          </cell>
          <cell r="AY405">
            <v>0.39300000000000029</v>
          </cell>
          <cell r="BA405">
            <v>0.67171239356669821</v>
          </cell>
        </row>
        <row r="406">
          <cell r="S406">
            <v>0.39400000000000029</v>
          </cell>
          <cell r="U406">
            <v>0.81687983650274743</v>
          </cell>
          <cell r="AI406">
            <v>0.39400000000000029</v>
          </cell>
          <cell r="AK406">
            <v>0.2260635062342119</v>
          </cell>
          <cell r="AY406">
            <v>0.39400000000000029</v>
          </cell>
          <cell r="BA406">
            <v>0.63066499832148193</v>
          </cell>
        </row>
        <row r="407">
          <cell r="S407">
            <v>0.3950000000000003</v>
          </cell>
          <cell r="U407">
            <v>0.68219948903117156</v>
          </cell>
          <cell r="AI407">
            <v>0.3950000000000003</v>
          </cell>
          <cell r="AK407">
            <v>0.22147459645554979</v>
          </cell>
          <cell r="AY407">
            <v>0.3950000000000003</v>
          </cell>
          <cell r="BA407">
            <v>0.19101535081026644</v>
          </cell>
        </row>
        <row r="408">
          <cell r="S408">
            <v>0.3960000000000003</v>
          </cell>
          <cell r="U408">
            <v>0.49913932911235181</v>
          </cell>
          <cell r="AI408">
            <v>0.3960000000000003</v>
          </cell>
          <cell r="AK408">
            <v>0.13593489895676697</v>
          </cell>
          <cell r="AY408">
            <v>0.3960000000000003</v>
          </cell>
          <cell r="BA408">
            <v>0.41657765434736166</v>
          </cell>
        </row>
        <row r="409">
          <cell r="S409">
            <v>0.3970000000000003</v>
          </cell>
          <cell r="U409">
            <v>0.45569221048061292</v>
          </cell>
          <cell r="AI409">
            <v>0.3970000000000003</v>
          </cell>
          <cell r="AK409">
            <v>0.27402799318486171</v>
          </cell>
          <cell r="AY409">
            <v>0.3970000000000003</v>
          </cell>
          <cell r="BA409">
            <v>0.86519974364452035</v>
          </cell>
        </row>
        <row r="410">
          <cell r="S410">
            <v>0.3980000000000003</v>
          </cell>
          <cell r="U410">
            <v>0.38047157951141186</v>
          </cell>
          <cell r="AI410">
            <v>0.3980000000000003</v>
          </cell>
          <cell r="AK410">
            <v>0.2276834879460099</v>
          </cell>
          <cell r="AY410">
            <v>0.3980000000000003</v>
          </cell>
          <cell r="BA410">
            <v>0.10797448652607808</v>
          </cell>
        </row>
        <row r="411">
          <cell r="S411">
            <v>0.3990000000000003</v>
          </cell>
          <cell r="U411">
            <v>0.38961389132579782</v>
          </cell>
          <cell r="AI411">
            <v>0.3990000000000003</v>
          </cell>
          <cell r="AK411">
            <v>6.2990209868944991E-2</v>
          </cell>
          <cell r="AY411">
            <v>0.3990000000000003</v>
          </cell>
          <cell r="BA411">
            <v>0.2206488235114597</v>
          </cell>
        </row>
        <row r="412">
          <cell r="S412">
            <v>0.4000000000000003</v>
          </cell>
          <cell r="U412">
            <v>0.64641145199213401</v>
          </cell>
          <cell r="AI412">
            <v>0.4000000000000003</v>
          </cell>
          <cell r="AK412">
            <v>0.32062429183677188</v>
          </cell>
          <cell r="AY412">
            <v>0.4000000000000003</v>
          </cell>
          <cell r="BA412">
            <v>3.8575395977660444E-2</v>
          </cell>
        </row>
        <row r="413">
          <cell r="S413">
            <v>0.4010000000000003</v>
          </cell>
          <cell r="U413">
            <v>0.37133711605784619</v>
          </cell>
          <cell r="AI413">
            <v>0.4010000000000003</v>
          </cell>
          <cell r="AK413">
            <v>6.7797375712278146E-2</v>
          </cell>
          <cell r="AY413">
            <v>0.4010000000000003</v>
          </cell>
          <cell r="BA413">
            <v>0.57942442091128266</v>
          </cell>
        </row>
        <row r="414">
          <cell r="S414">
            <v>0.4020000000000003</v>
          </cell>
          <cell r="U414">
            <v>0.69561104277330399</v>
          </cell>
          <cell r="AI414">
            <v>0.4020000000000003</v>
          </cell>
          <cell r="AK414">
            <v>0.258366900423185</v>
          </cell>
          <cell r="AY414">
            <v>0.4020000000000003</v>
          </cell>
          <cell r="BA414">
            <v>8.5787530137028112E-2</v>
          </cell>
        </row>
        <row r="415">
          <cell r="S415">
            <v>0.4030000000000003</v>
          </cell>
          <cell r="U415">
            <v>0.72290600186963627</v>
          </cell>
          <cell r="AI415">
            <v>0.4030000000000003</v>
          </cell>
          <cell r="AK415">
            <v>0.24222495685591827</v>
          </cell>
          <cell r="AY415">
            <v>0.4030000000000003</v>
          </cell>
          <cell r="BA415">
            <v>0.34174626911221656</v>
          </cell>
        </row>
        <row r="416">
          <cell r="S416">
            <v>0.4040000000000003</v>
          </cell>
          <cell r="U416">
            <v>0.2588601176578344</v>
          </cell>
          <cell r="AI416">
            <v>0.4040000000000003</v>
          </cell>
          <cell r="AK416">
            <v>0.14873960302928146</v>
          </cell>
          <cell r="AY416">
            <v>0.4040000000000003</v>
          </cell>
          <cell r="BA416">
            <v>0.26361888485366375</v>
          </cell>
        </row>
        <row r="417">
          <cell r="S417">
            <v>0.4050000000000003</v>
          </cell>
          <cell r="U417">
            <v>0.6296332314584554</v>
          </cell>
          <cell r="AI417">
            <v>0.4050000000000003</v>
          </cell>
          <cell r="AK417">
            <v>0.2123499575956288</v>
          </cell>
          <cell r="AY417">
            <v>0.4050000000000003</v>
          </cell>
          <cell r="BA417">
            <v>0.8834498123111667</v>
          </cell>
        </row>
        <row r="418">
          <cell r="S418">
            <v>0.40600000000000031</v>
          </cell>
          <cell r="U418">
            <v>0.56946483154758343</v>
          </cell>
          <cell r="AI418">
            <v>0.40600000000000031</v>
          </cell>
          <cell r="AK418">
            <v>5.4992347533419993E-2</v>
          </cell>
          <cell r="AY418">
            <v>0.40600000000000031</v>
          </cell>
          <cell r="BA418">
            <v>3.9063692129276389E-3</v>
          </cell>
        </row>
        <row r="419">
          <cell r="S419">
            <v>0.40700000000000031</v>
          </cell>
          <cell r="U419">
            <v>0.64648696957483009</v>
          </cell>
          <cell r="AI419">
            <v>0.40700000000000031</v>
          </cell>
          <cell r="AK419">
            <v>0.18229486193857541</v>
          </cell>
          <cell r="AY419">
            <v>0.40700000000000031</v>
          </cell>
          <cell r="BA419">
            <v>0.79393902401806693</v>
          </cell>
        </row>
        <row r="420">
          <cell r="S420">
            <v>0.40800000000000031</v>
          </cell>
          <cell r="U420">
            <v>0.49316694724467092</v>
          </cell>
          <cell r="AI420">
            <v>0.40800000000000031</v>
          </cell>
          <cell r="AK420">
            <v>9.6130369367724733E-2</v>
          </cell>
          <cell r="AY420">
            <v>0.40800000000000031</v>
          </cell>
          <cell r="BA420">
            <v>0.19571520126956998</v>
          </cell>
        </row>
        <row r="421">
          <cell r="S421">
            <v>0.40900000000000031</v>
          </cell>
          <cell r="U421">
            <v>0.67824658790336756</v>
          </cell>
          <cell r="AI421">
            <v>0.40900000000000031</v>
          </cell>
          <cell r="AK421">
            <v>6.3006788024108973E-2</v>
          </cell>
          <cell r="AY421">
            <v>0.40900000000000031</v>
          </cell>
          <cell r="BA421">
            <v>0.49687185277871027</v>
          </cell>
        </row>
        <row r="422">
          <cell r="S422">
            <v>0.41000000000000031</v>
          </cell>
          <cell r="U422">
            <v>0.43109356630287743</v>
          </cell>
          <cell r="AI422">
            <v>0.41000000000000031</v>
          </cell>
          <cell r="AK422">
            <v>0.22909922593731213</v>
          </cell>
          <cell r="AY422">
            <v>0.41000000000000031</v>
          </cell>
          <cell r="BA422">
            <v>0.10846278267769403</v>
          </cell>
        </row>
        <row r="423">
          <cell r="S423">
            <v>0.41100000000000031</v>
          </cell>
          <cell r="U423">
            <v>0.59110393205680367</v>
          </cell>
          <cell r="AI423">
            <v>0.41100000000000031</v>
          </cell>
          <cell r="AK423">
            <v>0.14849843284590211</v>
          </cell>
          <cell r="AY423">
            <v>0.41100000000000031</v>
          </cell>
          <cell r="BA423">
            <v>0.12448500015259255</v>
          </cell>
        </row>
        <row r="424">
          <cell r="S424">
            <v>0.41200000000000031</v>
          </cell>
          <cell r="U424">
            <v>0.57967348600184199</v>
          </cell>
          <cell r="AI424">
            <v>0.41200000000000031</v>
          </cell>
          <cell r="AK424">
            <v>0.1716082347984581</v>
          </cell>
          <cell r="AY424">
            <v>0.41200000000000031</v>
          </cell>
          <cell r="BA424">
            <v>0.83584093752861111</v>
          </cell>
        </row>
        <row r="425">
          <cell r="S425">
            <v>0.41300000000000031</v>
          </cell>
          <cell r="U425">
            <v>0.37694917583198734</v>
          </cell>
          <cell r="AI425">
            <v>0.41300000000000031</v>
          </cell>
          <cell r="AK425">
            <v>0.12754547707518168</v>
          </cell>
          <cell r="AY425">
            <v>0.41300000000000031</v>
          </cell>
          <cell r="BA425">
            <v>0.98760948515274516</v>
          </cell>
        </row>
        <row r="426">
          <cell r="S426">
            <v>0.41400000000000031</v>
          </cell>
          <cell r="U426">
            <v>0.44572738657426786</v>
          </cell>
          <cell r="AI426">
            <v>0.41400000000000031</v>
          </cell>
          <cell r="AK426">
            <v>0.2087812423129064</v>
          </cell>
          <cell r="AY426">
            <v>0.41400000000000031</v>
          </cell>
          <cell r="BA426">
            <v>0.48313852351451153</v>
          </cell>
        </row>
        <row r="427">
          <cell r="S427">
            <v>0.41500000000000031</v>
          </cell>
          <cell r="U427">
            <v>0.72906406581055816</v>
          </cell>
          <cell r="AI427">
            <v>0.41500000000000031</v>
          </cell>
          <cell r="AK427">
            <v>0.16230645440205357</v>
          </cell>
          <cell r="AY427">
            <v>0.41500000000000031</v>
          </cell>
          <cell r="BA427">
            <v>0.2195806756797998</v>
          </cell>
        </row>
        <row r="428">
          <cell r="S428">
            <v>0.41600000000000031</v>
          </cell>
          <cell r="U428">
            <v>0.20802176321099747</v>
          </cell>
          <cell r="AI428">
            <v>0.41600000000000031</v>
          </cell>
          <cell r="AK428">
            <v>0.1870115219409739</v>
          </cell>
          <cell r="AY428">
            <v>0.41600000000000031</v>
          </cell>
          <cell r="BA428">
            <v>0.61412396618549148</v>
          </cell>
        </row>
        <row r="429">
          <cell r="S429">
            <v>0.41700000000000031</v>
          </cell>
          <cell r="U429">
            <v>0.36430782950161966</v>
          </cell>
          <cell r="AI429">
            <v>0.41700000000000031</v>
          </cell>
          <cell r="AK429">
            <v>7.0324058658276498E-2</v>
          </cell>
          <cell r="AY429">
            <v>0.41700000000000031</v>
          </cell>
          <cell r="BA429">
            <v>0.29999694814905242</v>
          </cell>
        </row>
        <row r="430">
          <cell r="S430">
            <v>0.41800000000000032</v>
          </cell>
          <cell r="U430">
            <v>0.33896279879187757</v>
          </cell>
          <cell r="AI430">
            <v>0.41800000000000032</v>
          </cell>
          <cell r="AK430">
            <v>0.31445298418189782</v>
          </cell>
          <cell r="AY430">
            <v>0.41800000000000032</v>
          </cell>
          <cell r="BA430">
            <v>9.0365306558427685E-2</v>
          </cell>
        </row>
        <row r="431">
          <cell r="S431">
            <v>0.41900000000000032</v>
          </cell>
          <cell r="U431">
            <v>0.49290786473592307</v>
          </cell>
          <cell r="AI431">
            <v>0.41900000000000032</v>
          </cell>
          <cell r="AK431">
            <v>0.50483777013571285</v>
          </cell>
          <cell r="AY431">
            <v>0.41900000000000032</v>
          </cell>
          <cell r="BA431">
            <v>0.30549027985473187</v>
          </cell>
        </row>
        <row r="432">
          <cell r="S432">
            <v>0.42000000000000032</v>
          </cell>
          <cell r="U432">
            <v>0.43484803375476572</v>
          </cell>
          <cell r="AI432">
            <v>0.42000000000000032</v>
          </cell>
          <cell r="AK432">
            <v>9.4725431940095542E-2</v>
          </cell>
          <cell r="AY432">
            <v>0.42000000000000032</v>
          </cell>
          <cell r="BA432">
            <v>1.0254219183935055E-2</v>
          </cell>
        </row>
        <row r="433">
          <cell r="S433">
            <v>0.42100000000000032</v>
          </cell>
          <cell r="U433">
            <v>0.43096596958990557</v>
          </cell>
          <cell r="AI433">
            <v>0.42100000000000032</v>
          </cell>
          <cell r="AK433">
            <v>9.3454233343680831E-2</v>
          </cell>
          <cell r="AY433">
            <v>0.42100000000000032</v>
          </cell>
          <cell r="BA433">
            <v>1.8982512894070259E-2</v>
          </cell>
        </row>
        <row r="434">
          <cell r="S434">
            <v>0.42200000000000032</v>
          </cell>
          <cell r="U434">
            <v>0.4426979297559045</v>
          </cell>
          <cell r="AI434">
            <v>0.42200000000000032</v>
          </cell>
          <cell r="AK434">
            <v>6.3940839961875495E-2</v>
          </cell>
          <cell r="AY434">
            <v>0.42200000000000032</v>
          </cell>
          <cell r="BA434">
            <v>0.60362559892574852</v>
          </cell>
        </row>
        <row r="435">
          <cell r="S435">
            <v>0.42300000000000032</v>
          </cell>
          <cell r="U435">
            <v>0.84229637464884299</v>
          </cell>
          <cell r="AI435">
            <v>0.42300000000000032</v>
          </cell>
          <cell r="AK435">
            <v>0.34622976265698446</v>
          </cell>
          <cell r="AY435">
            <v>0.42300000000000032</v>
          </cell>
          <cell r="BA435">
            <v>0.5774101992858669</v>
          </cell>
        </row>
        <row r="436">
          <cell r="S436">
            <v>0.42400000000000032</v>
          </cell>
          <cell r="U436">
            <v>0.63161767023969229</v>
          </cell>
          <cell r="AI436">
            <v>0.42400000000000032</v>
          </cell>
          <cell r="AK436">
            <v>0.22145778083200918</v>
          </cell>
          <cell r="AY436">
            <v>0.42400000000000032</v>
          </cell>
          <cell r="BA436">
            <v>0.29279457991271707</v>
          </cell>
        </row>
        <row r="437">
          <cell r="S437">
            <v>0.42500000000000032</v>
          </cell>
          <cell r="U437">
            <v>0.62326315079306593</v>
          </cell>
          <cell r="AI437">
            <v>0.42500000000000032</v>
          </cell>
          <cell r="AK437">
            <v>5.8516001966823876E-2</v>
          </cell>
          <cell r="AY437">
            <v>0.42500000000000032</v>
          </cell>
          <cell r="BA437">
            <v>0.27698599200415053</v>
          </cell>
        </row>
        <row r="438">
          <cell r="S438">
            <v>0.42600000000000032</v>
          </cell>
          <cell r="U438">
            <v>0.5297502936654237</v>
          </cell>
          <cell r="AI438">
            <v>0.42600000000000032</v>
          </cell>
          <cell r="AK438">
            <v>6.6670907492580533E-2</v>
          </cell>
          <cell r="AY438">
            <v>0.42600000000000032</v>
          </cell>
          <cell r="BA438">
            <v>0.31159398174993136</v>
          </cell>
        </row>
        <row r="439">
          <cell r="S439">
            <v>0.42700000000000032</v>
          </cell>
          <cell r="U439">
            <v>0.32069686445613599</v>
          </cell>
          <cell r="AI439">
            <v>0.42700000000000032</v>
          </cell>
          <cell r="AK439">
            <v>0.16622568143497116</v>
          </cell>
          <cell r="AY439">
            <v>0.42700000000000032</v>
          </cell>
          <cell r="BA439">
            <v>0.61104159672841574</v>
          </cell>
        </row>
        <row r="440">
          <cell r="S440">
            <v>0.42800000000000032</v>
          </cell>
          <cell r="U440">
            <v>0.37487412001604892</v>
          </cell>
          <cell r="AI440">
            <v>0.42800000000000032</v>
          </cell>
          <cell r="AK440">
            <v>0.16402552003266885</v>
          </cell>
          <cell r="AY440">
            <v>0.42800000000000032</v>
          </cell>
          <cell r="BA440">
            <v>0.90887173070467242</v>
          </cell>
        </row>
        <row r="441">
          <cell r="S441">
            <v>0.42900000000000033</v>
          </cell>
          <cell r="U441">
            <v>0.25908955567004516</v>
          </cell>
          <cell r="AI441">
            <v>0.42900000000000033</v>
          </cell>
          <cell r="AK441">
            <v>0.33822989758624977</v>
          </cell>
          <cell r="AY441">
            <v>0.42900000000000033</v>
          </cell>
          <cell r="BA441">
            <v>0.70967741935483875</v>
          </cell>
        </row>
        <row r="442">
          <cell r="S442">
            <v>0.43000000000000033</v>
          </cell>
          <cell r="U442">
            <v>0.27112319224884462</v>
          </cell>
          <cell r="AI442">
            <v>0.43000000000000033</v>
          </cell>
          <cell r="AK442">
            <v>0.15617240972629653</v>
          </cell>
          <cell r="AY442">
            <v>0.43000000000000033</v>
          </cell>
          <cell r="BA442">
            <v>0.87627796258430735</v>
          </cell>
        </row>
        <row r="443">
          <cell r="S443">
            <v>0.43100000000000033</v>
          </cell>
          <cell r="U443">
            <v>0.54162530132862297</v>
          </cell>
          <cell r="AI443">
            <v>0.43100000000000033</v>
          </cell>
          <cell r="AK443">
            <v>0.10380379432186225</v>
          </cell>
          <cell r="AY443">
            <v>0.43100000000000033</v>
          </cell>
          <cell r="BA443">
            <v>0.21387371440778832</v>
          </cell>
        </row>
        <row r="444">
          <cell r="S444">
            <v>0.43200000000000033</v>
          </cell>
          <cell r="U444">
            <v>0.73048824398963308</v>
          </cell>
          <cell r="AI444">
            <v>0.43200000000000033</v>
          </cell>
          <cell r="AK444">
            <v>0.18136356980626786</v>
          </cell>
          <cell r="AY444">
            <v>0.43200000000000033</v>
          </cell>
          <cell r="BA444">
            <v>0.55561998352000486</v>
          </cell>
        </row>
        <row r="445">
          <cell r="S445">
            <v>0.43300000000000033</v>
          </cell>
          <cell r="U445">
            <v>0.51858196088153874</v>
          </cell>
          <cell r="AI445">
            <v>0.43300000000000033</v>
          </cell>
          <cell r="AK445">
            <v>0.22072775492201646</v>
          </cell>
          <cell r="AY445">
            <v>0.43300000000000033</v>
          </cell>
          <cell r="BA445">
            <v>0.3665272988067263</v>
          </cell>
        </row>
        <row r="446">
          <cell r="S446">
            <v>0.43400000000000033</v>
          </cell>
          <cell r="U446">
            <v>0.32911333159960954</v>
          </cell>
          <cell r="AI446">
            <v>0.43400000000000033</v>
          </cell>
          <cell r="AK446">
            <v>0.27434463492536942</v>
          </cell>
          <cell r="AY446">
            <v>0.43400000000000033</v>
          </cell>
          <cell r="BA446">
            <v>0.22556230353709522</v>
          </cell>
        </row>
        <row r="447">
          <cell r="S447">
            <v>0.43500000000000033</v>
          </cell>
          <cell r="U447">
            <v>0.22558546594735174</v>
          </cell>
          <cell r="AI447">
            <v>0.43500000000000033</v>
          </cell>
          <cell r="AK447">
            <v>0.38030795673084428</v>
          </cell>
          <cell r="AY447">
            <v>0.43500000000000033</v>
          </cell>
          <cell r="BA447">
            <v>0.87206640827661974</v>
          </cell>
        </row>
        <row r="448">
          <cell r="S448">
            <v>0.43600000000000033</v>
          </cell>
          <cell r="U448">
            <v>0.56310733785288214</v>
          </cell>
          <cell r="AI448">
            <v>0.43600000000000033</v>
          </cell>
          <cell r="AK448">
            <v>0.14561199144437975</v>
          </cell>
          <cell r="AY448">
            <v>0.43600000000000033</v>
          </cell>
          <cell r="BA448">
            <v>0.46458326975310527</v>
          </cell>
        </row>
        <row r="449">
          <cell r="S449">
            <v>0.43700000000000033</v>
          </cell>
          <cell r="U449">
            <v>0.67232585078177798</v>
          </cell>
          <cell r="AI449">
            <v>0.43700000000000033</v>
          </cell>
          <cell r="AK449">
            <v>0.25027812167479935</v>
          </cell>
          <cell r="AY449">
            <v>0.43700000000000033</v>
          </cell>
          <cell r="BA449">
            <v>0.98324533829767757</v>
          </cell>
        </row>
        <row r="450">
          <cell r="S450">
            <v>0.43800000000000033</v>
          </cell>
          <cell r="U450">
            <v>0.67342069363383861</v>
          </cell>
          <cell r="AI450">
            <v>0.43800000000000033</v>
          </cell>
          <cell r="AK450">
            <v>0.16125711666453374</v>
          </cell>
          <cell r="AY450">
            <v>0.43800000000000033</v>
          </cell>
          <cell r="BA450">
            <v>0.36219367046113465</v>
          </cell>
        </row>
        <row r="451">
          <cell r="S451">
            <v>0.43900000000000033</v>
          </cell>
          <cell r="U451">
            <v>0.26607943572944687</v>
          </cell>
          <cell r="AI451">
            <v>0.43900000000000033</v>
          </cell>
          <cell r="AK451">
            <v>9.3356419286413125E-2</v>
          </cell>
          <cell r="AY451">
            <v>0.43900000000000033</v>
          </cell>
          <cell r="BA451">
            <v>0.44923245948667867</v>
          </cell>
        </row>
        <row r="452">
          <cell r="S452">
            <v>0.44000000000000034</v>
          </cell>
          <cell r="U452">
            <v>0.6908331545433517</v>
          </cell>
          <cell r="AI452">
            <v>0.44000000000000034</v>
          </cell>
          <cell r="AK452">
            <v>0.11763691935190464</v>
          </cell>
          <cell r="AY452">
            <v>0.44000000000000034</v>
          </cell>
          <cell r="BA452">
            <v>0.93008209479049042</v>
          </cell>
        </row>
        <row r="453">
          <cell r="S453">
            <v>0.44100000000000034</v>
          </cell>
          <cell r="U453">
            <v>0.69947492656545296</v>
          </cell>
          <cell r="AI453">
            <v>0.44100000000000034</v>
          </cell>
          <cell r="AK453">
            <v>0.16082757686150745</v>
          </cell>
          <cell r="AY453">
            <v>0.44100000000000034</v>
          </cell>
          <cell r="BA453">
            <v>0.52110354930265201</v>
          </cell>
        </row>
        <row r="454">
          <cell r="S454">
            <v>0.44200000000000034</v>
          </cell>
          <cell r="U454">
            <v>0.53888674947580162</v>
          </cell>
          <cell r="AI454">
            <v>0.44200000000000034</v>
          </cell>
          <cell r="AK454">
            <v>0.11269773165021399</v>
          </cell>
          <cell r="AY454">
            <v>0.44200000000000034</v>
          </cell>
          <cell r="BA454">
            <v>0.369457075716422</v>
          </cell>
        </row>
        <row r="455">
          <cell r="S455">
            <v>0.44300000000000034</v>
          </cell>
          <cell r="U455">
            <v>0.44841909008197883</v>
          </cell>
          <cell r="AI455">
            <v>0.44300000000000034</v>
          </cell>
          <cell r="AK455">
            <v>0.14126145649661487</v>
          </cell>
          <cell r="AY455">
            <v>0.44300000000000034</v>
          </cell>
          <cell r="BA455">
            <v>0.29358806115909297</v>
          </cell>
        </row>
        <row r="456">
          <cell r="S456">
            <v>0.44400000000000034</v>
          </cell>
          <cell r="U456">
            <v>0.5601840037412662</v>
          </cell>
          <cell r="AI456">
            <v>0.44400000000000034</v>
          </cell>
          <cell r="AK456">
            <v>0.13421680825337995</v>
          </cell>
          <cell r="AY456">
            <v>0.44400000000000034</v>
          </cell>
          <cell r="BA456">
            <v>0.61302529984435561</v>
          </cell>
        </row>
        <row r="457">
          <cell r="S457">
            <v>0.44500000000000034</v>
          </cell>
          <cell r="U457">
            <v>0.45005870952383942</v>
          </cell>
          <cell r="AI457">
            <v>0.44500000000000034</v>
          </cell>
          <cell r="AK457">
            <v>0.14420644320854117</v>
          </cell>
          <cell r="AY457">
            <v>0.44500000000000034</v>
          </cell>
          <cell r="BA457">
            <v>0.38062685018463699</v>
          </cell>
        </row>
        <row r="458">
          <cell r="S458">
            <v>0.44600000000000034</v>
          </cell>
          <cell r="U458">
            <v>0.62689032230576758</v>
          </cell>
          <cell r="AI458">
            <v>0.44600000000000034</v>
          </cell>
          <cell r="AK458">
            <v>9.5864451351588165E-2</v>
          </cell>
          <cell r="AY458">
            <v>0.44600000000000034</v>
          </cell>
          <cell r="BA458">
            <v>0.39579454939420761</v>
          </cell>
        </row>
        <row r="459">
          <cell r="S459">
            <v>0.44700000000000034</v>
          </cell>
          <cell r="U459">
            <v>0.24949834444166399</v>
          </cell>
          <cell r="AI459">
            <v>0.44700000000000034</v>
          </cell>
          <cell r="AK459">
            <v>0.39107827296120234</v>
          </cell>
          <cell r="AY459">
            <v>0.44700000000000034</v>
          </cell>
          <cell r="BA459">
            <v>0.40946684163945435</v>
          </cell>
        </row>
        <row r="460">
          <cell r="S460">
            <v>0.44800000000000034</v>
          </cell>
          <cell r="U460">
            <v>0.31286748858160029</v>
          </cell>
          <cell r="AI460">
            <v>0.44800000000000034</v>
          </cell>
          <cell r="AK460">
            <v>0.28540238880662983</v>
          </cell>
          <cell r="AY460">
            <v>0.44800000000000034</v>
          </cell>
          <cell r="BA460">
            <v>0.6514175847651601</v>
          </cell>
        </row>
        <row r="461">
          <cell r="S461">
            <v>0.44900000000000034</v>
          </cell>
          <cell r="U461">
            <v>0.45643708526877691</v>
          </cell>
          <cell r="AI461">
            <v>0.44900000000000034</v>
          </cell>
          <cell r="AK461">
            <v>5.9958966457477648E-2</v>
          </cell>
          <cell r="AY461">
            <v>0.44900000000000034</v>
          </cell>
          <cell r="BA461">
            <v>0.19519638660847805</v>
          </cell>
        </row>
        <row r="462">
          <cell r="S462">
            <v>0.45000000000000034</v>
          </cell>
          <cell r="U462">
            <v>0.36939390985786308</v>
          </cell>
          <cell r="AI462">
            <v>0.45000000000000034</v>
          </cell>
          <cell r="AK462">
            <v>0.29718897606815253</v>
          </cell>
          <cell r="AY462">
            <v>0.45000000000000034</v>
          </cell>
          <cell r="BA462">
            <v>0.89910580767235326</v>
          </cell>
        </row>
        <row r="463">
          <cell r="S463">
            <v>0.45100000000000035</v>
          </cell>
          <cell r="U463">
            <v>0.46457100675332091</v>
          </cell>
          <cell r="AI463">
            <v>0.45100000000000035</v>
          </cell>
          <cell r="AK463">
            <v>7.726120587899403E-2</v>
          </cell>
          <cell r="AY463">
            <v>0.45100000000000035</v>
          </cell>
          <cell r="BA463">
            <v>0.8494521927549058</v>
          </cell>
        </row>
        <row r="464">
          <cell r="S464">
            <v>0.45200000000000035</v>
          </cell>
          <cell r="U464">
            <v>0.82743272539448087</v>
          </cell>
          <cell r="AI464">
            <v>0.45200000000000035</v>
          </cell>
          <cell r="AK464">
            <v>0.29614048911518909</v>
          </cell>
          <cell r="AY464">
            <v>0.45200000000000035</v>
          </cell>
          <cell r="BA464">
            <v>0.10870693075350202</v>
          </cell>
        </row>
        <row r="465">
          <cell r="S465">
            <v>0.45300000000000035</v>
          </cell>
          <cell r="U465">
            <v>0.31657653414139997</v>
          </cell>
          <cell r="AI465">
            <v>0.45300000000000035</v>
          </cell>
          <cell r="AK465">
            <v>0.17215458625931326</v>
          </cell>
          <cell r="AY465">
            <v>0.45300000000000035</v>
          </cell>
          <cell r="BA465">
            <v>0.61085848567155976</v>
          </cell>
        </row>
        <row r="466">
          <cell r="S466">
            <v>0.45400000000000035</v>
          </cell>
          <cell r="U466">
            <v>0.49435557130394481</v>
          </cell>
          <cell r="AI466">
            <v>0.45400000000000035</v>
          </cell>
          <cell r="AK466">
            <v>0.23665764121932875</v>
          </cell>
          <cell r="AY466">
            <v>0.45400000000000035</v>
          </cell>
          <cell r="BA466">
            <v>0.9320352793969543</v>
          </cell>
        </row>
        <row r="467">
          <cell r="S467">
            <v>0.45500000000000035</v>
          </cell>
          <cell r="U467">
            <v>0.28270485585117777</v>
          </cell>
          <cell r="AI467">
            <v>0.45500000000000035</v>
          </cell>
          <cell r="AK467">
            <v>0.11794544350574514</v>
          </cell>
          <cell r="AY467">
            <v>0.45500000000000035</v>
          </cell>
          <cell r="BA467">
            <v>0.98352000488296154</v>
          </cell>
        </row>
        <row r="468">
          <cell r="S468">
            <v>0.45600000000000035</v>
          </cell>
          <cell r="U468">
            <v>0.73433367804393801</v>
          </cell>
          <cell r="AI468">
            <v>0.45600000000000035</v>
          </cell>
          <cell r="AK468">
            <v>0.1461960219569608</v>
          </cell>
          <cell r="AY468">
            <v>0.45600000000000035</v>
          </cell>
          <cell r="BA468">
            <v>0.79137546922208324</v>
          </cell>
        </row>
        <row r="469">
          <cell r="S469">
            <v>0.45700000000000035</v>
          </cell>
          <cell r="U469">
            <v>0.58929026356065117</v>
          </cell>
          <cell r="AI469">
            <v>0.45700000000000035</v>
          </cell>
          <cell r="AK469">
            <v>0.36258537877806796</v>
          </cell>
          <cell r="AY469">
            <v>0.45700000000000035</v>
          </cell>
          <cell r="BA469">
            <v>0.95880001220740374</v>
          </cell>
        </row>
        <row r="470">
          <cell r="S470">
            <v>0.45800000000000035</v>
          </cell>
          <cell r="U470">
            <v>0.33523689411885882</v>
          </cell>
          <cell r="AI470">
            <v>0.45800000000000035</v>
          </cell>
          <cell r="AK470">
            <v>0.23338311812821622</v>
          </cell>
          <cell r="AY470">
            <v>0.45800000000000035</v>
          </cell>
          <cell r="BA470">
            <v>0.74938200018311107</v>
          </cell>
        </row>
        <row r="471">
          <cell r="S471">
            <v>0.45900000000000035</v>
          </cell>
          <cell r="U471">
            <v>0.31153046770438841</v>
          </cell>
          <cell r="AI471">
            <v>0.45900000000000035</v>
          </cell>
          <cell r="AK471">
            <v>0.24585279032004692</v>
          </cell>
          <cell r="AY471">
            <v>0.45900000000000035</v>
          </cell>
          <cell r="BA471">
            <v>0.80150761436811424</v>
          </cell>
        </row>
        <row r="472">
          <cell r="S472">
            <v>0.46000000000000035</v>
          </cell>
          <cell r="U472">
            <v>0.6646427997723231</v>
          </cell>
          <cell r="AI472">
            <v>0.46000000000000035</v>
          </cell>
          <cell r="AK472">
            <v>0.14968228404342984</v>
          </cell>
          <cell r="AY472">
            <v>0.46000000000000035</v>
          </cell>
          <cell r="BA472">
            <v>0.96664326914273502</v>
          </cell>
        </row>
        <row r="473">
          <cell r="S473">
            <v>0.46100000000000035</v>
          </cell>
          <cell r="U473">
            <v>0.42866542949969511</v>
          </cell>
          <cell r="AI473">
            <v>0.46100000000000035</v>
          </cell>
          <cell r="AK473">
            <v>0.1544593566303957</v>
          </cell>
          <cell r="AY473">
            <v>0.46100000000000035</v>
          </cell>
          <cell r="BA473">
            <v>0.22675252540665913</v>
          </cell>
        </row>
        <row r="474">
          <cell r="S474">
            <v>0.46200000000000035</v>
          </cell>
          <cell r="U474">
            <v>0.50156140254216131</v>
          </cell>
          <cell r="AI474">
            <v>0.46200000000000035</v>
          </cell>
          <cell r="AK474">
            <v>0.26827215135795035</v>
          </cell>
          <cell r="AY474">
            <v>0.46200000000000035</v>
          </cell>
          <cell r="BA474">
            <v>0.51930295724356823</v>
          </cell>
        </row>
        <row r="475">
          <cell r="S475">
            <v>0.46300000000000036</v>
          </cell>
          <cell r="U475">
            <v>0.44895030402381758</v>
          </cell>
          <cell r="AI475">
            <v>0.46300000000000036</v>
          </cell>
          <cell r="AK475">
            <v>9.6904710359233995E-2</v>
          </cell>
          <cell r="AY475">
            <v>0.46300000000000036</v>
          </cell>
          <cell r="BA475">
            <v>0.90496536149174478</v>
          </cell>
        </row>
        <row r="476">
          <cell r="S476">
            <v>0.46400000000000036</v>
          </cell>
          <cell r="U476">
            <v>0.76468082023728867</v>
          </cell>
          <cell r="AI476">
            <v>0.46400000000000036</v>
          </cell>
          <cell r="AK476">
            <v>0.19332630352356206</v>
          </cell>
          <cell r="AY476">
            <v>0.46400000000000036</v>
          </cell>
          <cell r="BA476">
            <v>1.2176885280922881E-2</v>
          </cell>
        </row>
        <row r="477">
          <cell r="S477">
            <v>0.46500000000000036</v>
          </cell>
          <cell r="U477">
            <v>0.56448569920620595</v>
          </cell>
          <cell r="AI477">
            <v>0.46500000000000036</v>
          </cell>
          <cell r="AK477">
            <v>0.21735733975695359</v>
          </cell>
          <cell r="AY477">
            <v>0.46500000000000036</v>
          </cell>
          <cell r="BA477">
            <v>0.23535874507889037</v>
          </cell>
        </row>
        <row r="478">
          <cell r="S478">
            <v>0.46600000000000036</v>
          </cell>
          <cell r="U478">
            <v>0.45465169395962607</v>
          </cell>
          <cell r="AI478">
            <v>0.46600000000000036</v>
          </cell>
          <cell r="AK478">
            <v>0.11277132822845676</v>
          </cell>
          <cell r="AY478">
            <v>0.46600000000000036</v>
          </cell>
          <cell r="BA478">
            <v>0.41911069063386946</v>
          </cell>
        </row>
        <row r="479">
          <cell r="S479">
            <v>0.46700000000000036</v>
          </cell>
          <cell r="U479">
            <v>0.59694850563374602</v>
          </cell>
          <cell r="AI479">
            <v>0.46700000000000036</v>
          </cell>
          <cell r="AK479">
            <v>0.16991468304846044</v>
          </cell>
          <cell r="AY479">
            <v>0.46700000000000036</v>
          </cell>
          <cell r="BA479">
            <v>0.34449293496505629</v>
          </cell>
        </row>
        <row r="480">
          <cell r="S480">
            <v>0.46800000000000036</v>
          </cell>
          <cell r="U480">
            <v>0.54944211658018727</v>
          </cell>
          <cell r="AI480">
            <v>0.46800000000000036</v>
          </cell>
          <cell r="AK480">
            <v>0.31680194123466965</v>
          </cell>
          <cell r="AY480">
            <v>0.46800000000000036</v>
          </cell>
          <cell r="BA480">
            <v>0.52845851008636735</v>
          </cell>
        </row>
        <row r="481">
          <cell r="S481">
            <v>0.46900000000000036</v>
          </cell>
          <cell r="U481">
            <v>0.37574448789299425</v>
          </cell>
          <cell r="AI481">
            <v>0.46900000000000036</v>
          </cell>
          <cell r="AK481">
            <v>0.17965022552324261</v>
          </cell>
          <cell r="AY481">
            <v>0.46900000000000036</v>
          </cell>
          <cell r="BA481">
            <v>0.42585528122806482</v>
          </cell>
        </row>
        <row r="482">
          <cell r="S482">
            <v>0.47000000000000036</v>
          </cell>
          <cell r="U482">
            <v>0.59754990284068543</v>
          </cell>
          <cell r="AI482">
            <v>0.47000000000000036</v>
          </cell>
          <cell r="AK482">
            <v>0.33287195179481821</v>
          </cell>
          <cell r="AY482">
            <v>0.47000000000000036</v>
          </cell>
          <cell r="BA482">
            <v>0.89709158604693751</v>
          </cell>
        </row>
        <row r="483">
          <cell r="S483">
            <v>0.47100000000000036</v>
          </cell>
          <cell r="U483">
            <v>0.68932830052639649</v>
          </cell>
          <cell r="AI483">
            <v>0.47100000000000036</v>
          </cell>
          <cell r="AK483">
            <v>0.14409212670323726</v>
          </cell>
          <cell r="AY483">
            <v>0.47100000000000036</v>
          </cell>
          <cell r="BA483">
            <v>0.95947141941587577</v>
          </cell>
        </row>
        <row r="484">
          <cell r="S484">
            <v>0.47200000000000036</v>
          </cell>
          <cell r="U484">
            <v>0.5165499595125953</v>
          </cell>
          <cell r="AI484">
            <v>0.47200000000000036</v>
          </cell>
          <cell r="AK484">
            <v>0.18837389683525019</v>
          </cell>
          <cell r="AY484">
            <v>0.47200000000000036</v>
          </cell>
          <cell r="BA484">
            <v>0.94537186803796502</v>
          </cell>
        </row>
        <row r="485">
          <cell r="S485">
            <v>0.47300000000000036</v>
          </cell>
          <cell r="U485">
            <v>0.36425294682795023</v>
          </cell>
          <cell r="AI485">
            <v>0.47300000000000036</v>
          </cell>
          <cell r="AK485">
            <v>0.17138837984088245</v>
          </cell>
          <cell r="AY485">
            <v>0.47300000000000036</v>
          </cell>
          <cell r="BA485">
            <v>0.16541032135990477</v>
          </cell>
        </row>
        <row r="486">
          <cell r="S486">
            <v>0.47400000000000037</v>
          </cell>
          <cell r="U486">
            <v>0.53732661165240758</v>
          </cell>
          <cell r="AI486">
            <v>0.47400000000000037</v>
          </cell>
          <cell r="AK486">
            <v>0.18606226914791957</v>
          </cell>
          <cell r="AY486">
            <v>0.47400000000000037</v>
          </cell>
          <cell r="BA486">
            <v>0.38154240546891688</v>
          </cell>
        </row>
        <row r="487">
          <cell r="S487">
            <v>0.47500000000000037</v>
          </cell>
          <cell r="U487">
            <v>0.30930001535081636</v>
          </cell>
          <cell r="AI487">
            <v>0.47500000000000037</v>
          </cell>
          <cell r="AK487">
            <v>0.12882797119867384</v>
          </cell>
          <cell r="AY487">
            <v>0.47500000000000037</v>
          </cell>
          <cell r="BA487">
            <v>0.37537766655476545</v>
          </cell>
        </row>
        <row r="488">
          <cell r="S488">
            <v>0.47600000000000037</v>
          </cell>
          <cell r="U488">
            <v>0.38403368503241631</v>
          </cell>
          <cell r="AI488">
            <v>0.47600000000000037</v>
          </cell>
          <cell r="AK488">
            <v>0.11815870083719948</v>
          </cell>
          <cell r="AY488">
            <v>0.47600000000000037</v>
          </cell>
          <cell r="BA488">
            <v>0.15408795434430983</v>
          </cell>
        </row>
        <row r="489">
          <cell r="S489">
            <v>0.47700000000000037</v>
          </cell>
          <cell r="U489">
            <v>0.85718975784880569</v>
          </cell>
          <cell r="AI489">
            <v>0.47700000000000037</v>
          </cell>
          <cell r="AK489">
            <v>0.48825479190932264</v>
          </cell>
          <cell r="AY489">
            <v>0.47700000000000037</v>
          </cell>
          <cell r="BA489">
            <v>0.9761955626087222</v>
          </cell>
        </row>
        <row r="490">
          <cell r="S490">
            <v>0.47800000000000037</v>
          </cell>
          <cell r="U490">
            <v>0.30249966723395938</v>
          </cell>
          <cell r="AI490">
            <v>0.47800000000000037</v>
          </cell>
          <cell r="AK490">
            <v>9.6612737223992523E-2</v>
          </cell>
          <cell r="AY490">
            <v>0.47800000000000037</v>
          </cell>
          <cell r="BA490">
            <v>0.2185125278481399</v>
          </cell>
        </row>
        <row r="491">
          <cell r="S491">
            <v>0.47900000000000037</v>
          </cell>
          <cell r="U491">
            <v>0.74659632719074354</v>
          </cell>
          <cell r="AI491">
            <v>0.47900000000000037</v>
          </cell>
          <cell r="AK491">
            <v>0.13150628042999724</v>
          </cell>
          <cell r="AY491">
            <v>0.47900000000000037</v>
          </cell>
          <cell r="BA491">
            <v>0.31641590624713889</v>
          </cell>
        </row>
        <row r="492">
          <cell r="S492">
            <v>0.48000000000000037</v>
          </cell>
          <cell r="U492">
            <v>0.15452946118373412</v>
          </cell>
          <cell r="AI492">
            <v>0.48000000000000037</v>
          </cell>
          <cell r="AK492">
            <v>0.23062418748477531</v>
          </cell>
          <cell r="AY492">
            <v>0.48000000000000037</v>
          </cell>
          <cell r="BA492">
            <v>0.19577623828852198</v>
          </cell>
        </row>
        <row r="493">
          <cell r="S493">
            <v>0.48100000000000037</v>
          </cell>
          <cell r="U493">
            <v>0.51952970262833276</v>
          </cell>
          <cell r="AI493">
            <v>0.48100000000000037</v>
          </cell>
          <cell r="AK493">
            <v>0.1623980193680383</v>
          </cell>
          <cell r="AY493">
            <v>0.48100000000000037</v>
          </cell>
          <cell r="BA493">
            <v>0.59459212012085327</v>
          </cell>
        </row>
        <row r="494">
          <cell r="S494">
            <v>0.48200000000000037</v>
          </cell>
          <cell r="U494">
            <v>0.70892758053200444</v>
          </cell>
          <cell r="AI494">
            <v>0.48200000000000037</v>
          </cell>
          <cell r="AK494">
            <v>0.32615633752825479</v>
          </cell>
          <cell r="AY494">
            <v>0.48200000000000037</v>
          </cell>
          <cell r="BA494">
            <v>0.11914426099429304</v>
          </cell>
        </row>
        <row r="495">
          <cell r="S495">
            <v>0.48300000000000037</v>
          </cell>
          <cell r="U495">
            <v>0.44390776541991561</v>
          </cell>
          <cell r="AI495">
            <v>0.48300000000000037</v>
          </cell>
          <cell r="AK495">
            <v>0.13791960414913174</v>
          </cell>
          <cell r="AY495">
            <v>0.48300000000000037</v>
          </cell>
          <cell r="BA495">
            <v>0.38792077394940033</v>
          </cell>
        </row>
        <row r="496">
          <cell r="S496">
            <v>0.48400000000000037</v>
          </cell>
          <cell r="U496">
            <v>0.45266118455294024</v>
          </cell>
          <cell r="AI496">
            <v>0.48400000000000037</v>
          </cell>
          <cell r="AK496">
            <v>1.9138653072464124E-2</v>
          </cell>
          <cell r="AY496">
            <v>0.48400000000000037</v>
          </cell>
          <cell r="BA496">
            <v>0.53801080355235453</v>
          </cell>
        </row>
        <row r="497">
          <cell r="S497">
            <v>0.48500000000000038</v>
          </cell>
          <cell r="U497">
            <v>0.67016994868824531</v>
          </cell>
          <cell r="AI497">
            <v>0.48500000000000038</v>
          </cell>
          <cell r="AK497">
            <v>0.32787081783130967</v>
          </cell>
          <cell r="AY497">
            <v>0.48500000000000038</v>
          </cell>
          <cell r="BA497">
            <v>0.26682332834864347</v>
          </cell>
        </row>
        <row r="498">
          <cell r="S498">
            <v>0.48600000000000038</v>
          </cell>
          <cell r="U498">
            <v>0.20282559473209358</v>
          </cell>
          <cell r="AI498">
            <v>0.48600000000000038</v>
          </cell>
          <cell r="AK498">
            <v>0.1835686291898066</v>
          </cell>
          <cell r="AY498">
            <v>0.48600000000000038</v>
          </cell>
          <cell r="BA498">
            <v>0.89809869685964538</v>
          </cell>
        </row>
        <row r="499">
          <cell r="S499">
            <v>0.48700000000000038</v>
          </cell>
          <cell r="U499">
            <v>0.12814781240821144</v>
          </cell>
          <cell r="AI499">
            <v>0.48700000000000038</v>
          </cell>
          <cell r="AK499">
            <v>0.11149014666037112</v>
          </cell>
          <cell r="AY499">
            <v>0.48700000000000038</v>
          </cell>
          <cell r="BA499">
            <v>0.98635822626422931</v>
          </cell>
        </row>
        <row r="500">
          <cell r="S500">
            <v>0.48800000000000038</v>
          </cell>
          <cell r="U500">
            <v>0.49450794728826647</v>
          </cell>
          <cell r="AI500">
            <v>0.48800000000000038</v>
          </cell>
          <cell r="AK500">
            <v>0.17157986309210524</v>
          </cell>
          <cell r="AY500">
            <v>0.48800000000000038</v>
          </cell>
          <cell r="BA500">
            <v>0.97045808282723467</v>
          </cell>
        </row>
        <row r="501">
          <cell r="S501">
            <v>0.48900000000000038</v>
          </cell>
          <cell r="U501">
            <v>0.3783441886201433</v>
          </cell>
          <cell r="AI501">
            <v>0.48900000000000038</v>
          </cell>
          <cell r="AK501">
            <v>8.0056116961205057E-2</v>
          </cell>
          <cell r="AY501">
            <v>0.48900000000000038</v>
          </cell>
          <cell r="BA501">
            <v>0.18701742606891081</v>
          </cell>
        </row>
        <row r="502">
          <cell r="S502">
            <v>0.49000000000000038</v>
          </cell>
          <cell r="U502">
            <v>0.71101148841048256</v>
          </cell>
          <cell r="AI502">
            <v>0.49000000000000038</v>
          </cell>
          <cell r="AK502">
            <v>9.1775698358529348E-2</v>
          </cell>
          <cell r="AY502">
            <v>0.49000000000000038</v>
          </cell>
          <cell r="BA502">
            <v>0.7840815454573199</v>
          </cell>
        </row>
        <row r="503">
          <cell r="S503">
            <v>0.49100000000000038</v>
          </cell>
          <cell r="U503">
            <v>0.231142918352853</v>
          </cell>
          <cell r="AI503">
            <v>0.49100000000000038</v>
          </cell>
          <cell r="AK503">
            <v>4.6901914987431667E-2</v>
          </cell>
          <cell r="AY503">
            <v>0.49100000000000038</v>
          </cell>
          <cell r="BA503">
            <v>0.49220252082888272</v>
          </cell>
        </row>
        <row r="504">
          <cell r="S504">
            <v>0.49200000000000038</v>
          </cell>
          <cell r="U504">
            <v>0.51348147090203811</v>
          </cell>
          <cell r="AI504">
            <v>0.49200000000000038</v>
          </cell>
          <cell r="AK504">
            <v>0.35918160854741266</v>
          </cell>
          <cell r="AY504">
            <v>0.49200000000000038</v>
          </cell>
          <cell r="BA504">
            <v>0.65074617755668818</v>
          </cell>
        </row>
        <row r="505">
          <cell r="S505">
            <v>0.49300000000000038</v>
          </cell>
          <cell r="U505">
            <v>0.35524554623247623</v>
          </cell>
          <cell r="AI505">
            <v>0.49300000000000038</v>
          </cell>
          <cell r="AK505">
            <v>0.2921792929491287</v>
          </cell>
          <cell r="AY505">
            <v>0.49300000000000038</v>
          </cell>
          <cell r="BA505">
            <v>0.48405407879879148</v>
          </cell>
        </row>
        <row r="506">
          <cell r="S506">
            <v>0.49400000000000038</v>
          </cell>
          <cell r="U506">
            <v>0.54810175871769939</v>
          </cell>
          <cell r="AI506">
            <v>0.49400000000000038</v>
          </cell>
          <cell r="AK506">
            <v>3.8346116505669041E-2</v>
          </cell>
          <cell r="AY506">
            <v>0.49400000000000038</v>
          </cell>
          <cell r="BA506">
            <v>8.4261604663228254E-2</v>
          </cell>
        </row>
        <row r="507">
          <cell r="S507">
            <v>0.49500000000000038</v>
          </cell>
          <cell r="U507">
            <v>0.51758870376814925</v>
          </cell>
          <cell r="AI507">
            <v>0.49500000000000038</v>
          </cell>
          <cell r="AK507">
            <v>0.31707898815760893</v>
          </cell>
          <cell r="AY507">
            <v>0.49500000000000038</v>
          </cell>
          <cell r="BA507">
            <v>0.40256965849787896</v>
          </cell>
        </row>
        <row r="508">
          <cell r="S508">
            <v>0.49600000000000039</v>
          </cell>
          <cell r="U508">
            <v>0.61776104460348424</v>
          </cell>
          <cell r="AI508">
            <v>0.49600000000000039</v>
          </cell>
          <cell r="AK508">
            <v>0.2024895449164178</v>
          </cell>
          <cell r="AY508">
            <v>0.49600000000000039</v>
          </cell>
          <cell r="BA508">
            <v>0.33237708670308541</v>
          </cell>
        </row>
        <row r="509">
          <cell r="S509">
            <v>0.49700000000000039</v>
          </cell>
          <cell r="U509">
            <v>0.35950071375779558</v>
          </cell>
          <cell r="AI509">
            <v>0.49700000000000039</v>
          </cell>
          <cell r="AK509">
            <v>0.24127491375029786</v>
          </cell>
          <cell r="AY509">
            <v>0.49700000000000039</v>
          </cell>
          <cell r="BA509">
            <v>0.66365550706503496</v>
          </cell>
        </row>
        <row r="510">
          <cell r="S510">
            <v>0.49800000000000039</v>
          </cell>
          <cell r="U510">
            <v>0.5681731757856715</v>
          </cell>
          <cell r="AI510">
            <v>0.49800000000000039</v>
          </cell>
          <cell r="AK510">
            <v>9.3961070353239293E-2</v>
          </cell>
          <cell r="AY510">
            <v>0.49800000000000039</v>
          </cell>
          <cell r="BA510">
            <v>0.48310800500503553</v>
          </cell>
        </row>
        <row r="511">
          <cell r="S511">
            <v>0.49900000000000039</v>
          </cell>
          <cell r="U511">
            <v>0.56664518804899355</v>
          </cell>
          <cell r="AI511">
            <v>0.49900000000000039</v>
          </cell>
          <cell r="AK511">
            <v>0.26486734508160914</v>
          </cell>
          <cell r="AY511">
            <v>0.49900000000000039</v>
          </cell>
          <cell r="BA511">
            <v>0.55919064912869654</v>
          </cell>
        </row>
        <row r="512">
          <cell r="S512">
            <v>0.50000000000000033</v>
          </cell>
          <cell r="U512">
            <v>0.56016822949732314</v>
          </cell>
          <cell r="AI512">
            <v>0.50000000000000033</v>
          </cell>
          <cell r="AK512">
            <v>0.13695412712778796</v>
          </cell>
          <cell r="AY512">
            <v>0.50000000000000033</v>
          </cell>
          <cell r="BA512">
            <v>0.30515457625049591</v>
          </cell>
        </row>
        <row r="513">
          <cell r="S513">
            <v>0.50100000000000033</v>
          </cell>
          <cell r="U513">
            <v>0.52015661882558728</v>
          </cell>
          <cell r="AI513">
            <v>0.50100000000000033</v>
          </cell>
          <cell r="AK513">
            <v>0.13667778415001114</v>
          </cell>
          <cell r="AY513">
            <v>0.50100000000000033</v>
          </cell>
          <cell r="BA513">
            <v>0.91177098910489207</v>
          </cell>
        </row>
        <row r="514">
          <cell r="S514">
            <v>0.50200000000000033</v>
          </cell>
          <cell r="U514">
            <v>0.3139361186333246</v>
          </cell>
          <cell r="AI514">
            <v>0.50200000000000033</v>
          </cell>
          <cell r="AK514">
            <v>0.17126783912006155</v>
          </cell>
          <cell r="AY514">
            <v>0.50200000000000033</v>
          </cell>
          <cell r="BA514">
            <v>0.75728629413739434</v>
          </cell>
        </row>
        <row r="515">
          <cell r="S515">
            <v>0.50300000000000034</v>
          </cell>
          <cell r="U515">
            <v>0.49980958651474505</v>
          </cell>
          <cell r="AI515">
            <v>0.50300000000000034</v>
          </cell>
          <cell r="AK515">
            <v>0.27159668579783192</v>
          </cell>
          <cell r="AY515">
            <v>0.50300000000000034</v>
          </cell>
          <cell r="BA515">
            <v>0.12854396191290016</v>
          </cell>
        </row>
        <row r="516">
          <cell r="S516">
            <v>0.50400000000000034</v>
          </cell>
          <cell r="U516">
            <v>0.35683820937339189</v>
          </cell>
          <cell r="AI516">
            <v>0.50400000000000034</v>
          </cell>
          <cell r="AK516">
            <v>8.0990810001341784E-2</v>
          </cell>
          <cell r="AY516">
            <v>0.50400000000000034</v>
          </cell>
          <cell r="BA516">
            <v>7.9714346751304663E-2</v>
          </cell>
        </row>
        <row r="517">
          <cell r="S517">
            <v>0.50500000000000034</v>
          </cell>
          <cell r="U517">
            <v>0.36516655983128349</v>
          </cell>
          <cell r="AI517">
            <v>0.50500000000000034</v>
          </cell>
          <cell r="AK517">
            <v>0.12855106123738896</v>
          </cell>
          <cell r="AY517">
            <v>0.50500000000000034</v>
          </cell>
          <cell r="BA517">
            <v>0.16537980285042878</v>
          </cell>
        </row>
        <row r="518">
          <cell r="S518">
            <v>0.50600000000000034</v>
          </cell>
          <cell r="U518">
            <v>0.70538969900138104</v>
          </cell>
          <cell r="AI518">
            <v>0.50600000000000034</v>
          </cell>
          <cell r="AK518">
            <v>0.22045158602057313</v>
          </cell>
          <cell r="AY518">
            <v>0.50600000000000034</v>
          </cell>
          <cell r="BA518">
            <v>0.1879329813531907</v>
          </cell>
        </row>
        <row r="519">
          <cell r="S519">
            <v>0.50700000000000034</v>
          </cell>
          <cell r="U519">
            <v>0.60250507747974702</v>
          </cell>
          <cell r="AI519">
            <v>0.50700000000000034</v>
          </cell>
          <cell r="AK519">
            <v>0.13749889365855486</v>
          </cell>
          <cell r="AY519">
            <v>0.50700000000000034</v>
          </cell>
          <cell r="BA519">
            <v>0.4902493362224189</v>
          </cell>
        </row>
        <row r="520">
          <cell r="S520">
            <v>0.50800000000000034</v>
          </cell>
          <cell r="U520">
            <v>0.59082325311249118</v>
          </cell>
          <cell r="AI520">
            <v>0.50800000000000034</v>
          </cell>
          <cell r="AK520">
            <v>0.10609935164616512</v>
          </cell>
          <cell r="AY520">
            <v>0.50800000000000034</v>
          </cell>
          <cell r="BA520">
            <v>0.34797204504532003</v>
          </cell>
        </row>
        <row r="521">
          <cell r="S521">
            <v>0.50900000000000034</v>
          </cell>
          <cell r="U521">
            <v>0.28197454542907463</v>
          </cell>
          <cell r="AI521">
            <v>0.50900000000000034</v>
          </cell>
          <cell r="AK521">
            <v>0.26446232930404789</v>
          </cell>
          <cell r="AY521">
            <v>0.50900000000000034</v>
          </cell>
          <cell r="BA521">
            <v>0.35746330149235511</v>
          </cell>
        </row>
        <row r="522">
          <cell r="S522">
            <v>0.51000000000000034</v>
          </cell>
          <cell r="U522">
            <v>0.5171456666660712</v>
          </cell>
          <cell r="AI522">
            <v>0.51000000000000034</v>
          </cell>
          <cell r="AK522">
            <v>0.16626096435979204</v>
          </cell>
          <cell r="AY522">
            <v>0.51000000000000034</v>
          </cell>
          <cell r="BA522">
            <v>0.45155186620685445</v>
          </cell>
        </row>
        <row r="523">
          <cell r="S523">
            <v>0.51100000000000034</v>
          </cell>
          <cell r="U523">
            <v>0.6984854316542648</v>
          </cell>
          <cell r="AI523">
            <v>0.51100000000000034</v>
          </cell>
          <cell r="AK523">
            <v>7.936950893388546E-2</v>
          </cell>
          <cell r="AY523">
            <v>0.51100000000000034</v>
          </cell>
          <cell r="BA523">
            <v>0.6896877956480606</v>
          </cell>
        </row>
        <row r="524">
          <cell r="S524">
            <v>0.51200000000000034</v>
          </cell>
          <cell r="U524">
            <v>0.42901737248323601</v>
          </cell>
          <cell r="AI524">
            <v>0.51200000000000034</v>
          </cell>
          <cell r="AK524">
            <v>0.31357606521633874</v>
          </cell>
          <cell r="AY524">
            <v>0.51200000000000034</v>
          </cell>
          <cell r="BA524">
            <v>0.24942777794732504</v>
          </cell>
        </row>
        <row r="525">
          <cell r="S525">
            <v>0.51300000000000034</v>
          </cell>
          <cell r="U525">
            <v>0.58075980652242554</v>
          </cell>
          <cell r="AI525">
            <v>0.51300000000000034</v>
          </cell>
          <cell r="AK525">
            <v>0.28499941926861505</v>
          </cell>
          <cell r="AY525">
            <v>0.51300000000000034</v>
          </cell>
          <cell r="BA525">
            <v>0.7415387432477798</v>
          </cell>
        </row>
        <row r="526">
          <cell r="S526">
            <v>0.51400000000000035</v>
          </cell>
          <cell r="U526">
            <v>0.32213270196392713</v>
          </cell>
          <cell r="AI526">
            <v>0.51400000000000035</v>
          </cell>
          <cell r="AK526">
            <v>0.11104387168432962</v>
          </cell>
          <cell r="AY526">
            <v>0.51400000000000035</v>
          </cell>
          <cell r="BA526">
            <v>0.27030243842890711</v>
          </cell>
        </row>
        <row r="527">
          <cell r="S527">
            <v>0.51500000000000035</v>
          </cell>
          <cell r="U527">
            <v>0.33729511548566526</v>
          </cell>
          <cell r="AI527">
            <v>0.51500000000000035</v>
          </cell>
          <cell r="AK527">
            <v>0.17341196949257426</v>
          </cell>
          <cell r="AY527">
            <v>0.51500000000000035</v>
          </cell>
          <cell r="BA527">
            <v>0.61162144840845978</v>
          </cell>
        </row>
        <row r="528">
          <cell r="S528">
            <v>0.51600000000000035</v>
          </cell>
          <cell r="U528">
            <v>0.45979885231387768</v>
          </cell>
          <cell r="AI528">
            <v>0.51600000000000035</v>
          </cell>
          <cell r="AK528">
            <v>0.17261609048501203</v>
          </cell>
          <cell r="AY528">
            <v>0.51600000000000035</v>
          </cell>
          <cell r="BA528">
            <v>0.47611926633503221</v>
          </cell>
        </row>
        <row r="529">
          <cell r="S529">
            <v>0.51700000000000035</v>
          </cell>
          <cell r="U529">
            <v>0.40376891755017114</v>
          </cell>
          <cell r="AI529">
            <v>0.51700000000000035</v>
          </cell>
          <cell r="AK529">
            <v>0.12972389534422593</v>
          </cell>
          <cell r="AY529">
            <v>0.51700000000000035</v>
          </cell>
          <cell r="BA529">
            <v>0.70302438428907132</v>
          </cell>
        </row>
        <row r="530">
          <cell r="S530">
            <v>0.51800000000000035</v>
          </cell>
          <cell r="U530">
            <v>0.36140569208062268</v>
          </cell>
          <cell r="AI530">
            <v>0.51800000000000035</v>
          </cell>
          <cell r="AK530">
            <v>0.18311224743001639</v>
          </cell>
          <cell r="AY530">
            <v>0.51800000000000035</v>
          </cell>
          <cell r="BA530">
            <v>0.60362559892574852</v>
          </cell>
        </row>
        <row r="531">
          <cell r="S531">
            <v>0.51900000000000035</v>
          </cell>
          <cell r="U531">
            <v>0.4333548119510065</v>
          </cell>
          <cell r="AI531">
            <v>0.51900000000000035</v>
          </cell>
          <cell r="AK531">
            <v>0.40322935878852828</v>
          </cell>
          <cell r="AY531">
            <v>0.51900000000000035</v>
          </cell>
          <cell r="BA531">
            <v>0.53050325022125921</v>
          </cell>
        </row>
        <row r="532">
          <cell r="S532">
            <v>0.52000000000000035</v>
          </cell>
          <cell r="U532">
            <v>0.54550368777513558</v>
          </cell>
          <cell r="AI532">
            <v>0.52000000000000035</v>
          </cell>
          <cell r="AK532">
            <v>0.29901196159247534</v>
          </cell>
          <cell r="AY532">
            <v>0.52000000000000035</v>
          </cell>
          <cell r="BA532">
            <v>0.24622333445234534</v>
          </cell>
        </row>
        <row r="533">
          <cell r="S533">
            <v>0.52100000000000035</v>
          </cell>
          <cell r="U533">
            <v>0.54576788543649335</v>
          </cell>
          <cell r="AI533">
            <v>0.52100000000000035</v>
          </cell>
          <cell r="AK533">
            <v>5.9958966457477648E-2</v>
          </cell>
          <cell r="AY533">
            <v>0.52100000000000035</v>
          </cell>
          <cell r="BA533">
            <v>0.96298104800561546</v>
          </cell>
        </row>
        <row r="534">
          <cell r="S534">
            <v>0.52200000000000035</v>
          </cell>
          <cell r="U534">
            <v>0.54511527302745966</v>
          </cell>
          <cell r="AI534">
            <v>0.52200000000000035</v>
          </cell>
          <cell r="AK534">
            <v>0.31006213495049073</v>
          </cell>
          <cell r="AY534">
            <v>0.52200000000000035</v>
          </cell>
          <cell r="BA534">
            <v>0.66206854457228304</v>
          </cell>
        </row>
        <row r="535">
          <cell r="S535">
            <v>0.52300000000000035</v>
          </cell>
          <cell r="U535">
            <v>0.24952875783753203</v>
          </cell>
          <cell r="AI535">
            <v>0.52300000000000035</v>
          </cell>
          <cell r="AK535">
            <v>7.6278171244012163E-2</v>
          </cell>
          <cell r="AY535">
            <v>0.52300000000000035</v>
          </cell>
          <cell r="BA535">
            <v>0.19409772026734215</v>
          </cell>
        </row>
        <row r="536">
          <cell r="S536">
            <v>0.52400000000000035</v>
          </cell>
          <cell r="U536">
            <v>0.27969034281165328</v>
          </cell>
          <cell r="AI536">
            <v>0.52400000000000035</v>
          </cell>
          <cell r="AK536">
            <v>0.1177398249126532</v>
          </cell>
          <cell r="AY536">
            <v>0.52400000000000035</v>
          </cell>
          <cell r="BA536">
            <v>0.67818231757560965</v>
          </cell>
        </row>
        <row r="537">
          <cell r="S537">
            <v>0.52500000000000036</v>
          </cell>
          <cell r="U537">
            <v>0.73546789454329053</v>
          </cell>
          <cell r="AI537">
            <v>0.52500000000000036</v>
          </cell>
          <cell r="AK537">
            <v>0.21111663010568515</v>
          </cell>
          <cell r="AY537">
            <v>0.52500000000000036</v>
          </cell>
          <cell r="BA537">
            <v>0.58043153172399065</v>
          </cell>
        </row>
        <row r="538">
          <cell r="S538">
            <v>0.52600000000000036</v>
          </cell>
          <cell r="U538">
            <v>0.230070279944358</v>
          </cell>
          <cell r="AI538">
            <v>0.52600000000000036</v>
          </cell>
          <cell r="AK538">
            <v>0.20772482940315939</v>
          </cell>
          <cell r="AY538">
            <v>0.52600000000000036</v>
          </cell>
          <cell r="BA538">
            <v>0.52452162236396371</v>
          </cell>
        </row>
        <row r="539">
          <cell r="S539">
            <v>0.52700000000000036</v>
          </cell>
          <cell r="U539">
            <v>0.33711586139609451</v>
          </cell>
          <cell r="AI539">
            <v>0.52700000000000036</v>
          </cell>
          <cell r="AK539">
            <v>8.7692301569655323E-2</v>
          </cell>
          <cell r="AY539">
            <v>0.52700000000000036</v>
          </cell>
          <cell r="BA539">
            <v>9.6591082491531116E-2</v>
          </cell>
        </row>
        <row r="540">
          <cell r="S540">
            <v>0.52800000000000036</v>
          </cell>
          <cell r="U540">
            <v>0.75894222288547786</v>
          </cell>
          <cell r="AI540">
            <v>0.52800000000000036</v>
          </cell>
          <cell r="AK540">
            <v>0.26192726906877362</v>
          </cell>
          <cell r="AY540">
            <v>0.52800000000000036</v>
          </cell>
          <cell r="BA540">
            <v>0.59657582323679315</v>
          </cell>
        </row>
        <row r="541">
          <cell r="S541">
            <v>0.52900000000000036</v>
          </cell>
          <cell r="U541">
            <v>0.61858255203428636</v>
          </cell>
          <cell r="AI541">
            <v>0.52900000000000036</v>
          </cell>
          <cell r="AK541">
            <v>0.21136433087557494</v>
          </cell>
          <cell r="AY541">
            <v>0.52900000000000036</v>
          </cell>
          <cell r="BA541">
            <v>0.66042054506057923</v>
          </cell>
        </row>
        <row r="542">
          <cell r="S542">
            <v>0.53000000000000036</v>
          </cell>
          <cell r="U542">
            <v>0.14093584083690752</v>
          </cell>
          <cell r="AI542">
            <v>0.53000000000000036</v>
          </cell>
          <cell r="AK542">
            <v>0.24177768536553956</v>
          </cell>
          <cell r="AY542">
            <v>0.53000000000000036</v>
          </cell>
          <cell r="BA542">
            <v>0.64043092135380109</v>
          </cell>
        </row>
        <row r="543">
          <cell r="S543">
            <v>0.53100000000000036</v>
          </cell>
          <cell r="U543">
            <v>0.59494884404643367</v>
          </cell>
          <cell r="AI543">
            <v>0.53100000000000036</v>
          </cell>
          <cell r="AK543">
            <v>0.35973340370528506</v>
          </cell>
          <cell r="AY543">
            <v>0.53100000000000036</v>
          </cell>
          <cell r="BA543">
            <v>9.7384563737907034E-2</v>
          </cell>
        </row>
        <row r="544">
          <cell r="S544">
            <v>0.53200000000000036</v>
          </cell>
          <cell r="U544">
            <v>0.53484323922564458</v>
          </cell>
          <cell r="AI544">
            <v>0.53200000000000036</v>
          </cell>
          <cell r="AK544">
            <v>0.35671650296275181</v>
          </cell>
          <cell r="AY544">
            <v>0.53200000000000036</v>
          </cell>
          <cell r="BA544">
            <v>0.30072939237647633</v>
          </cell>
        </row>
        <row r="545">
          <cell r="S545">
            <v>0.53300000000000036</v>
          </cell>
          <cell r="U545">
            <v>0.36798416558364483</v>
          </cell>
          <cell r="AI545">
            <v>0.53300000000000036</v>
          </cell>
          <cell r="AK545">
            <v>0.11000510146538715</v>
          </cell>
          <cell r="AY545">
            <v>0.53300000000000036</v>
          </cell>
          <cell r="BA545">
            <v>0.17258217108676413</v>
          </cell>
        </row>
        <row r="546">
          <cell r="S546">
            <v>0.53400000000000036</v>
          </cell>
          <cell r="U546">
            <v>0.59443349465622708</v>
          </cell>
          <cell r="AI546">
            <v>0.53400000000000036</v>
          </cell>
          <cell r="AK546">
            <v>0.11724052453601799</v>
          </cell>
          <cell r="AY546">
            <v>0.53400000000000036</v>
          </cell>
          <cell r="BA546">
            <v>0.99771111178930016</v>
          </cell>
        </row>
        <row r="547">
          <cell r="S547">
            <v>0.53500000000000036</v>
          </cell>
          <cell r="U547">
            <v>0.15846087730966862</v>
          </cell>
          <cell r="AI547">
            <v>0.53500000000000036</v>
          </cell>
          <cell r="AK547">
            <v>6.9200104778752075E-2</v>
          </cell>
          <cell r="AY547">
            <v>0.53500000000000036</v>
          </cell>
          <cell r="BA547">
            <v>4.1718802453688156E-2</v>
          </cell>
        </row>
        <row r="548">
          <cell r="S548">
            <v>0.53600000000000037</v>
          </cell>
          <cell r="U548">
            <v>0.44121877541216664</v>
          </cell>
          <cell r="AI548">
            <v>0.53600000000000037</v>
          </cell>
          <cell r="AK548">
            <v>0.23041180710405917</v>
          </cell>
          <cell r="AY548">
            <v>0.53600000000000037</v>
          </cell>
          <cell r="BA548">
            <v>0.32755516220587788</v>
          </cell>
        </row>
        <row r="549">
          <cell r="S549">
            <v>0.53700000000000037</v>
          </cell>
          <cell r="U549">
            <v>0.63868654082347343</v>
          </cell>
          <cell r="AI549">
            <v>0.53700000000000037</v>
          </cell>
          <cell r="AK549">
            <v>0.35642116071922647</v>
          </cell>
          <cell r="AY549">
            <v>0.53700000000000037</v>
          </cell>
          <cell r="BA549">
            <v>0.78789635914181955</v>
          </cell>
        </row>
        <row r="550">
          <cell r="S550">
            <v>0.53800000000000037</v>
          </cell>
          <cell r="U550">
            <v>0.82795786814089478</v>
          </cell>
          <cell r="AI550">
            <v>0.53800000000000037</v>
          </cell>
          <cell r="AK550">
            <v>0.19886678693942128</v>
          </cell>
          <cell r="AY550">
            <v>0.53800000000000037</v>
          </cell>
          <cell r="BA550">
            <v>0.23813592944120607</v>
          </cell>
        </row>
        <row r="551">
          <cell r="S551">
            <v>0.53900000000000037</v>
          </cell>
          <cell r="U551">
            <v>0.57910674021333697</v>
          </cell>
          <cell r="AI551">
            <v>0.53900000000000037</v>
          </cell>
          <cell r="AK551">
            <v>0.27579266727057061</v>
          </cell>
          <cell r="AY551">
            <v>0.53900000000000037</v>
          </cell>
          <cell r="BA551">
            <v>0.53975035859248632</v>
          </cell>
        </row>
        <row r="552">
          <cell r="S552">
            <v>0.54000000000000037</v>
          </cell>
          <cell r="U552">
            <v>0.29918331808662907</v>
          </cell>
          <cell r="AI552">
            <v>0.54000000000000037</v>
          </cell>
          <cell r="AK552">
            <v>0.12089938581186221</v>
          </cell>
          <cell r="AY552">
            <v>0.54000000000000037</v>
          </cell>
          <cell r="BA552">
            <v>0.7397991882076479</v>
          </cell>
        </row>
        <row r="553">
          <cell r="S553">
            <v>0.54100000000000037</v>
          </cell>
          <cell r="U553">
            <v>0.25268988536978076</v>
          </cell>
          <cell r="AI553">
            <v>0.54100000000000037</v>
          </cell>
          <cell r="AK553">
            <v>0.22419350986378062</v>
          </cell>
          <cell r="AY553">
            <v>0.54100000000000037</v>
          </cell>
          <cell r="BA553">
            <v>0.1389812921536912</v>
          </cell>
        </row>
        <row r="554">
          <cell r="S554">
            <v>0.54200000000000037</v>
          </cell>
          <cell r="U554">
            <v>0.41829828263715335</v>
          </cell>
          <cell r="AI554">
            <v>0.54200000000000037</v>
          </cell>
          <cell r="AK554">
            <v>0.11309796415870846</v>
          </cell>
          <cell r="AY554">
            <v>0.54200000000000037</v>
          </cell>
          <cell r="BA554">
            <v>0.50141911069063383</v>
          </cell>
        </row>
        <row r="555">
          <cell r="S555">
            <v>0.54300000000000037</v>
          </cell>
          <cell r="U555">
            <v>0.68211382233414986</v>
          </cell>
          <cell r="AI555">
            <v>0.54300000000000037</v>
          </cell>
          <cell r="AK555">
            <v>2.3379160700075272E-2</v>
          </cell>
          <cell r="AY555">
            <v>0.54300000000000037</v>
          </cell>
          <cell r="BA555">
            <v>0.55977050080874047</v>
          </cell>
        </row>
        <row r="556">
          <cell r="S556">
            <v>0.54400000000000037</v>
          </cell>
          <cell r="U556">
            <v>0.6030455763209579</v>
          </cell>
          <cell r="AI556">
            <v>0.54400000000000037</v>
          </cell>
          <cell r="AK556">
            <v>0.39236863026996571</v>
          </cell>
          <cell r="AY556">
            <v>0.54400000000000037</v>
          </cell>
          <cell r="BA556">
            <v>0.97079378643147074</v>
          </cell>
        </row>
        <row r="557">
          <cell r="S557">
            <v>0.54500000000000037</v>
          </cell>
          <cell r="U557">
            <v>0.48250296445386154</v>
          </cell>
          <cell r="AI557">
            <v>0.54500000000000037</v>
          </cell>
          <cell r="AK557">
            <v>6.8983678546359478E-2</v>
          </cell>
          <cell r="AY557">
            <v>0.54500000000000037</v>
          </cell>
          <cell r="BA557">
            <v>0.4107181005279702</v>
          </cell>
        </row>
        <row r="558">
          <cell r="S558">
            <v>0.54600000000000037</v>
          </cell>
          <cell r="U558">
            <v>0.42959290937582911</v>
          </cell>
          <cell r="AI558">
            <v>0.54600000000000037</v>
          </cell>
          <cell r="AK558">
            <v>0.25705663404320478</v>
          </cell>
          <cell r="AY558">
            <v>0.54600000000000037</v>
          </cell>
          <cell r="BA558">
            <v>0.27857295449690239</v>
          </cell>
        </row>
        <row r="559">
          <cell r="S559">
            <v>0.54700000000000037</v>
          </cell>
          <cell r="U559">
            <v>0.55367729249674558</v>
          </cell>
          <cell r="AI559">
            <v>0.54700000000000037</v>
          </cell>
          <cell r="AK559">
            <v>0.21742319163370261</v>
          </cell>
          <cell r="AY559">
            <v>0.54700000000000037</v>
          </cell>
          <cell r="BA559">
            <v>0.99249244666890468</v>
          </cell>
        </row>
        <row r="560">
          <cell r="S560">
            <v>0.54800000000000038</v>
          </cell>
          <cell r="U560">
            <v>0.1817045936519541</v>
          </cell>
          <cell r="AI560">
            <v>0.54800000000000038</v>
          </cell>
          <cell r="AK560">
            <v>9.9538465892653805E-2</v>
          </cell>
          <cell r="AY560">
            <v>0.54800000000000038</v>
          </cell>
          <cell r="BA560">
            <v>0.75728629413739434</v>
          </cell>
        </row>
        <row r="561">
          <cell r="S561">
            <v>0.54900000000000038</v>
          </cell>
          <cell r="U561">
            <v>0.70340782695459958</v>
          </cell>
          <cell r="AI561">
            <v>0.54900000000000038</v>
          </cell>
          <cell r="AK561">
            <v>0.26084218083838007</v>
          </cell>
          <cell r="AY561">
            <v>0.54900000000000038</v>
          </cell>
          <cell r="BA561">
            <v>0.6667378765221107</v>
          </cell>
        </row>
        <row r="562">
          <cell r="S562">
            <v>0.55000000000000038</v>
          </cell>
          <cell r="U562">
            <v>0.64035094880830368</v>
          </cell>
          <cell r="AI562">
            <v>0.55000000000000038</v>
          </cell>
          <cell r="AK562">
            <v>9.6376599728767331E-2</v>
          </cell>
          <cell r="AY562">
            <v>0.55000000000000038</v>
          </cell>
          <cell r="BA562">
            <v>5.6672872096926778E-2</v>
          </cell>
        </row>
        <row r="563">
          <cell r="S563">
            <v>0.55100000000000038</v>
          </cell>
          <cell r="U563">
            <v>0.41379614771359846</v>
          </cell>
          <cell r="AI563">
            <v>0.55100000000000038</v>
          </cell>
          <cell r="AK563">
            <v>0.1822298256175309</v>
          </cell>
          <cell r="AY563">
            <v>0.55100000000000038</v>
          </cell>
          <cell r="BA563">
            <v>0.84182256538590661</v>
          </cell>
        </row>
        <row r="564">
          <cell r="S564">
            <v>0.55200000000000038</v>
          </cell>
          <cell r="U564">
            <v>0.18754895395065652</v>
          </cell>
          <cell r="AI564">
            <v>0.55200000000000038</v>
          </cell>
          <cell r="AK564">
            <v>9.4629046422107913E-2</v>
          </cell>
          <cell r="AY564">
            <v>0.55200000000000038</v>
          </cell>
          <cell r="BA564">
            <v>0.19122898037659841</v>
          </cell>
        </row>
        <row r="565">
          <cell r="S565">
            <v>0.55300000000000038</v>
          </cell>
          <cell r="U565">
            <v>0.43822128403409666</v>
          </cell>
          <cell r="AI565">
            <v>0.55300000000000038</v>
          </cell>
          <cell r="AK565">
            <v>0.17031828959823628</v>
          </cell>
          <cell r="AY565">
            <v>0.55300000000000038</v>
          </cell>
          <cell r="BA565">
            <v>0.81905575731681268</v>
          </cell>
        </row>
        <row r="566">
          <cell r="S566">
            <v>0.55400000000000038</v>
          </cell>
          <cell r="U566">
            <v>0.45852957581681891</v>
          </cell>
          <cell r="AI566">
            <v>0.55400000000000038</v>
          </cell>
          <cell r="AK566">
            <v>0.15292806236316506</v>
          </cell>
          <cell r="AY566">
            <v>0.55400000000000038</v>
          </cell>
          <cell r="BA566">
            <v>3.5859248634296702E-2</v>
          </cell>
        </row>
        <row r="567">
          <cell r="S567">
            <v>0.55500000000000038</v>
          </cell>
          <cell r="U567">
            <v>0.40154668150091249</v>
          </cell>
          <cell r="AI567">
            <v>0.55500000000000038</v>
          </cell>
          <cell r="AK567">
            <v>0.32930086272846992</v>
          </cell>
          <cell r="AY567">
            <v>0.55500000000000038</v>
          </cell>
          <cell r="BA567">
            <v>0.19943845942564165</v>
          </cell>
        </row>
        <row r="568">
          <cell r="S568">
            <v>0.55600000000000038</v>
          </cell>
          <cell r="U568">
            <v>0.52712515147619421</v>
          </cell>
          <cell r="AI568">
            <v>0.55600000000000038</v>
          </cell>
          <cell r="AK568">
            <v>0.14003768049235213</v>
          </cell>
          <cell r="AY568">
            <v>0.55600000000000038</v>
          </cell>
          <cell r="BA568">
            <v>0.42225409710989714</v>
          </cell>
        </row>
        <row r="569">
          <cell r="S569">
            <v>0.55700000000000038</v>
          </cell>
          <cell r="U569">
            <v>0.60706772189759706</v>
          </cell>
          <cell r="AI569">
            <v>0.55700000000000038</v>
          </cell>
          <cell r="AK569">
            <v>0.1653720828946392</v>
          </cell>
          <cell r="AY569">
            <v>0.55700000000000038</v>
          </cell>
          <cell r="BA569">
            <v>0.64607684560686052</v>
          </cell>
        </row>
        <row r="570">
          <cell r="S570">
            <v>0.55800000000000038</v>
          </cell>
          <cell r="U570">
            <v>0.29337406925572412</v>
          </cell>
          <cell r="AI570">
            <v>0.55800000000000038</v>
          </cell>
          <cell r="AK570">
            <v>0.16737636933776223</v>
          </cell>
          <cell r="AY570">
            <v>0.55800000000000038</v>
          </cell>
          <cell r="BA570">
            <v>0.69969786675618761</v>
          </cell>
        </row>
        <row r="571">
          <cell r="S571">
            <v>0.55900000000000039</v>
          </cell>
          <cell r="U571">
            <v>0.10695642409166818</v>
          </cell>
          <cell r="AI571">
            <v>0.55900000000000039</v>
          </cell>
          <cell r="AK571">
            <v>0.13142485237773108</v>
          </cell>
          <cell r="AY571">
            <v>0.55900000000000039</v>
          </cell>
          <cell r="BA571">
            <v>0.65819269386883139</v>
          </cell>
        </row>
        <row r="572">
          <cell r="S572">
            <v>0.56000000000000039</v>
          </cell>
          <cell r="U572">
            <v>0.75613920007553248</v>
          </cell>
          <cell r="AI572">
            <v>0.56000000000000039</v>
          </cell>
          <cell r="AK572">
            <v>0.39027806784132124</v>
          </cell>
          <cell r="AY572">
            <v>0.56000000000000039</v>
          </cell>
          <cell r="BA572">
            <v>4.12915433210242E-2</v>
          </cell>
        </row>
        <row r="573">
          <cell r="S573">
            <v>0.56100000000000039</v>
          </cell>
          <cell r="U573">
            <v>0.28149457251467569</v>
          </cell>
          <cell r="AI573">
            <v>0.56100000000000039</v>
          </cell>
          <cell r="AK573">
            <v>6.5452744361359644E-2</v>
          </cell>
          <cell r="AY573">
            <v>0.56100000000000039</v>
          </cell>
          <cell r="BA573">
            <v>0.76598406933805352</v>
          </cell>
        </row>
        <row r="574">
          <cell r="S574">
            <v>0.56200000000000039</v>
          </cell>
          <cell r="U574">
            <v>0.62546389017720649</v>
          </cell>
          <cell r="AI574">
            <v>0.56200000000000039</v>
          </cell>
          <cell r="AK574">
            <v>0.35751956794447592</v>
          </cell>
          <cell r="AY574">
            <v>0.56200000000000039</v>
          </cell>
          <cell r="BA574">
            <v>0.52021851252784812</v>
          </cell>
        </row>
        <row r="575">
          <cell r="S575">
            <v>0.56300000000000039</v>
          </cell>
          <cell r="U575">
            <v>0.52183935302247275</v>
          </cell>
          <cell r="AI575">
            <v>0.56300000000000039</v>
          </cell>
          <cell r="AK575">
            <v>0.10432085624215469</v>
          </cell>
          <cell r="AY575">
            <v>0.56300000000000039</v>
          </cell>
          <cell r="BA575">
            <v>0.32166508987701042</v>
          </cell>
        </row>
        <row r="576">
          <cell r="S576">
            <v>0.56400000000000039</v>
          </cell>
          <cell r="U576">
            <v>0.55687765873466932</v>
          </cell>
          <cell r="AI576">
            <v>0.56400000000000039</v>
          </cell>
          <cell r="AK576">
            <v>0.16753175484098029</v>
          </cell>
          <cell r="AY576">
            <v>0.56400000000000039</v>
          </cell>
          <cell r="BA576">
            <v>0.67757194738608961</v>
          </cell>
        </row>
        <row r="577">
          <cell r="S577">
            <v>0.56500000000000039</v>
          </cell>
          <cell r="U577">
            <v>0.30329829401762104</v>
          </cell>
          <cell r="AI577">
            <v>0.56500000000000039</v>
          </cell>
          <cell r="AK577">
            <v>0.23557690860348968</v>
          </cell>
          <cell r="AY577">
            <v>0.56500000000000039</v>
          </cell>
          <cell r="BA577">
            <v>0.97131260109256268</v>
          </cell>
        </row>
        <row r="578">
          <cell r="S578">
            <v>0.56600000000000039</v>
          </cell>
          <cell r="U578">
            <v>0.34542444338174644</v>
          </cell>
          <cell r="AI578">
            <v>0.56600000000000039</v>
          </cell>
          <cell r="AK578">
            <v>0.31395088017062001</v>
          </cell>
          <cell r="AY578">
            <v>0.56600000000000039</v>
          </cell>
          <cell r="BA578">
            <v>0.57951597643971064</v>
          </cell>
        </row>
        <row r="579">
          <cell r="S579">
            <v>0.56700000000000039</v>
          </cell>
          <cell r="U579">
            <v>0.63123800434810518</v>
          </cell>
          <cell r="AI579">
            <v>0.56700000000000039</v>
          </cell>
          <cell r="AK579">
            <v>0.16607750237894187</v>
          </cell>
          <cell r="AY579">
            <v>0.56700000000000039</v>
          </cell>
          <cell r="BA579">
            <v>6.543168431653798E-2</v>
          </cell>
        </row>
        <row r="580">
          <cell r="S580">
            <v>0.56800000000000039</v>
          </cell>
          <cell r="U580">
            <v>0.34958067319787289</v>
          </cell>
          <cell r="AI580">
            <v>0.56800000000000039</v>
          </cell>
          <cell r="AK580">
            <v>0.21737380067087064</v>
          </cell>
          <cell r="AY580">
            <v>0.56800000000000039</v>
          </cell>
          <cell r="BA580">
            <v>0.83950315866573078</v>
          </cell>
        </row>
        <row r="581">
          <cell r="S581">
            <v>0.56900000000000039</v>
          </cell>
          <cell r="U581">
            <v>0.42536143854695802</v>
          </cell>
          <cell r="AI581">
            <v>0.56900000000000039</v>
          </cell>
          <cell r="AK581">
            <v>0.21897710380145463</v>
          </cell>
          <cell r="AY581">
            <v>0.56900000000000039</v>
          </cell>
          <cell r="BA581">
            <v>0.83098849452192758</v>
          </cell>
        </row>
        <row r="582">
          <cell r="S582">
            <v>0.5700000000000004</v>
          </cell>
          <cell r="U582">
            <v>0.48670164006497679</v>
          </cell>
          <cell r="AI582">
            <v>0.5700000000000004</v>
          </cell>
          <cell r="AK582">
            <v>8.829951745671874E-2</v>
          </cell>
          <cell r="AY582">
            <v>0.5700000000000004</v>
          </cell>
          <cell r="BA582">
            <v>0.38782921842097234</v>
          </cell>
        </row>
        <row r="583">
          <cell r="S583">
            <v>0.5710000000000004</v>
          </cell>
          <cell r="U583">
            <v>0.53860857373246995</v>
          </cell>
          <cell r="AI583">
            <v>0.5710000000000004</v>
          </cell>
          <cell r="AK583">
            <v>0.17844436744763192</v>
          </cell>
          <cell r="AY583">
            <v>0.5710000000000004</v>
          </cell>
          <cell r="BA583">
            <v>0.20676290169988099</v>
          </cell>
        </row>
        <row r="584">
          <cell r="S584">
            <v>0.5720000000000004</v>
          </cell>
          <cell r="U584">
            <v>0.39248893353403341</v>
          </cell>
          <cell r="AI584">
            <v>0.5720000000000004</v>
          </cell>
          <cell r="AK584">
            <v>0.21525331474071197</v>
          </cell>
          <cell r="AY584">
            <v>0.5720000000000004</v>
          </cell>
          <cell r="BA584">
            <v>0.53102206488235115</v>
          </cell>
        </row>
        <row r="585">
          <cell r="S585">
            <v>0.5730000000000004</v>
          </cell>
          <cell r="U585">
            <v>0.4017810534206529</v>
          </cell>
          <cell r="AI585">
            <v>0.5730000000000004</v>
          </cell>
          <cell r="AK585">
            <v>0.10423338683074851</v>
          </cell>
          <cell r="AY585">
            <v>0.5730000000000004</v>
          </cell>
          <cell r="BA585">
            <v>0.96655171361430703</v>
          </cell>
        </row>
        <row r="586">
          <cell r="S586">
            <v>0.5740000000000004</v>
          </cell>
          <cell r="U586">
            <v>0.52225256558620314</v>
          </cell>
          <cell r="AI586">
            <v>0.5740000000000004</v>
          </cell>
          <cell r="AK586">
            <v>8.5059079396725384E-2</v>
          </cell>
          <cell r="AY586">
            <v>0.5740000000000004</v>
          </cell>
          <cell r="BA586">
            <v>0.68083742790002133</v>
          </cell>
        </row>
        <row r="587">
          <cell r="S587">
            <v>0.5750000000000004</v>
          </cell>
          <cell r="U587">
            <v>0.30718249685576238</v>
          </cell>
          <cell r="AI587">
            <v>0.5750000000000004</v>
          </cell>
          <cell r="AK587">
            <v>0.16313767418772587</v>
          </cell>
          <cell r="AY587">
            <v>0.5750000000000004</v>
          </cell>
          <cell r="BA587">
            <v>0.23844111453596609</v>
          </cell>
        </row>
        <row r="588">
          <cell r="S588">
            <v>0.5760000000000004</v>
          </cell>
          <cell r="U588">
            <v>0.41836328759162222</v>
          </cell>
          <cell r="AI588">
            <v>0.5760000000000004</v>
          </cell>
          <cell r="AK588">
            <v>8.3369945606141263E-2</v>
          </cell>
          <cell r="AY588">
            <v>0.5760000000000004</v>
          </cell>
          <cell r="BA588">
            <v>0.67458113345744197</v>
          </cell>
        </row>
        <row r="589">
          <cell r="S589">
            <v>0.5770000000000004</v>
          </cell>
          <cell r="U589">
            <v>0.40142945516241169</v>
          </cell>
          <cell r="AI589">
            <v>0.5770000000000004</v>
          </cell>
          <cell r="AK589">
            <v>0.30347924568164919</v>
          </cell>
          <cell r="AY589">
            <v>0.5770000000000004</v>
          </cell>
          <cell r="BA589">
            <v>0.90804773094882041</v>
          </cell>
        </row>
        <row r="590">
          <cell r="S590">
            <v>0.5780000000000004</v>
          </cell>
          <cell r="U590">
            <v>0.55813575836921825</v>
          </cell>
          <cell r="AI590">
            <v>0.5780000000000004</v>
          </cell>
          <cell r="AK590">
            <v>0.20367761040435117</v>
          </cell>
          <cell r="AY590">
            <v>0.5780000000000004</v>
          </cell>
          <cell r="BA590">
            <v>0.47624134037293619</v>
          </cell>
        </row>
        <row r="591">
          <cell r="S591">
            <v>0.5790000000000004</v>
          </cell>
          <cell r="U591">
            <v>0.37164208159889972</v>
          </cell>
          <cell r="AI591">
            <v>0.5790000000000004</v>
          </cell>
          <cell r="AK591">
            <v>0.11312243176369567</v>
          </cell>
          <cell r="AY591">
            <v>0.5790000000000004</v>
          </cell>
          <cell r="BA591">
            <v>0.78362376781517995</v>
          </cell>
        </row>
        <row r="592">
          <cell r="S592">
            <v>0.5800000000000004</v>
          </cell>
          <cell r="U592">
            <v>0.52749336806609737</v>
          </cell>
          <cell r="AI592">
            <v>0.5800000000000004</v>
          </cell>
          <cell r="AK592">
            <v>0.13216420907583182</v>
          </cell>
          <cell r="AY592">
            <v>0.5800000000000004</v>
          </cell>
          <cell r="BA592">
            <v>0.87194433423871576</v>
          </cell>
        </row>
        <row r="593">
          <cell r="S593">
            <v>0.58100000000000041</v>
          </cell>
          <cell r="U593">
            <v>0.65187538361851582</v>
          </cell>
          <cell r="AI593">
            <v>0.58100000000000041</v>
          </cell>
          <cell r="AK593">
            <v>0.12099260367756712</v>
          </cell>
          <cell r="AY593">
            <v>0.58100000000000041</v>
          </cell>
          <cell r="BA593">
            <v>0.93652150028992587</v>
          </cell>
        </row>
        <row r="594">
          <cell r="S594">
            <v>0.58200000000000041</v>
          </cell>
          <cell r="U594">
            <v>0.70531859856466195</v>
          </cell>
          <cell r="AI594">
            <v>0.58200000000000041</v>
          </cell>
          <cell r="AK594">
            <v>0.13695412712778796</v>
          </cell>
          <cell r="AY594">
            <v>0.58200000000000041</v>
          </cell>
          <cell r="BA594">
            <v>0.17160557878353222</v>
          </cell>
        </row>
        <row r="595">
          <cell r="S595">
            <v>0.58300000000000041</v>
          </cell>
          <cell r="U595">
            <v>0.4720462604205245</v>
          </cell>
          <cell r="AI595">
            <v>0.58300000000000041</v>
          </cell>
          <cell r="AK595">
            <v>0.16001783321548921</v>
          </cell>
          <cell r="AY595">
            <v>0.58300000000000041</v>
          </cell>
          <cell r="BA595">
            <v>0.42738120670186469</v>
          </cell>
        </row>
        <row r="596">
          <cell r="S596">
            <v>0.58400000000000041</v>
          </cell>
          <cell r="U596">
            <v>0.47644609767952772</v>
          </cell>
          <cell r="AI596">
            <v>0.58400000000000041</v>
          </cell>
          <cell r="AK596">
            <v>0.17629776422061211</v>
          </cell>
          <cell r="AY596">
            <v>0.58400000000000041</v>
          </cell>
          <cell r="BA596">
            <v>0.53428754539628287</v>
          </cell>
        </row>
        <row r="597">
          <cell r="S597">
            <v>0.58500000000000041</v>
          </cell>
          <cell r="U597">
            <v>0.14179397833354282</v>
          </cell>
          <cell r="AI597">
            <v>0.58500000000000041</v>
          </cell>
          <cell r="AK597">
            <v>0.32239138219552632</v>
          </cell>
          <cell r="AY597">
            <v>0.58500000000000041</v>
          </cell>
          <cell r="BA597">
            <v>0.81902523880733669</v>
          </cell>
        </row>
        <row r="598">
          <cell r="S598">
            <v>0.58600000000000041</v>
          </cell>
          <cell r="U598">
            <v>0.46645077565478837</v>
          </cell>
          <cell r="AI598">
            <v>0.58600000000000041</v>
          </cell>
          <cell r="AK598">
            <v>0.3075052049059146</v>
          </cell>
          <cell r="AY598">
            <v>0.58600000000000041</v>
          </cell>
          <cell r="BA598">
            <v>0.96444593646046328</v>
          </cell>
        </row>
        <row r="599">
          <cell r="S599">
            <v>0.58700000000000041</v>
          </cell>
          <cell r="U599">
            <v>0.62163818395609183</v>
          </cell>
          <cell r="AI599">
            <v>0.58700000000000041</v>
          </cell>
          <cell r="AK599">
            <v>0.28575284247852284</v>
          </cell>
          <cell r="AY599">
            <v>0.58700000000000041</v>
          </cell>
          <cell r="BA599">
            <v>0.58171330912198249</v>
          </cell>
        </row>
        <row r="600">
          <cell r="S600">
            <v>0.58800000000000041</v>
          </cell>
          <cell r="U600">
            <v>0.23481647188589405</v>
          </cell>
          <cell r="AI600">
            <v>0.58800000000000041</v>
          </cell>
          <cell r="AK600">
            <v>0.19377351082451233</v>
          </cell>
          <cell r="AY600">
            <v>0.58800000000000041</v>
          </cell>
          <cell r="BA600">
            <v>0.91253395184179209</v>
          </cell>
        </row>
        <row r="601">
          <cell r="S601">
            <v>0.58900000000000041</v>
          </cell>
          <cell r="U601">
            <v>0.31225470269772682</v>
          </cell>
          <cell r="AI601">
            <v>0.58900000000000041</v>
          </cell>
          <cell r="AK601">
            <v>0.20631334582445349</v>
          </cell>
          <cell r="AY601">
            <v>0.58900000000000041</v>
          </cell>
          <cell r="BA601">
            <v>0.84231086153752255</v>
          </cell>
        </row>
        <row r="602">
          <cell r="S602">
            <v>0.59000000000000041</v>
          </cell>
          <cell r="U602">
            <v>0.5221454294604897</v>
          </cell>
          <cell r="AI602">
            <v>0.59000000000000041</v>
          </cell>
          <cell r="AK602">
            <v>0.29485217192643298</v>
          </cell>
          <cell r="AY602">
            <v>0.59000000000000041</v>
          </cell>
          <cell r="BA602">
            <v>0.37559129612109743</v>
          </cell>
        </row>
        <row r="603">
          <cell r="S603">
            <v>0.59100000000000041</v>
          </cell>
          <cell r="U603">
            <v>0.83733136621697668</v>
          </cell>
          <cell r="AI603">
            <v>0.59100000000000041</v>
          </cell>
          <cell r="AK603">
            <v>0.21504167130169838</v>
          </cell>
          <cell r="AY603">
            <v>0.59100000000000041</v>
          </cell>
          <cell r="BA603">
            <v>3.9704580828272343E-2</v>
          </cell>
        </row>
        <row r="604">
          <cell r="S604">
            <v>0.59200000000000041</v>
          </cell>
          <cell r="U604">
            <v>0.747250510449605</v>
          </cell>
          <cell r="AI604">
            <v>0.59200000000000041</v>
          </cell>
          <cell r="AK604">
            <v>0.22770089551049932</v>
          </cell>
          <cell r="AY604">
            <v>0.59200000000000041</v>
          </cell>
          <cell r="BA604">
            <v>5.9358500930814538E-2</v>
          </cell>
        </row>
        <row r="605">
          <cell r="S605">
            <v>0.59300000000000042</v>
          </cell>
          <cell r="U605">
            <v>0.26375321825802533</v>
          </cell>
          <cell r="AI605">
            <v>0.59300000000000042</v>
          </cell>
          <cell r="AK605">
            <v>0.29324599294810383</v>
          </cell>
          <cell r="AY605">
            <v>0.59300000000000042</v>
          </cell>
          <cell r="BA605">
            <v>5.185094759971922E-2</v>
          </cell>
        </row>
        <row r="606">
          <cell r="S606">
            <v>0.59400000000000042</v>
          </cell>
          <cell r="U606">
            <v>0.15024012781977372</v>
          </cell>
          <cell r="AI606">
            <v>0.59400000000000042</v>
          </cell>
          <cell r="AK606">
            <v>0.25386262013187866</v>
          </cell>
          <cell r="AY606">
            <v>0.59400000000000042</v>
          </cell>
          <cell r="BA606">
            <v>0.15790276802880948</v>
          </cell>
        </row>
        <row r="607">
          <cell r="S607">
            <v>0.59500000000000042</v>
          </cell>
          <cell r="U607">
            <v>0.66953671659776748</v>
          </cell>
          <cell r="AI607">
            <v>0.59500000000000042</v>
          </cell>
          <cell r="AK607">
            <v>0.34951133916281307</v>
          </cell>
          <cell r="AY607">
            <v>0.59500000000000042</v>
          </cell>
          <cell r="BA607">
            <v>0.3758049256874294</v>
          </cell>
        </row>
        <row r="608">
          <cell r="S608">
            <v>0.59600000000000042</v>
          </cell>
          <cell r="U608">
            <v>0.33271872897518229</v>
          </cell>
          <cell r="AI608">
            <v>0.59600000000000042</v>
          </cell>
          <cell r="AK608">
            <v>0.17514188699356917</v>
          </cell>
          <cell r="AY608">
            <v>0.59600000000000042</v>
          </cell>
          <cell r="BA608">
            <v>0.2542497024445326</v>
          </cell>
        </row>
        <row r="609">
          <cell r="S609">
            <v>0.59700000000000042</v>
          </cell>
          <cell r="U609">
            <v>0.31073786920577801</v>
          </cell>
          <cell r="AI609">
            <v>0.59700000000000042</v>
          </cell>
          <cell r="AK609">
            <v>0.30532427112454041</v>
          </cell>
          <cell r="AY609">
            <v>0.59700000000000042</v>
          </cell>
          <cell r="BA609">
            <v>0.10208441419721061</v>
          </cell>
        </row>
        <row r="610">
          <cell r="S610">
            <v>0.59800000000000042</v>
          </cell>
          <cell r="U610">
            <v>0.37085225404282474</v>
          </cell>
          <cell r="AI610">
            <v>0.59800000000000042</v>
          </cell>
          <cell r="AK610">
            <v>0.19100354778256778</v>
          </cell>
          <cell r="AY610">
            <v>0.59800000000000042</v>
          </cell>
          <cell r="BA610">
            <v>0.37015900143436997</v>
          </cell>
        </row>
        <row r="611">
          <cell r="S611">
            <v>0.59900000000000042</v>
          </cell>
          <cell r="U611">
            <v>0.46162319543238756</v>
          </cell>
          <cell r="AI611">
            <v>0.59900000000000042</v>
          </cell>
          <cell r="AK611">
            <v>0.3414450924215483</v>
          </cell>
          <cell r="AY611">
            <v>0.59900000000000042</v>
          </cell>
          <cell r="BA611">
            <v>0.84743797112949004</v>
          </cell>
        </row>
        <row r="612">
          <cell r="S612">
            <v>0.60000000000000042</v>
          </cell>
          <cell r="U612">
            <v>0.63216072814226831</v>
          </cell>
          <cell r="AI612">
            <v>0.60000000000000042</v>
          </cell>
          <cell r="AK612">
            <v>0.40678172716719851</v>
          </cell>
          <cell r="AY612">
            <v>0.60000000000000042</v>
          </cell>
          <cell r="BA612">
            <v>0.92239143040253913</v>
          </cell>
        </row>
        <row r="613">
          <cell r="S613">
            <v>0.60100000000000042</v>
          </cell>
          <cell r="U613">
            <v>0.36057471230144955</v>
          </cell>
          <cell r="AI613">
            <v>0.60100000000000042</v>
          </cell>
          <cell r="AK613">
            <v>0.18129145585211129</v>
          </cell>
          <cell r="AY613">
            <v>0.60100000000000042</v>
          </cell>
          <cell r="BA613">
            <v>0.62404248176519062</v>
          </cell>
        </row>
        <row r="614">
          <cell r="S614">
            <v>0.60200000000000042</v>
          </cell>
          <cell r="U614">
            <v>0.82316932898857997</v>
          </cell>
          <cell r="AI614">
            <v>0.60200000000000042</v>
          </cell>
          <cell r="AK614">
            <v>7.523931545928747E-2</v>
          </cell>
          <cell r="AY614">
            <v>0.60200000000000042</v>
          </cell>
          <cell r="BA614">
            <v>0.89898373363444928</v>
          </cell>
        </row>
        <row r="615">
          <cell r="S615">
            <v>0.60300000000000042</v>
          </cell>
          <cell r="U615">
            <v>0.75576100591953543</v>
          </cell>
          <cell r="AI615">
            <v>0.60300000000000042</v>
          </cell>
          <cell r="AK615">
            <v>0.1227626204752532</v>
          </cell>
          <cell r="AY615">
            <v>0.60300000000000042</v>
          </cell>
          <cell r="BA615">
            <v>0.95547349467452014</v>
          </cell>
        </row>
        <row r="616">
          <cell r="S616">
            <v>0.60400000000000043</v>
          </cell>
          <cell r="U616">
            <v>0.10445950405760594</v>
          </cell>
          <cell r="AI616">
            <v>0.60400000000000043</v>
          </cell>
          <cell r="AK616">
            <v>0.25122891665605274</v>
          </cell>
          <cell r="AY616">
            <v>0.60400000000000043</v>
          </cell>
          <cell r="BA616">
            <v>0.57927182836390267</v>
          </cell>
        </row>
        <row r="617">
          <cell r="S617">
            <v>0.60500000000000043</v>
          </cell>
          <cell r="U617">
            <v>0.42768868091488854</v>
          </cell>
          <cell r="AI617">
            <v>0.60500000000000043</v>
          </cell>
          <cell r="AK617">
            <v>0.15960944769499652</v>
          </cell>
          <cell r="AY617">
            <v>0.60500000000000043</v>
          </cell>
          <cell r="BA617">
            <v>0.51710562456129638</v>
          </cell>
        </row>
        <row r="618">
          <cell r="S618">
            <v>0.60600000000000043</v>
          </cell>
          <cell r="U618">
            <v>0.58028937971930539</v>
          </cell>
          <cell r="AI618">
            <v>0.60600000000000043</v>
          </cell>
          <cell r="AK618">
            <v>0.10734121814258329</v>
          </cell>
          <cell r="AY618">
            <v>0.60600000000000043</v>
          </cell>
          <cell r="BA618">
            <v>0.20880764183477277</v>
          </cell>
        </row>
        <row r="619">
          <cell r="S619">
            <v>0.60700000000000043</v>
          </cell>
          <cell r="U619">
            <v>0.52947378345568086</v>
          </cell>
          <cell r="AI619">
            <v>0.60700000000000043</v>
          </cell>
          <cell r="AK619">
            <v>0.16374362933858119</v>
          </cell>
          <cell r="AY619">
            <v>0.60700000000000043</v>
          </cell>
          <cell r="BA619">
            <v>0.31873531296731467</v>
          </cell>
        </row>
        <row r="620">
          <cell r="S620">
            <v>0.60800000000000043</v>
          </cell>
          <cell r="U620">
            <v>0.43019992693940601</v>
          </cell>
          <cell r="AI620">
            <v>0.60800000000000043</v>
          </cell>
          <cell r="AK620">
            <v>7.6076981861436577E-2</v>
          </cell>
          <cell r="AY620">
            <v>0.60800000000000043</v>
          </cell>
          <cell r="BA620">
            <v>0.83172093874935149</v>
          </cell>
        </row>
        <row r="621">
          <cell r="S621">
            <v>0.60900000000000043</v>
          </cell>
          <cell r="U621">
            <v>0.33391012596822017</v>
          </cell>
          <cell r="AI621">
            <v>0.60900000000000043</v>
          </cell>
          <cell r="AK621">
            <v>5.2283633139409029E-2</v>
          </cell>
          <cell r="AY621">
            <v>0.60900000000000043</v>
          </cell>
          <cell r="BA621">
            <v>7.0650349436933504E-2</v>
          </cell>
        </row>
        <row r="622">
          <cell r="S622">
            <v>0.61000000000000043</v>
          </cell>
          <cell r="U622">
            <v>0.31782193040931567</v>
          </cell>
          <cell r="AI622">
            <v>0.61000000000000043</v>
          </cell>
          <cell r="AK622">
            <v>0.18684340421390883</v>
          </cell>
          <cell r="AY622">
            <v>0.61000000000000043</v>
          </cell>
          <cell r="BA622">
            <v>0.60185552537614062</v>
          </cell>
        </row>
        <row r="623">
          <cell r="S623">
            <v>0.61100000000000043</v>
          </cell>
          <cell r="U623">
            <v>0.60531551412999018</v>
          </cell>
          <cell r="AI623">
            <v>0.61100000000000043</v>
          </cell>
          <cell r="AK623">
            <v>0.27506638608799916</v>
          </cell>
          <cell r="AY623">
            <v>0.61100000000000043</v>
          </cell>
          <cell r="BA623">
            <v>1.9470809045686214E-2</v>
          </cell>
        </row>
        <row r="624">
          <cell r="S624">
            <v>0.61200000000000043</v>
          </cell>
          <cell r="U624">
            <v>0.53262559131687515</v>
          </cell>
          <cell r="AI624">
            <v>0.61200000000000043</v>
          </cell>
          <cell r="AK624">
            <v>9.1465905108696177E-2</v>
          </cell>
          <cell r="AY624">
            <v>0.61200000000000043</v>
          </cell>
          <cell r="BA624">
            <v>0.9668568987090671</v>
          </cell>
        </row>
        <row r="625">
          <cell r="S625">
            <v>0.61300000000000043</v>
          </cell>
          <cell r="U625">
            <v>0.54179568842196546</v>
          </cell>
          <cell r="AI625">
            <v>0.61300000000000043</v>
          </cell>
          <cell r="AK625">
            <v>0.38116579256724026</v>
          </cell>
          <cell r="AY625">
            <v>0.61300000000000043</v>
          </cell>
          <cell r="BA625">
            <v>0.32218390453810236</v>
          </cell>
        </row>
        <row r="626">
          <cell r="S626">
            <v>0.61400000000000043</v>
          </cell>
          <cell r="U626">
            <v>0.39281295770667179</v>
          </cell>
          <cell r="AI626">
            <v>0.61400000000000043</v>
          </cell>
          <cell r="AK626">
            <v>0.11755771731353479</v>
          </cell>
          <cell r="AY626">
            <v>0.61400000000000043</v>
          </cell>
          <cell r="BA626">
            <v>0.76894436475722527</v>
          </cell>
        </row>
        <row r="627">
          <cell r="S627">
            <v>0.61500000000000044</v>
          </cell>
          <cell r="U627">
            <v>0.57952770351119431</v>
          </cell>
          <cell r="AI627">
            <v>0.61500000000000044</v>
          </cell>
          <cell r="AK627">
            <v>0.10246039982286477</v>
          </cell>
          <cell r="AY627">
            <v>0.61500000000000044</v>
          </cell>
          <cell r="BA627">
            <v>7.5472273934141049E-2</v>
          </cell>
        </row>
        <row r="628">
          <cell r="S628">
            <v>0.61600000000000044</v>
          </cell>
          <cell r="U628">
            <v>0.35948216706197755</v>
          </cell>
          <cell r="AI628">
            <v>0.61600000000000044</v>
          </cell>
          <cell r="AK628">
            <v>0.23923366903406007</v>
          </cell>
          <cell r="AY628">
            <v>0.61600000000000044</v>
          </cell>
          <cell r="BA628">
            <v>0.16031373027741325</v>
          </cell>
        </row>
        <row r="629">
          <cell r="S629">
            <v>0.61700000000000044</v>
          </cell>
          <cell r="U629">
            <v>0.52612824985611417</v>
          </cell>
          <cell r="AI629">
            <v>0.61700000000000044</v>
          </cell>
          <cell r="AK629">
            <v>9.0802368053169227E-2</v>
          </cell>
          <cell r="AY629">
            <v>0.61700000000000044</v>
          </cell>
          <cell r="BA629">
            <v>0.5578173162022767</v>
          </cell>
        </row>
        <row r="630">
          <cell r="S630">
            <v>0.61800000000000044</v>
          </cell>
          <cell r="U630">
            <v>0.63265016685654452</v>
          </cell>
          <cell r="AI630">
            <v>0.61800000000000044</v>
          </cell>
          <cell r="AK630">
            <v>0.22271472201452769</v>
          </cell>
          <cell r="AY630">
            <v>0.61800000000000044</v>
          </cell>
          <cell r="BA630">
            <v>0.91274758140812406</v>
          </cell>
        </row>
        <row r="631">
          <cell r="S631">
            <v>0.61900000000000044</v>
          </cell>
          <cell r="U631">
            <v>0.37744416589163948</v>
          </cell>
          <cell r="AI631">
            <v>0.61900000000000044</v>
          </cell>
          <cell r="AK631">
            <v>0.17007752063256359</v>
          </cell>
          <cell r="AY631">
            <v>0.61900000000000044</v>
          </cell>
          <cell r="BA631">
            <v>0.19562364574114199</v>
          </cell>
        </row>
        <row r="632">
          <cell r="S632">
            <v>0.62000000000000044</v>
          </cell>
          <cell r="U632">
            <v>0.34497856702118451</v>
          </cell>
          <cell r="AI632">
            <v>0.62000000000000044</v>
          </cell>
          <cell r="AK632">
            <v>0.15598214251796208</v>
          </cell>
          <cell r="AY632">
            <v>0.62000000000000044</v>
          </cell>
          <cell r="BA632">
            <v>0.83477278969695123</v>
          </cell>
        </row>
        <row r="633">
          <cell r="S633">
            <v>0.62100000000000044</v>
          </cell>
          <cell r="U633">
            <v>0.76451364574308855</v>
          </cell>
          <cell r="AI633">
            <v>0.62100000000000044</v>
          </cell>
          <cell r="AK633">
            <v>0.3633556315974098</v>
          </cell>
          <cell r="AY633">
            <v>0.62100000000000044</v>
          </cell>
          <cell r="BA633">
            <v>0.36173589281899471</v>
          </cell>
        </row>
        <row r="634">
          <cell r="S634">
            <v>0.62200000000000044</v>
          </cell>
          <cell r="U634">
            <v>0.53114888407720195</v>
          </cell>
          <cell r="AI634">
            <v>0.62200000000000044</v>
          </cell>
          <cell r="AK634">
            <v>0.2139138754490556</v>
          </cell>
          <cell r="AY634">
            <v>0.62200000000000044</v>
          </cell>
          <cell r="BA634">
            <v>0.22443311868648336</v>
          </cell>
        </row>
        <row r="635">
          <cell r="S635">
            <v>0.62300000000000044</v>
          </cell>
          <cell r="U635">
            <v>0.51541994929615242</v>
          </cell>
          <cell r="AI635">
            <v>0.62300000000000044</v>
          </cell>
          <cell r="AK635">
            <v>0.11211578450546823</v>
          </cell>
          <cell r="AY635">
            <v>0.62300000000000044</v>
          </cell>
          <cell r="BA635">
            <v>0.47483748893704031</v>
          </cell>
        </row>
        <row r="636">
          <cell r="S636">
            <v>0.62400000000000044</v>
          </cell>
          <cell r="U636">
            <v>0.70953118837682427</v>
          </cell>
          <cell r="AI636">
            <v>0.62400000000000044</v>
          </cell>
          <cell r="AK636">
            <v>0.42769117547671132</v>
          </cell>
          <cell r="AY636">
            <v>0.62400000000000044</v>
          </cell>
          <cell r="BA636">
            <v>0.19986571855830562</v>
          </cell>
        </row>
        <row r="637">
          <cell r="S637">
            <v>0.62500000000000044</v>
          </cell>
          <cell r="U637">
            <v>2.8799220027676622E-2</v>
          </cell>
          <cell r="AI637">
            <v>0.62500000000000044</v>
          </cell>
          <cell r="AK637">
            <v>0.26706163152908446</v>
          </cell>
          <cell r="AY637">
            <v>0.62500000000000044</v>
          </cell>
          <cell r="BA637">
            <v>0.12082277901547286</v>
          </cell>
        </row>
        <row r="638">
          <cell r="S638">
            <v>0.62600000000000044</v>
          </cell>
          <cell r="U638">
            <v>0.26527986211471932</v>
          </cell>
          <cell r="AI638">
            <v>0.62600000000000044</v>
          </cell>
          <cell r="AK638">
            <v>0.35184093297816377</v>
          </cell>
          <cell r="AY638">
            <v>0.62600000000000044</v>
          </cell>
          <cell r="BA638">
            <v>0.99514755699331647</v>
          </cell>
        </row>
        <row r="639">
          <cell r="S639">
            <v>0.62700000000000045</v>
          </cell>
          <cell r="U639">
            <v>0.88620524861208261</v>
          </cell>
          <cell r="AI639">
            <v>0.62700000000000045</v>
          </cell>
          <cell r="AK639">
            <v>6.3369815087940276E-2</v>
          </cell>
          <cell r="AY639">
            <v>0.62700000000000045</v>
          </cell>
          <cell r="BA639">
            <v>0.18485061189611501</v>
          </cell>
        </row>
        <row r="640">
          <cell r="S640">
            <v>0.62800000000000045</v>
          </cell>
          <cell r="U640">
            <v>0.18568927513336966</v>
          </cell>
          <cell r="AI640">
            <v>0.62800000000000045</v>
          </cell>
          <cell r="AK640">
            <v>0.34191121831719717</v>
          </cell>
          <cell r="AY640">
            <v>0.62800000000000045</v>
          </cell>
          <cell r="BA640">
            <v>0.50563066499832143</v>
          </cell>
        </row>
        <row r="641">
          <cell r="S641">
            <v>0.62900000000000045</v>
          </cell>
          <cell r="U641">
            <v>0.42515240597648912</v>
          </cell>
          <cell r="AI641">
            <v>0.62900000000000045</v>
          </cell>
          <cell r="AK641">
            <v>0.14421358716246685</v>
          </cell>
          <cell r="AY641">
            <v>0.62900000000000045</v>
          </cell>
          <cell r="BA641">
            <v>0.39042329172643209</v>
          </cell>
        </row>
        <row r="642">
          <cell r="S642">
            <v>0.63000000000000045</v>
          </cell>
          <cell r="U642">
            <v>0.69136659435632564</v>
          </cell>
          <cell r="AI642">
            <v>0.63000000000000045</v>
          </cell>
          <cell r="AK642">
            <v>0.20638371792096877</v>
          </cell>
          <cell r="AY642">
            <v>0.63000000000000045</v>
          </cell>
          <cell r="BA642">
            <v>0.14334543900875882</v>
          </cell>
        </row>
        <row r="643">
          <cell r="S643">
            <v>0.63100000000000045</v>
          </cell>
          <cell r="U643">
            <v>0.33663730144062431</v>
          </cell>
          <cell r="AI643">
            <v>0.63100000000000045</v>
          </cell>
          <cell r="AK643">
            <v>0.17391695986661382</v>
          </cell>
          <cell r="AY643">
            <v>0.63100000000000045</v>
          </cell>
          <cell r="BA643">
            <v>0.31656849879451887</v>
          </cell>
        </row>
        <row r="644">
          <cell r="S644">
            <v>0.63200000000000045</v>
          </cell>
          <cell r="U644">
            <v>0.64293755502306515</v>
          </cell>
          <cell r="AI644">
            <v>0.63200000000000045</v>
          </cell>
          <cell r="AK644">
            <v>0.16821003717970381</v>
          </cell>
          <cell r="AY644">
            <v>0.63200000000000045</v>
          </cell>
          <cell r="BA644">
            <v>3.9399395733512373E-2</v>
          </cell>
        </row>
        <row r="645">
          <cell r="S645">
            <v>0.63300000000000045</v>
          </cell>
          <cell r="U645">
            <v>0.38981985519976259</v>
          </cell>
          <cell r="AI645">
            <v>0.63300000000000045</v>
          </cell>
          <cell r="AK645">
            <v>0.2343131862937522</v>
          </cell>
          <cell r="AY645">
            <v>0.63300000000000045</v>
          </cell>
          <cell r="BA645">
            <v>2.7649769585253461E-2</v>
          </cell>
        </row>
        <row r="646">
          <cell r="S646">
            <v>0.63400000000000045</v>
          </cell>
          <cell r="U646">
            <v>0.24492989825797032</v>
          </cell>
          <cell r="AI646">
            <v>0.63400000000000045</v>
          </cell>
          <cell r="AK646">
            <v>9.1515951585066369E-2</v>
          </cell>
          <cell r="AY646">
            <v>0.63400000000000045</v>
          </cell>
          <cell r="BA646">
            <v>0.43980224005859553</v>
          </cell>
        </row>
        <row r="647">
          <cell r="S647">
            <v>0.63500000000000045</v>
          </cell>
          <cell r="U647">
            <v>0.18117506685844362</v>
          </cell>
          <cell r="AI647">
            <v>0.63500000000000045</v>
          </cell>
          <cell r="AK647">
            <v>0.14645936301906456</v>
          </cell>
          <cell r="AY647">
            <v>0.63500000000000045</v>
          </cell>
          <cell r="BA647">
            <v>3.109836115604114E-2</v>
          </cell>
        </row>
        <row r="648">
          <cell r="S648">
            <v>0.63600000000000045</v>
          </cell>
          <cell r="U648">
            <v>0.4794304512592592</v>
          </cell>
          <cell r="AI648">
            <v>0.63600000000000045</v>
          </cell>
          <cell r="AK648">
            <v>9.7298829043327748E-2</v>
          </cell>
          <cell r="AY648">
            <v>0.63600000000000045</v>
          </cell>
          <cell r="BA648">
            <v>0.39848017822809534</v>
          </cell>
        </row>
        <row r="649">
          <cell r="S649">
            <v>0.63700000000000045</v>
          </cell>
          <cell r="U649">
            <v>0.83338578636665983</v>
          </cell>
          <cell r="AI649">
            <v>0.63700000000000045</v>
          </cell>
          <cell r="AK649">
            <v>0.34183744456160203</v>
          </cell>
          <cell r="AY649">
            <v>0.63700000000000045</v>
          </cell>
          <cell r="BA649">
            <v>0.49891659291360207</v>
          </cell>
        </row>
        <row r="650">
          <cell r="S650">
            <v>0.63800000000000046</v>
          </cell>
          <cell r="U650">
            <v>0.61409254068551422</v>
          </cell>
          <cell r="AI650">
            <v>0.63800000000000046</v>
          </cell>
          <cell r="AK650">
            <v>0.29566474199535386</v>
          </cell>
          <cell r="AY650">
            <v>0.63800000000000046</v>
          </cell>
          <cell r="BA650">
            <v>0.21057771538438064</v>
          </cell>
        </row>
        <row r="651">
          <cell r="S651">
            <v>0.63900000000000046</v>
          </cell>
          <cell r="U651">
            <v>0.31245184063017573</v>
          </cell>
          <cell r="AI651">
            <v>0.63900000000000046</v>
          </cell>
          <cell r="AK651">
            <v>0.35757938549604995</v>
          </cell>
          <cell r="AY651">
            <v>0.63900000000000046</v>
          </cell>
          <cell r="BA651">
            <v>0.67491683706167782</v>
          </cell>
        </row>
        <row r="652">
          <cell r="S652">
            <v>0.64000000000000046</v>
          </cell>
          <cell r="U652">
            <v>0.56546943393754279</v>
          </cell>
          <cell r="AI652">
            <v>0.64000000000000046</v>
          </cell>
          <cell r="AK652">
            <v>0.1604332621340028</v>
          </cell>
          <cell r="AY652">
            <v>0.64000000000000046</v>
          </cell>
          <cell r="BA652">
            <v>6.93990905484176E-2</v>
          </cell>
        </row>
        <row r="653">
          <cell r="S653">
            <v>0.64100000000000046</v>
          </cell>
          <cell r="U653">
            <v>0.65478872055457926</v>
          </cell>
          <cell r="AI653">
            <v>0.64100000000000046</v>
          </cell>
          <cell r="AK653">
            <v>0.16013049134972368</v>
          </cell>
          <cell r="AY653">
            <v>0.64100000000000046</v>
          </cell>
          <cell r="BA653">
            <v>0.26700643940549945</v>
          </cell>
        </row>
        <row r="654">
          <cell r="S654">
            <v>0.64200000000000046</v>
          </cell>
          <cell r="U654">
            <v>0.39288114453651646</v>
          </cell>
          <cell r="AI654">
            <v>0.64200000000000046</v>
          </cell>
          <cell r="AK654">
            <v>0.14498457347961713</v>
          </cell>
          <cell r="AY654">
            <v>0.64200000000000046</v>
          </cell>
          <cell r="BA654">
            <v>0.8001647999511704</v>
          </cell>
        </row>
        <row r="655">
          <cell r="S655">
            <v>0.64300000000000046</v>
          </cell>
          <cell r="U655">
            <v>0.45513324342492395</v>
          </cell>
          <cell r="AI655">
            <v>0.64300000000000046</v>
          </cell>
          <cell r="AK655">
            <v>0.15839127006427495</v>
          </cell>
          <cell r="AY655">
            <v>0.64300000000000046</v>
          </cell>
          <cell r="BA655">
            <v>0.51579332865382854</v>
          </cell>
        </row>
        <row r="656">
          <cell r="S656">
            <v>0.64400000000000046</v>
          </cell>
          <cell r="U656">
            <v>0.77224181629956223</v>
          </cell>
          <cell r="AI656">
            <v>0.64400000000000046</v>
          </cell>
          <cell r="AK656">
            <v>0.10403194752028193</v>
          </cell>
          <cell r="AY656">
            <v>0.64400000000000046</v>
          </cell>
          <cell r="BA656">
            <v>0.84499649037141022</v>
          </cell>
        </row>
        <row r="657">
          <cell r="S657">
            <v>0.64500000000000046</v>
          </cell>
          <cell r="U657">
            <v>0.74847687954167208</v>
          </cell>
          <cell r="AI657">
            <v>0.64500000000000046</v>
          </cell>
          <cell r="AK657">
            <v>0.29330396507302559</v>
          </cell>
          <cell r="AY657">
            <v>0.64500000000000046</v>
          </cell>
          <cell r="BA657">
            <v>0.66484572893459881</v>
          </cell>
        </row>
        <row r="658">
          <cell r="S658">
            <v>0.64600000000000046</v>
          </cell>
          <cell r="U658">
            <v>0.42981660612968697</v>
          </cell>
          <cell r="AI658">
            <v>0.64600000000000046</v>
          </cell>
          <cell r="AK658">
            <v>0.20286695569819491</v>
          </cell>
          <cell r="AY658">
            <v>0.64600000000000046</v>
          </cell>
          <cell r="BA658">
            <v>0.57545701467940302</v>
          </cell>
        </row>
        <row r="659">
          <cell r="S659">
            <v>0.64700000000000046</v>
          </cell>
          <cell r="U659">
            <v>0.40939128818158615</v>
          </cell>
          <cell r="AI659">
            <v>0.64700000000000046</v>
          </cell>
          <cell r="AK659">
            <v>5.1256357551048487E-2</v>
          </cell>
          <cell r="AY659">
            <v>0.64700000000000046</v>
          </cell>
          <cell r="BA659">
            <v>0.85573900570696126</v>
          </cell>
        </row>
        <row r="660">
          <cell r="S660">
            <v>0.64800000000000046</v>
          </cell>
          <cell r="U660">
            <v>0.53484323922564458</v>
          </cell>
          <cell r="AI660">
            <v>0.64800000000000046</v>
          </cell>
          <cell r="AK660">
            <v>0.15566499427320593</v>
          </cell>
          <cell r="AY660">
            <v>0.64800000000000046</v>
          </cell>
          <cell r="BA660">
            <v>0.11066011535996584</v>
          </cell>
        </row>
        <row r="661">
          <cell r="S661">
            <v>0.64900000000000047</v>
          </cell>
          <cell r="U661">
            <v>0.59594772179539324</v>
          </cell>
          <cell r="AI661">
            <v>0.64900000000000047</v>
          </cell>
          <cell r="AK661">
            <v>0.27382142267746368</v>
          </cell>
          <cell r="AY661">
            <v>0.64900000000000047</v>
          </cell>
          <cell r="BA661">
            <v>0.16168706320383314</v>
          </cell>
        </row>
        <row r="662">
          <cell r="S662">
            <v>0.65000000000000047</v>
          </cell>
          <cell r="U662">
            <v>0.50892123138555356</v>
          </cell>
          <cell r="AI662">
            <v>0.65000000000000047</v>
          </cell>
          <cell r="AK662">
            <v>0.27133489478263617</v>
          </cell>
          <cell r="AY662">
            <v>0.65000000000000047</v>
          </cell>
          <cell r="BA662">
            <v>0.75218970305490285</v>
          </cell>
        </row>
        <row r="663">
          <cell r="S663">
            <v>0.65100000000000047</v>
          </cell>
          <cell r="U663">
            <v>0.61560132895769926</v>
          </cell>
          <cell r="AI663">
            <v>0.65100000000000047</v>
          </cell>
          <cell r="AK663">
            <v>0.2088998039559411</v>
          </cell>
          <cell r="AY663">
            <v>0.65100000000000047</v>
          </cell>
          <cell r="BA663">
            <v>0.67720572527237766</v>
          </cell>
        </row>
        <row r="664">
          <cell r="S664">
            <v>0.65200000000000047</v>
          </cell>
          <cell r="U664">
            <v>0.65015183861132941</v>
          </cell>
          <cell r="AI664">
            <v>0.65200000000000047</v>
          </cell>
          <cell r="AK664">
            <v>0.1735257383018117</v>
          </cell>
          <cell r="AY664">
            <v>0.65200000000000047</v>
          </cell>
          <cell r="BA664">
            <v>0.53099154637287516</v>
          </cell>
        </row>
        <row r="665">
          <cell r="S665">
            <v>0.65300000000000047</v>
          </cell>
          <cell r="U665">
            <v>0.66661426875837893</v>
          </cell>
          <cell r="AI665">
            <v>0.65300000000000047</v>
          </cell>
          <cell r="AK665">
            <v>0.3117765356982225</v>
          </cell>
          <cell r="AY665">
            <v>0.65300000000000047</v>
          </cell>
          <cell r="BA665">
            <v>0.42829676198614458</v>
          </cell>
        </row>
        <row r="666">
          <cell r="S666">
            <v>0.65400000000000047</v>
          </cell>
          <cell r="U666">
            <v>0.92794164709672489</v>
          </cell>
          <cell r="AI666">
            <v>0.65400000000000047</v>
          </cell>
          <cell r="AK666">
            <v>0.29684328215497513</v>
          </cell>
          <cell r="AY666">
            <v>0.65400000000000047</v>
          </cell>
          <cell r="BA666">
            <v>0.82451857051301614</v>
          </cell>
        </row>
        <row r="667">
          <cell r="S667">
            <v>0.65500000000000047</v>
          </cell>
          <cell r="U667">
            <v>0.50328284096836107</v>
          </cell>
          <cell r="AI667">
            <v>0.65500000000000047</v>
          </cell>
          <cell r="AK667">
            <v>0.27649870496490625</v>
          </cell>
          <cell r="AY667">
            <v>0.65500000000000047</v>
          </cell>
          <cell r="BA667">
            <v>0.47846919156468398</v>
          </cell>
        </row>
        <row r="668">
          <cell r="S668">
            <v>0.65600000000000047</v>
          </cell>
          <cell r="U668">
            <v>0.52047778077344165</v>
          </cell>
          <cell r="AI668">
            <v>0.65600000000000047</v>
          </cell>
          <cell r="AK668">
            <v>0.25733250933010654</v>
          </cell>
          <cell r="AY668">
            <v>0.65600000000000047</v>
          </cell>
          <cell r="BA668">
            <v>0.16812646870326853</v>
          </cell>
        </row>
        <row r="669">
          <cell r="S669">
            <v>0.65700000000000047</v>
          </cell>
          <cell r="U669">
            <v>0.6660294302049492</v>
          </cell>
          <cell r="AI669">
            <v>0.65700000000000047</v>
          </cell>
          <cell r="AK669">
            <v>0.24181569893965427</v>
          </cell>
          <cell r="AY669">
            <v>0.65700000000000047</v>
          </cell>
          <cell r="BA669">
            <v>0.10693685720389415</v>
          </cell>
        </row>
        <row r="670">
          <cell r="S670">
            <v>0.65800000000000047</v>
          </cell>
          <cell r="U670">
            <v>0.38194200094906172</v>
          </cell>
          <cell r="AI670">
            <v>0.65800000000000047</v>
          </cell>
          <cell r="AK670">
            <v>0.12593029362186969</v>
          </cell>
          <cell r="AY670">
            <v>0.65800000000000047</v>
          </cell>
          <cell r="BA670">
            <v>0.87978759117404703</v>
          </cell>
        </row>
        <row r="671">
          <cell r="S671">
            <v>0.65900000000000047</v>
          </cell>
          <cell r="U671">
            <v>0.50169850372365543</v>
          </cell>
          <cell r="AI671">
            <v>0.65900000000000047</v>
          </cell>
          <cell r="AK671">
            <v>0.20587594524955555</v>
          </cell>
          <cell r="AY671">
            <v>0.65900000000000047</v>
          </cell>
          <cell r="BA671">
            <v>0.45512253181554613</v>
          </cell>
        </row>
        <row r="672">
          <cell r="S672">
            <v>0.66000000000000048</v>
          </cell>
          <cell r="U672">
            <v>0.30329829401762104</v>
          </cell>
          <cell r="AI672">
            <v>0.66000000000000048</v>
          </cell>
          <cell r="AK672">
            <v>0.31021671634306003</v>
          </cell>
          <cell r="AY672">
            <v>0.66000000000000048</v>
          </cell>
          <cell r="BA672">
            <v>0.56285287026581621</v>
          </cell>
        </row>
        <row r="673">
          <cell r="S673">
            <v>0.66100000000000048</v>
          </cell>
          <cell r="U673">
            <v>0.80001879500353879</v>
          </cell>
          <cell r="AI673">
            <v>0.66100000000000048</v>
          </cell>
          <cell r="AK673">
            <v>0.10579763587020233</v>
          </cell>
          <cell r="AY673">
            <v>0.66100000000000048</v>
          </cell>
          <cell r="BA673">
            <v>0.6929532761619922</v>
          </cell>
        </row>
        <row r="674">
          <cell r="S674">
            <v>0.66200000000000048</v>
          </cell>
          <cell r="U674">
            <v>0.51832215277532812</v>
          </cell>
          <cell r="AI674">
            <v>0.66200000000000048</v>
          </cell>
          <cell r="AK674">
            <v>0.35583380850155566</v>
          </cell>
          <cell r="AY674">
            <v>0.66200000000000048</v>
          </cell>
          <cell r="BA674">
            <v>0.57899716177861871</v>
          </cell>
        </row>
        <row r="675">
          <cell r="S675">
            <v>0.66300000000000048</v>
          </cell>
          <cell r="U675">
            <v>0.56863536328599451</v>
          </cell>
          <cell r="AI675">
            <v>0.66300000000000048</v>
          </cell>
          <cell r="AK675">
            <v>0.21643769806810276</v>
          </cell>
          <cell r="AY675">
            <v>0.66300000000000048</v>
          </cell>
          <cell r="BA675">
            <v>0.68312631611072117</v>
          </cell>
        </row>
        <row r="676">
          <cell r="S676">
            <v>0.66400000000000048</v>
          </cell>
          <cell r="U676">
            <v>0.69536183947398733</v>
          </cell>
          <cell r="AI676">
            <v>0.66400000000000048</v>
          </cell>
          <cell r="AK676">
            <v>0.13899818082195103</v>
          </cell>
          <cell r="AY676">
            <v>0.66400000000000048</v>
          </cell>
          <cell r="BA676">
            <v>0.80993072298348945</v>
          </cell>
        </row>
        <row r="677">
          <cell r="S677">
            <v>0.66500000000000048</v>
          </cell>
          <cell r="U677">
            <v>0.17875567636647968</v>
          </cell>
          <cell r="AI677">
            <v>0.66500000000000048</v>
          </cell>
          <cell r="AK677">
            <v>0.17820783066194193</v>
          </cell>
          <cell r="AY677">
            <v>0.66500000000000048</v>
          </cell>
          <cell r="BA677">
            <v>0.4336680196539201</v>
          </cell>
        </row>
        <row r="678">
          <cell r="S678">
            <v>0.66600000000000048</v>
          </cell>
          <cell r="U678">
            <v>0.49139889837652612</v>
          </cell>
          <cell r="AI678">
            <v>0.66600000000000048</v>
          </cell>
          <cell r="AK678">
            <v>0.2828355577745183</v>
          </cell>
          <cell r="AY678">
            <v>0.66600000000000048</v>
          </cell>
          <cell r="BA678">
            <v>8.4749900814844223E-2</v>
          </cell>
        </row>
        <row r="679">
          <cell r="S679">
            <v>0.66700000000000048</v>
          </cell>
          <cell r="U679">
            <v>0.33449387102759082</v>
          </cell>
          <cell r="AI679">
            <v>0.66700000000000048</v>
          </cell>
          <cell r="AK679">
            <v>0.13422413946202277</v>
          </cell>
          <cell r="AY679">
            <v>0.66700000000000048</v>
          </cell>
          <cell r="BA679">
            <v>0.46040223395489366</v>
          </cell>
        </row>
        <row r="680">
          <cell r="S680">
            <v>0.66800000000000048</v>
          </cell>
          <cell r="U680">
            <v>0.2629707831691907</v>
          </cell>
          <cell r="AI680">
            <v>0.66800000000000048</v>
          </cell>
          <cell r="AK680">
            <v>0.1916474960221336</v>
          </cell>
          <cell r="AY680">
            <v>0.66800000000000048</v>
          </cell>
          <cell r="BA680">
            <v>0.1588183233130894</v>
          </cell>
        </row>
        <row r="681">
          <cell r="S681">
            <v>0.66900000000000048</v>
          </cell>
          <cell r="U681">
            <v>0.20325691059391124</v>
          </cell>
          <cell r="AI681">
            <v>0.66900000000000048</v>
          </cell>
          <cell r="AK681">
            <v>0.33221157808944124</v>
          </cell>
          <cell r="AY681">
            <v>0.66900000000000048</v>
          </cell>
          <cell r="BA681">
            <v>0.65150914029358808</v>
          </cell>
        </row>
        <row r="682">
          <cell r="S682">
            <v>0.67000000000000048</v>
          </cell>
          <cell r="U682">
            <v>0.39735985402708751</v>
          </cell>
          <cell r="AI682">
            <v>0.67000000000000048</v>
          </cell>
          <cell r="AK682">
            <v>0.40959431546169178</v>
          </cell>
          <cell r="AY682">
            <v>0.67000000000000048</v>
          </cell>
          <cell r="BA682">
            <v>0.71764275032807401</v>
          </cell>
        </row>
        <row r="683">
          <cell r="S683">
            <v>0.67100000000000048</v>
          </cell>
          <cell r="U683">
            <v>0.50370941708610006</v>
          </cell>
          <cell r="AI683">
            <v>0.67100000000000048</v>
          </cell>
          <cell r="AK683">
            <v>0.24680357699580546</v>
          </cell>
          <cell r="AY683">
            <v>0.67100000000000048</v>
          </cell>
          <cell r="BA683">
            <v>0.46250801110873746</v>
          </cell>
        </row>
        <row r="684">
          <cell r="S684">
            <v>0.67200000000000049</v>
          </cell>
          <cell r="U684">
            <v>0.65326109597957904</v>
          </cell>
          <cell r="AI684">
            <v>0.67200000000000049</v>
          </cell>
          <cell r="AK684">
            <v>0.10493125151507546</v>
          </cell>
          <cell r="AY684">
            <v>0.67200000000000049</v>
          </cell>
          <cell r="BA684">
            <v>0.17111728263191625</v>
          </cell>
        </row>
        <row r="685">
          <cell r="S685">
            <v>0.67300000000000049</v>
          </cell>
          <cell r="U685">
            <v>0.45149319502740926</v>
          </cell>
          <cell r="AI685">
            <v>0.67300000000000049</v>
          </cell>
          <cell r="AK685">
            <v>0.26984654978566502</v>
          </cell>
          <cell r="AY685">
            <v>0.67300000000000049</v>
          </cell>
          <cell r="BA685">
            <v>0.3967101046784875</v>
          </cell>
        </row>
        <row r="686">
          <cell r="S686">
            <v>0.67400000000000049</v>
          </cell>
          <cell r="U686">
            <v>0.38213417200259159</v>
          </cell>
          <cell r="AI686">
            <v>0.67400000000000049</v>
          </cell>
          <cell r="AK686">
            <v>0.24297021565304833</v>
          </cell>
          <cell r="AY686">
            <v>0.67400000000000049</v>
          </cell>
          <cell r="BA686">
            <v>0.62218085268715473</v>
          </cell>
        </row>
        <row r="687">
          <cell r="S687">
            <v>0.67500000000000049</v>
          </cell>
          <cell r="U687">
            <v>0.62868083072599057</v>
          </cell>
          <cell r="AI687">
            <v>0.67500000000000049</v>
          </cell>
          <cell r="AK687">
            <v>9.7055047254714699E-2</v>
          </cell>
          <cell r="AY687">
            <v>0.67500000000000049</v>
          </cell>
          <cell r="BA687">
            <v>0.86941129795220806</v>
          </cell>
        </row>
        <row r="688">
          <cell r="S688">
            <v>0.67600000000000049</v>
          </cell>
          <cell r="U688">
            <v>0.66500387187036303</v>
          </cell>
          <cell r="AI688">
            <v>0.67600000000000049</v>
          </cell>
          <cell r="AK688">
            <v>2.8261356887046781E-2</v>
          </cell>
          <cell r="AY688">
            <v>0.67600000000000049</v>
          </cell>
          <cell r="BA688">
            <v>0.96560563982055114</v>
          </cell>
        </row>
        <row r="689">
          <cell r="S689">
            <v>0.67700000000000049</v>
          </cell>
          <cell r="U689">
            <v>0.53439637127886663</v>
          </cell>
          <cell r="AI689">
            <v>0.67700000000000049</v>
          </cell>
          <cell r="AK689">
            <v>0.12996226252593776</v>
          </cell>
          <cell r="AY689">
            <v>0.67700000000000049</v>
          </cell>
          <cell r="BA689">
            <v>0.836725974303415</v>
          </cell>
        </row>
        <row r="690">
          <cell r="S690">
            <v>0.67800000000000049</v>
          </cell>
          <cell r="U690">
            <v>0.73466487666692826</v>
          </cell>
          <cell r="AI690">
            <v>0.67800000000000049</v>
          </cell>
          <cell r="AK690">
            <v>0.17110478229151763</v>
          </cell>
          <cell r="AY690">
            <v>0.67800000000000049</v>
          </cell>
          <cell r="BA690">
            <v>0.22425000762962738</v>
          </cell>
        </row>
        <row r="691">
          <cell r="S691">
            <v>0.67900000000000049</v>
          </cell>
          <cell r="U691">
            <v>0.34164279273954073</v>
          </cell>
          <cell r="AI691">
            <v>0.67900000000000049</v>
          </cell>
          <cell r="AK691">
            <v>5.8441411353470432E-2</v>
          </cell>
          <cell r="AY691">
            <v>0.67900000000000049</v>
          </cell>
          <cell r="BA691">
            <v>0.11896114993743709</v>
          </cell>
        </row>
        <row r="692">
          <cell r="S692">
            <v>0.68000000000000049</v>
          </cell>
          <cell r="U692">
            <v>0.45916437252829817</v>
          </cell>
          <cell r="AI692">
            <v>0.68000000000000049</v>
          </cell>
          <cell r="AK692">
            <v>0.22059380453925248</v>
          </cell>
          <cell r="AY692">
            <v>0.68000000000000049</v>
          </cell>
          <cell r="BA692">
            <v>0.58278145695364236</v>
          </cell>
        </row>
        <row r="693">
          <cell r="S693">
            <v>0.68100000000000049</v>
          </cell>
          <cell r="U693">
            <v>0.64853261987969035</v>
          </cell>
          <cell r="AI693">
            <v>0.68100000000000049</v>
          </cell>
          <cell r="AK693">
            <v>0.23448533872965727</v>
          </cell>
          <cell r="AY693">
            <v>0.68100000000000049</v>
          </cell>
          <cell r="BA693">
            <v>0.28809472945341352</v>
          </cell>
        </row>
        <row r="694">
          <cell r="S694">
            <v>0.68200000000000049</v>
          </cell>
          <cell r="U694">
            <v>0.748687210092567</v>
          </cell>
          <cell r="AI694">
            <v>0.68200000000000049</v>
          </cell>
          <cell r="AK694">
            <v>0.15256085173503192</v>
          </cell>
          <cell r="AY694">
            <v>0.68200000000000049</v>
          </cell>
          <cell r="BA694">
            <v>0.76033814508499409</v>
          </cell>
        </row>
        <row r="695">
          <cell r="S695">
            <v>0.6830000000000005</v>
          </cell>
          <cell r="U695">
            <v>0.67593738198267395</v>
          </cell>
          <cell r="AI695">
            <v>0.6830000000000005</v>
          </cell>
          <cell r="AK695">
            <v>0.17775654978203839</v>
          </cell>
          <cell r="AY695">
            <v>0.6830000000000005</v>
          </cell>
          <cell r="BA695">
            <v>0.44364757225257118</v>
          </cell>
        </row>
        <row r="696">
          <cell r="S696">
            <v>0.6840000000000005</v>
          </cell>
          <cell r="U696">
            <v>0.71365912331510128</v>
          </cell>
          <cell r="AI696">
            <v>0.6840000000000005</v>
          </cell>
          <cell r="AK696">
            <v>0.19646320315483956</v>
          </cell>
          <cell r="AY696">
            <v>0.6840000000000005</v>
          </cell>
          <cell r="BA696">
            <v>0.99957274086733605</v>
          </cell>
        </row>
        <row r="697">
          <cell r="S697">
            <v>0.6850000000000005</v>
          </cell>
          <cell r="U697">
            <v>0.6477734607554736</v>
          </cell>
          <cell r="AI697">
            <v>0.6850000000000005</v>
          </cell>
          <cell r="AK697">
            <v>0.13408481603572966</v>
          </cell>
          <cell r="AY697">
            <v>0.6850000000000005</v>
          </cell>
          <cell r="BA697">
            <v>0.29709768974883266</v>
          </cell>
        </row>
        <row r="698">
          <cell r="S698">
            <v>0.6860000000000005</v>
          </cell>
          <cell r="U698">
            <v>0.32987094952741286</v>
          </cell>
          <cell r="AI698">
            <v>0.6860000000000005</v>
          </cell>
          <cell r="AK698">
            <v>9.2767149851966213E-2</v>
          </cell>
          <cell r="AY698">
            <v>0.6860000000000005</v>
          </cell>
          <cell r="BA698">
            <v>0.66048158207953123</v>
          </cell>
        </row>
        <row r="699">
          <cell r="S699">
            <v>0.6870000000000005</v>
          </cell>
          <cell r="U699">
            <v>0.29510750336546937</v>
          </cell>
          <cell r="AI699">
            <v>0.6870000000000005</v>
          </cell>
          <cell r="AK699">
            <v>6.9185707084824341E-2</v>
          </cell>
          <cell r="AY699">
            <v>0.6870000000000005</v>
          </cell>
          <cell r="BA699">
            <v>0.84670552690206613</v>
          </cell>
        </row>
        <row r="700">
          <cell r="S700">
            <v>0.6880000000000005</v>
          </cell>
          <cell r="U700">
            <v>0.48505331967244902</v>
          </cell>
          <cell r="AI700">
            <v>0.6880000000000005</v>
          </cell>
          <cell r="AK700">
            <v>0.16773661145562496</v>
          </cell>
          <cell r="AY700">
            <v>0.6880000000000005</v>
          </cell>
          <cell r="BA700">
            <v>0.82573931089205599</v>
          </cell>
        </row>
        <row r="701">
          <cell r="S701">
            <v>0.6890000000000005</v>
          </cell>
          <cell r="U701">
            <v>0.31227661493872805</v>
          </cell>
          <cell r="AI701">
            <v>0.6890000000000005</v>
          </cell>
          <cell r="AK701">
            <v>0.18494076923642919</v>
          </cell>
          <cell r="AY701">
            <v>0.6890000000000005</v>
          </cell>
          <cell r="BA701">
            <v>0.67546617023224587</v>
          </cell>
        </row>
        <row r="702">
          <cell r="S702">
            <v>0.6900000000000005</v>
          </cell>
          <cell r="U702">
            <v>0.68739494204507223</v>
          </cell>
          <cell r="AI702">
            <v>0.6900000000000005</v>
          </cell>
          <cell r="AK702">
            <v>0.13929443026604518</v>
          </cell>
          <cell r="AY702">
            <v>0.6900000000000005</v>
          </cell>
          <cell r="BA702">
            <v>6.5981017487105914E-2</v>
          </cell>
        </row>
        <row r="703">
          <cell r="S703">
            <v>0.6910000000000005</v>
          </cell>
          <cell r="U703">
            <v>0.5844544707171242</v>
          </cell>
          <cell r="AI703">
            <v>0.6910000000000005</v>
          </cell>
          <cell r="AK703">
            <v>0.30792385866085115</v>
          </cell>
          <cell r="AY703">
            <v>0.6910000000000005</v>
          </cell>
          <cell r="BA703">
            <v>0.67415387432477802</v>
          </cell>
        </row>
        <row r="704">
          <cell r="S704">
            <v>0.6920000000000005</v>
          </cell>
          <cell r="U704">
            <v>0.67932431129360604</v>
          </cell>
          <cell r="AI704">
            <v>0.6920000000000005</v>
          </cell>
          <cell r="AK704">
            <v>0.18816848254594554</v>
          </cell>
          <cell r="AY704">
            <v>0.6920000000000005</v>
          </cell>
          <cell r="BA704">
            <v>0.21320230719931638</v>
          </cell>
        </row>
        <row r="705">
          <cell r="S705">
            <v>0.6930000000000005</v>
          </cell>
          <cell r="U705">
            <v>0.42323594848254864</v>
          </cell>
          <cell r="AI705">
            <v>0.6930000000000005</v>
          </cell>
          <cell r="AK705">
            <v>7.205143325539605E-2</v>
          </cell>
          <cell r="AY705">
            <v>0.6930000000000005</v>
          </cell>
          <cell r="BA705">
            <v>0.89764091921750544</v>
          </cell>
        </row>
        <row r="706">
          <cell r="S706">
            <v>0.69400000000000051</v>
          </cell>
          <cell r="U706">
            <v>0.4678052534737242</v>
          </cell>
          <cell r="AI706">
            <v>0.69400000000000051</v>
          </cell>
          <cell r="AK706">
            <v>0.30883442110982895</v>
          </cell>
          <cell r="AY706">
            <v>0.69400000000000051</v>
          </cell>
          <cell r="BA706">
            <v>0.26325266273995179</v>
          </cell>
        </row>
        <row r="707">
          <cell r="S707">
            <v>0.69500000000000051</v>
          </cell>
          <cell r="U707">
            <v>0.60149324933981685</v>
          </cell>
          <cell r="AI707">
            <v>0.69500000000000051</v>
          </cell>
          <cell r="AK707">
            <v>0.29999786486390245</v>
          </cell>
          <cell r="AY707">
            <v>0.69500000000000051</v>
          </cell>
          <cell r="BA707">
            <v>0.43855098117007968</v>
          </cell>
        </row>
        <row r="708">
          <cell r="S708">
            <v>0.69600000000000051</v>
          </cell>
          <cell r="U708">
            <v>0.41860699581722449</v>
          </cell>
          <cell r="AI708">
            <v>0.69600000000000051</v>
          </cell>
          <cell r="AK708">
            <v>0.21118052581755964</v>
          </cell>
          <cell r="AY708">
            <v>0.69600000000000051</v>
          </cell>
          <cell r="BA708">
            <v>9.5522934659871255E-3</v>
          </cell>
        </row>
        <row r="709">
          <cell r="S709">
            <v>0.69700000000000051</v>
          </cell>
          <cell r="U709">
            <v>0.58160421247523764</v>
          </cell>
          <cell r="AI709">
            <v>0.69700000000000051</v>
          </cell>
          <cell r="AK709">
            <v>7.8045459882461352E-2</v>
          </cell>
          <cell r="AY709">
            <v>0.69700000000000051</v>
          </cell>
          <cell r="BA709">
            <v>0.76519058809167761</v>
          </cell>
        </row>
        <row r="710">
          <cell r="S710">
            <v>0.69800000000000051</v>
          </cell>
          <cell r="U710">
            <v>0.70336086314224633</v>
          </cell>
          <cell r="AI710">
            <v>0.69800000000000051</v>
          </cell>
          <cell r="AK710">
            <v>0.22909045086851465</v>
          </cell>
          <cell r="AY710">
            <v>0.69800000000000051</v>
          </cell>
          <cell r="BA710">
            <v>0.31455427716910306</v>
          </cell>
        </row>
        <row r="711">
          <cell r="S711">
            <v>0.69900000000000051</v>
          </cell>
          <cell r="U711">
            <v>0.53681724604155268</v>
          </cell>
          <cell r="AI711">
            <v>0.69900000000000051</v>
          </cell>
          <cell r="AK711">
            <v>0.3068557120427029</v>
          </cell>
          <cell r="AY711">
            <v>0.69900000000000051</v>
          </cell>
          <cell r="BA711">
            <v>5.1118503372295288E-2</v>
          </cell>
        </row>
        <row r="712">
          <cell r="S712">
            <v>0.70000000000000051</v>
          </cell>
          <cell r="U712">
            <v>0.58730190789051273</v>
          </cell>
          <cell r="AI712">
            <v>0.70000000000000051</v>
          </cell>
          <cell r="AK712">
            <v>0.25634838021885265</v>
          </cell>
          <cell r="AY712">
            <v>0.70000000000000051</v>
          </cell>
          <cell r="BA712">
            <v>0.68672750022888884</v>
          </cell>
        </row>
        <row r="713">
          <cell r="S713">
            <v>0.70100000000000051</v>
          </cell>
          <cell r="U713">
            <v>0.56766350510823971</v>
          </cell>
          <cell r="AI713">
            <v>0.70100000000000051</v>
          </cell>
          <cell r="AK713">
            <v>3.1853067917078808E-2</v>
          </cell>
          <cell r="AY713">
            <v>0.70100000000000051</v>
          </cell>
          <cell r="BA713">
            <v>0.74559770500808742</v>
          </cell>
        </row>
        <row r="714">
          <cell r="S714">
            <v>0.70200000000000051</v>
          </cell>
          <cell r="U714">
            <v>0.50297815082865727</v>
          </cell>
          <cell r="AI714">
            <v>0.70200000000000051</v>
          </cell>
          <cell r="AK714">
            <v>0.28191920012277638</v>
          </cell>
          <cell r="AY714">
            <v>0.70200000000000051</v>
          </cell>
          <cell r="BA714">
            <v>0.66771446882534258</v>
          </cell>
        </row>
        <row r="715">
          <cell r="S715">
            <v>0.70300000000000051</v>
          </cell>
          <cell r="U715">
            <v>0.51543521712791018</v>
          </cell>
          <cell r="AI715">
            <v>0.70300000000000051</v>
          </cell>
          <cell r="AK715">
            <v>0.12388266001033552</v>
          </cell>
          <cell r="AY715">
            <v>0.70300000000000051</v>
          </cell>
          <cell r="BA715">
            <v>0.11822870571001312</v>
          </cell>
        </row>
        <row r="716">
          <cell r="S716">
            <v>0.70400000000000051</v>
          </cell>
          <cell r="U716">
            <v>0.37045672049907519</v>
          </cell>
          <cell r="AI716">
            <v>0.70400000000000051</v>
          </cell>
          <cell r="AK716">
            <v>0.11149014666037112</v>
          </cell>
          <cell r="AY716">
            <v>0.70400000000000051</v>
          </cell>
          <cell r="BA716">
            <v>7.6509903256324965E-2</v>
          </cell>
        </row>
        <row r="717">
          <cell r="S717">
            <v>0.70500000000000052</v>
          </cell>
          <cell r="U717">
            <v>0.14792366624556094</v>
          </cell>
          <cell r="AI717">
            <v>0.70500000000000052</v>
          </cell>
          <cell r="AK717">
            <v>9.305247724361522E-2</v>
          </cell>
          <cell r="AY717">
            <v>0.70500000000000052</v>
          </cell>
          <cell r="BA717">
            <v>0.89068269905697806</v>
          </cell>
        </row>
        <row r="718">
          <cell r="S718">
            <v>0.70600000000000052</v>
          </cell>
          <cell r="U718">
            <v>0.469942421496782</v>
          </cell>
          <cell r="AI718">
            <v>0.70600000000000052</v>
          </cell>
          <cell r="AK718">
            <v>0.12897751988435852</v>
          </cell>
          <cell r="AY718">
            <v>0.70600000000000052</v>
          </cell>
          <cell r="BA718">
            <v>2.5208288827173679E-2</v>
          </cell>
        </row>
        <row r="719">
          <cell r="S719">
            <v>0.70700000000000052</v>
          </cell>
          <cell r="U719">
            <v>0.84597587402213736</v>
          </cell>
          <cell r="AI719">
            <v>0.70700000000000052</v>
          </cell>
          <cell r="AK719">
            <v>0.20182850387927986</v>
          </cell>
          <cell r="AY719">
            <v>0.70700000000000052</v>
          </cell>
          <cell r="BA719">
            <v>0.45854060487685783</v>
          </cell>
        </row>
        <row r="720">
          <cell r="S720">
            <v>0.70800000000000052</v>
          </cell>
          <cell r="U720">
            <v>0.55420993059043333</v>
          </cell>
          <cell r="AI720">
            <v>0.70800000000000052</v>
          </cell>
          <cell r="AK720">
            <v>0.17390272974813159</v>
          </cell>
          <cell r="AY720">
            <v>0.70800000000000052</v>
          </cell>
          <cell r="BA720">
            <v>0.44413586840418712</v>
          </cell>
        </row>
        <row r="721">
          <cell r="S721">
            <v>0.70900000000000052</v>
          </cell>
          <cell r="U721">
            <v>0.51175750279524568</v>
          </cell>
          <cell r="AI721">
            <v>0.70900000000000052</v>
          </cell>
          <cell r="AK721">
            <v>9.531111582113054E-2</v>
          </cell>
          <cell r="AY721">
            <v>0.70900000000000052</v>
          </cell>
          <cell r="BA721">
            <v>0.7414777062288278</v>
          </cell>
        </row>
        <row r="722">
          <cell r="S722">
            <v>0.71000000000000052</v>
          </cell>
          <cell r="U722">
            <v>0.37031278703494735</v>
          </cell>
          <cell r="AI722">
            <v>0.71000000000000052</v>
          </cell>
          <cell r="AK722">
            <v>0.13834706655226117</v>
          </cell>
          <cell r="AY722">
            <v>0.71000000000000052</v>
          </cell>
          <cell r="BA722">
            <v>0.25461592455824456</v>
          </cell>
        </row>
        <row r="723">
          <cell r="S723">
            <v>0.71100000000000052</v>
          </cell>
          <cell r="U723">
            <v>0.48808996208116917</v>
          </cell>
          <cell r="AI723">
            <v>0.71100000000000052</v>
          </cell>
          <cell r="AK723">
            <v>0.44863074597163499</v>
          </cell>
          <cell r="AY723">
            <v>0.71100000000000052</v>
          </cell>
          <cell r="BA723">
            <v>0.49726859340189827</v>
          </cell>
        </row>
        <row r="724">
          <cell r="S724">
            <v>0.71200000000000052</v>
          </cell>
          <cell r="U724">
            <v>0.51415295276473616</v>
          </cell>
          <cell r="AI724">
            <v>0.71200000000000052</v>
          </cell>
          <cell r="AK724">
            <v>0.14561911724698015</v>
          </cell>
          <cell r="AY724">
            <v>0.71200000000000052</v>
          </cell>
          <cell r="BA724">
            <v>0.93041779839472638</v>
          </cell>
        </row>
        <row r="725">
          <cell r="S725">
            <v>0.71300000000000052</v>
          </cell>
          <cell r="U725">
            <v>0.6891739332730038</v>
          </cell>
          <cell r="AI725">
            <v>0.71300000000000052</v>
          </cell>
          <cell r="AK725">
            <v>0.19619989694094775</v>
          </cell>
          <cell r="AY725">
            <v>0.71300000000000052</v>
          </cell>
          <cell r="BA725">
            <v>0.12576677755058444</v>
          </cell>
        </row>
        <row r="726">
          <cell r="S726">
            <v>0.71400000000000052</v>
          </cell>
          <cell r="U726">
            <v>0.29095183926678853</v>
          </cell>
          <cell r="AI726">
            <v>0.71400000000000052</v>
          </cell>
          <cell r="AK726">
            <v>0.13164687086138477</v>
          </cell>
          <cell r="AY726">
            <v>0.71400000000000052</v>
          </cell>
          <cell r="BA726">
            <v>0.62105166783654286</v>
          </cell>
        </row>
        <row r="727">
          <cell r="S727">
            <v>0.71500000000000052</v>
          </cell>
          <cell r="U727">
            <v>0.32622717187458317</v>
          </cell>
          <cell r="AI727">
            <v>0.71500000000000052</v>
          </cell>
          <cell r="AK727">
            <v>0.18298917996362968</v>
          </cell>
          <cell r="AY727">
            <v>0.71500000000000052</v>
          </cell>
          <cell r="BA727">
            <v>0.69347209082308425</v>
          </cell>
        </row>
        <row r="728">
          <cell r="S728">
            <v>0.71600000000000052</v>
          </cell>
          <cell r="U728">
            <v>0.70368982624577758</v>
          </cell>
          <cell r="AI728">
            <v>0.71600000000000052</v>
          </cell>
          <cell r="AK728">
            <v>0.21066988427567346</v>
          </cell>
          <cell r="AY728">
            <v>0.71600000000000052</v>
          </cell>
          <cell r="BA728">
            <v>0.89495529038361765</v>
          </cell>
        </row>
        <row r="729">
          <cell r="S729">
            <v>0.71700000000000053</v>
          </cell>
          <cell r="U729">
            <v>0.81651613722456262</v>
          </cell>
          <cell r="AI729">
            <v>0.71700000000000053</v>
          </cell>
          <cell r="AK729">
            <v>0.20313688170494515</v>
          </cell>
          <cell r="AY729">
            <v>0.71700000000000053</v>
          </cell>
          <cell r="BA729">
            <v>0.25449385052034057</v>
          </cell>
        </row>
        <row r="730">
          <cell r="S730">
            <v>0.71800000000000053</v>
          </cell>
          <cell r="U730">
            <v>8.8826165628675832E-2</v>
          </cell>
          <cell r="AI730">
            <v>0.71800000000000053</v>
          </cell>
          <cell r="AK730">
            <v>0.15876448628135614</v>
          </cell>
          <cell r="AY730">
            <v>0.71800000000000053</v>
          </cell>
          <cell r="BA730">
            <v>0.12317270424512468</v>
          </cell>
        </row>
        <row r="731">
          <cell r="S731">
            <v>0.71900000000000053</v>
          </cell>
          <cell r="U731">
            <v>0.23882216525928188</v>
          </cell>
          <cell r="AI731">
            <v>0.71900000000000053</v>
          </cell>
          <cell r="AK731">
            <v>0.14750453198733207</v>
          </cell>
          <cell r="AY731">
            <v>0.71900000000000053</v>
          </cell>
          <cell r="BA731">
            <v>0.65694143498031554</v>
          </cell>
        </row>
        <row r="732">
          <cell r="S732">
            <v>0.72000000000000053</v>
          </cell>
          <cell r="U732">
            <v>0.82378252534702079</v>
          </cell>
          <cell r="AI732">
            <v>0.72000000000000053</v>
          </cell>
          <cell r="AK732">
            <v>8.5168046015996299E-2</v>
          </cell>
          <cell r="AY732">
            <v>0.72000000000000053</v>
          </cell>
          <cell r="BA732">
            <v>0.19043549913022248</v>
          </cell>
        </row>
        <row r="733">
          <cell r="S733">
            <v>0.72100000000000053</v>
          </cell>
          <cell r="U733">
            <v>0.43951623025881553</v>
          </cell>
          <cell r="AI733">
            <v>0.72100000000000053</v>
          </cell>
          <cell r="AK733">
            <v>6.0563262562353684E-2</v>
          </cell>
          <cell r="AY733">
            <v>0.72100000000000053</v>
          </cell>
          <cell r="BA733">
            <v>2.2919400616473892E-2</v>
          </cell>
        </row>
        <row r="734">
          <cell r="S734">
            <v>0.72200000000000053</v>
          </cell>
          <cell r="U734">
            <v>0.28835428255824763</v>
          </cell>
          <cell r="AI734">
            <v>0.72200000000000053</v>
          </cell>
          <cell r="AK734">
            <v>0.22236800184167094</v>
          </cell>
          <cell r="AY734">
            <v>0.72200000000000053</v>
          </cell>
          <cell r="BA734">
            <v>0.21420941801202431</v>
          </cell>
        </row>
        <row r="735">
          <cell r="S735">
            <v>0.72300000000000053</v>
          </cell>
          <cell r="U735">
            <v>0.60580819442688272</v>
          </cell>
          <cell r="AI735">
            <v>0.72300000000000053</v>
          </cell>
          <cell r="AK735">
            <v>0.20176709846290541</v>
          </cell>
          <cell r="AY735">
            <v>0.72300000000000053</v>
          </cell>
          <cell r="BA735">
            <v>0.11072115237891782</v>
          </cell>
        </row>
        <row r="736">
          <cell r="S736">
            <v>0.72400000000000053</v>
          </cell>
          <cell r="U736">
            <v>0.56342399425607881</v>
          </cell>
          <cell r="AI736">
            <v>0.72400000000000053</v>
          </cell>
          <cell r="AK736">
            <v>0.10680322818986016</v>
          </cell>
          <cell r="AY736">
            <v>0.72400000000000053</v>
          </cell>
          <cell r="BA736">
            <v>0.90035706656086911</v>
          </cell>
        </row>
        <row r="737">
          <cell r="S737">
            <v>0.72500000000000053</v>
          </cell>
          <cell r="U737">
            <v>0.24160340220177773</v>
          </cell>
          <cell r="AI737">
            <v>0.72500000000000053</v>
          </cell>
          <cell r="AK737">
            <v>0.11785848225273376</v>
          </cell>
          <cell r="AY737">
            <v>0.72500000000000053</v>
          </cell>
          <cell r="BA737">
            <v>0.92364268929105497</v>
          </cell>
        </row>
        <row r="738">
          <cell r="S738">
            <v>0.72600000000000053</v>
          </cell>
          <cell r="U738">
            <v>0.31295490172203039</v>
          </cell>
          <cell r="AI738">
            <v>0.72600000000000053</v>
          </cell>
          <cell r="AK738">
            <v>7.2092168216204067E-2</v>
          </cell>
          <cell r="AY738">
            <v>0.72600000000000053</v>
          </cell>
          <cell r="BA738">
            <v>0.68861964781640062</v>
          </cell>
        </row>
        <row r="739">
          <cell r="S739">
            <v>0.72700000000000053</v>
          </cell>
          <cell r="U739">
            <v>0.63468747790425339</v>
          </cell>
          <cell r="AI739">
            <v>0.72700000000000053</v>
          </cell>
          <cell r="AK739">
            <v>0.15393029431418212</v>
          </cell>
          <cell r="AY739">
            <v>0.72700000000000053</v>
          </cell>
          <cell r="BA739">
            <v>0.35554063539536729</v>
          </cell>
        </row>
        <row r="740">
          <cell r="S740">
            <v>0.72800000000000054</v>
          </cell>
          <cell r="U740">
            <v>0.44210027015478692</v>
          </cell>
          <cell r="AI740">
            <v>0.72800000000000054</v>
          </cell>
          <cell r="AK740">
            <v>0.42173889855544333</v>
          </cell>
          <cell r="AY740">
            <v>0.72800000000000054</v>
          </cell>
          <cell r="BA740">
            <v>0.57020783104953154</v>
          </cell>
        </row>
        <row r="741">
          <cell r="S741">
            <v>0.72900000000000054</v>
          </cell>
          <cell r="U741">
            <v>0.1212917580902912</v>
          </cell>
          <cell r="AI741">
            <v>0.72900000000000054</v>
          </cell>
          <cell r="AK741">
            <v>0.28137300139614274</v>
          </cell>
          <cell r="AY741">
            <v>0.72900000000000054</v>
          </cell>
          <cell r="BA741">
            <v>0.47651600695822016</v>
          </cell>
        </row>
        <row r="742">
          <cell r="S742">
            <v>0.73000000000000054</v>
          </cell>
          <cell r="U742">
            <v>0.77146674043377594</v>
          </cell>
          <cell r="AI742">
            <v>0.73000000000000054</v>
          </cell>
          <cell r="AK742">
            <v>5.9107298832809074E-2</v>
          </cell>
          <cell r="AY742">
            <v>0.73000000000000054</v>
          </cell>
          <cell r="BA742">
            <v>1.6174810022278507E-2</v>
          </cell>
        </row>
        <row r="743">
          <cell r="S743">
            <v>0.73100000000000054</v>
          </cell>
          <cell r="U743">
            <v>0.36514831037978429</v>
          </cell>
          <cell r="AI743">
            <v>0.73100000000000054</v>
          </cell>
          <cell r="AK743">
            <v>0.1118444742206357</v>
          </cell>
          <cell r="AY743">
            <v>0.73100000000000054</v>
          </cell>
          <cell r="BA743">
            <v>0.3924680318613239</v>
          </cell>
        </row>
        <row r="744">
          <cell r="S744">
            <v>0.73200000000000054</v>
          </cell>
          <cell r="U744">
            <v>0.32267957745911319</v>
          </cell>
          <cell r="AI744">
            <v>0.73200000000000054</v>
          </cell>
          <cell r="AK744">
            <v>0.29392922018630896</v>
          </cell>
          <cell r="AY744">
            <v>0.73200000000000054</v>
          </cell>
          <cell r="BA744">
            <v>0.46479689931943724</v>
          </cell>
        </row>
        <row r="745">
          <cell r="S745">
            <v>0.73300000000000054</v>
          </cell>
          <cell r="U745">
            <v>0.77330596496368154</v>
          </cell>
          <cell r="AI745">
            <v>0.73300000000000054</v>
          </cell>
          <cell r="AK745">
            <v>0.16849277367764354</v>
          </cell>
          <cell r="AY745">
            <v>0.73300000000000054</v>
          </cell>
          <cell r="BA745">
            <v>0.58320871608630631</v>
          </cell>
        </row>
        <row r="746">
          <cell r="S746">
            <v>0.73400000000000054</v>
          </cell>
          <cell r="U746">
            <v>0.82305826719205055</v>
          </cell>
          <cell r="AI746">
            <v>0.73400000000000054</v>
          </cell>
          <cell r="AK746">
            <v>4.7676735984963761E-2</v>
          </cell>
          <cell r="AY746">
            <v>0.73400000000000054</v>
          </cell>
          <cell r="BA746">
            <v>0.90484328745384079</v>
          </cell>
        </row>
        <row r="747">
          <cell r="S747">
            <v>0.73500000000000054</v>
          </cell>
          <cell r="U747">
            <v>0.54128459690587294</v>
          </cell>
          <cell r="AI747">
            <v>0.73500000000000054</v>
          </cell>
          <cell r="AK747">
            <v>0.25385227255333276</v>
          </cell>
          <cell r="AY747">
            <v>0.73500000000000054</v>
          </cell>
          <cell r="BA747">
            <v>0.36014893032624284</v>
          </cell>
        </row>
        <row r="748">
          <cell r="S748">
            <v>0.73600000000000054</v>
          </cell>
          <cell r="U748">
            <v>0.36383189843579494</v>
          </cell>
          <cell r="AI748">
            <v>0.73600000000000054</v>
          </cell>
          <cell r="AK748">
            <v>0.32656642335776254</v>
          </cell>
          <cell r="AY748">
            <v>0.73600000000000054</v>
          </cell>
          <cell r="BA748">
            <v>0.88161870174260693</v>
          </cell>
        </row>
        <row r="749">
          <cell r="S749">
            <v>0.73700000000000054</v>
          </cell>
          <cell r="U749">
            <v>0.37622325807145424</v>
          </cell>
          <cell r="AI749">
            <v>0.73700000000000054</v>
          </cell>
          <cell r="AK749">
            <v>0.14239576363797279</v>
          </cell>
          <cell r="AY749">
            <v>0.73700000000000054</v>
          </cell>
          <cell r="BA749">
            <v>0.71108127079073458</v>
          </cell>
        </row>
        <row r="750">
          <cell r="S750">
            <v>0.73800000000000054</v>
          </cell>
          <cell r="U750">
            <v>0.3002019520076894</v>
          </cell>
          <cell r="AI750">
            <v>0.73800000000000054</v>
          </cell>
          <cell r="AK750">
            <v>0.17373199127625169</v>
          </cell>
          <cell r="AY750">
            <v>0.73800000000000054</v>
          </cell>
          <cell r="BA750">
            <v>0.37278359324930571</v>
          </cell>
        </row>
        <row r="751">
          <cell r="S751">
            <v>0.73900000000000055</v>
          </cell>
          <cell r="U751">
            <v>0.39317082723161056</v>
          </cell>
          <cell r="AI751">
            <v>0.73900000000000055</v>
          </cell>
          <cell r="AK751">
            <v>0.17050245012351453</v>
          </cell>
          <cell r="AY751">
            <v>0.73900000000000055</v>
          </cell>
          <cell r="BA751">
            <v>0.4426099429303873</v>
          </cell>
        </row>
        <row r="752">
          <cell r="S752">
            <v>0.74000000000000055</v>
          </cell>
          <cell r="U752">
            <v>0.2124422777381729</v>
          </cell>
          <cell r="AI752">
            <v>0.74000000000000055</v>
          </cell>
          <cell r="AK752">
            <v>0.16311653870742016</v>
          </cell>
          <cell r="AY752">
            <v>0.74000000000000055</v>
          </cell>
          <cell r="BA752">
            <v>5.2308725241859193E-2</v>
          </cell>
        </row>
        <row r="753">
          <cell r="S753">
            <v>0.74100000000000055</v>
          </cell>
          <cell r="U753">
            <v>0.733453548063283</v>
          </cell>
          <cell r="AI753">
            <v>0.74100000000000055</v>
          </cell>
          <cell r="AK753">
            <v>0.33380510121185814</v>
          </cell>
          <cell r="AY753">
            <v>0.74100000000000055</v>
          </cell>
          <cell r="BA753">
            <v>0.31385235145115514</v>
          </cell>
        </row>
        <row r="754">
          <cell r="S754">
            <v>0.74200000000000055</v>
          </cell>
          <cell r="U754">
            <v>0.41296050224315645</v>
          </cell>
          <cell r="AI754">
            <v>0.74200000000000055</v>
          </cell>
          <cell r="AK754">
            <v>5.1808561265434594E-2</v>
          </cell>
          <cell r="AY754">
            <v>0.74200000000000055</v>
          </cell>
          <cell r="BA754">
            <v>0.11209448530533771</v>
          </cell>
        </row>
        <row r="755">
          <cell r="S755">
            <v>0.74300000000000055</v>
          </cell>
          <cell r="U755">
            <v>0.60596119978700913</v>
          </cell>
          <cell r="AI755">
            <v>0.74300000000000055</v>
          </cell>
          <cell r="AK755">
            <v>0.18146454825110864</v>
          </cell>
          <cell r="AY755">
            <v>0.74300000000000055</v>
          </cell>
          <cell r="BA755">
            <v>0.90392773216956079</v>
          </cell>
        </row>
        <row r="756">
          <cell r="S756">
            <v>0.74400000000000055</v>
          </cell>
          <cell r="U756">
            <v>0.46250355850539482</v>
          </cell>
          <cell r="AI756">
            <v>0.74400000000000055</v>
          </cell>
          <cell r="AK756">
            <v>0.33972608226077861</v>
          </cell>
          <cell r="AY756">
            <v>0.74400000000000055</v>
          </cell>
          <cell r="BA756">
            <v>0.66362498855555896</v>
          </cell>
        </row>
        <row r="757">
          <cell r="S757">
            <v>0.74500000000000055</v>
          </cell>
          <cell r="U757">
            <v>0.51974375479235357</v>
          </cell>
          <cell r="AI757">
            <v>0.74500000000000055</v>
          </cell>
          <cell r="AK757">
            <v>0.10749449271750459</v>
          </cell>
          <cell r="AY757">
            <v>0.74500000000000055</v>
          </cell>
          <cell r="BA757">
            <v>0.39469588305307168</v>
          </cell>
        </row>
        <row r="758">
          <cell r="S758">
            <v>0.74600000000000055</v>
          </cell>
          <cell r="U758">
            <v>0.46697423428700968</v>
          </cell>
          <cell r="AI758">
            <v>0.74600000000000055</v>
          </cell>
          <cell r="AK758">
            <v>0.15621468921884671</v>
          </cell>
          <cell r="AY758">
            <v>0.74600000000000055</v>
          </cell>
          <cell r="BA758">
            <v>0.42435987426374094</v>
          </cell>
        </row>
        <row r="759">
          <cell r="S759">
            <v>0.74700000000000055</v>
          </cell>
          <cell r="U759">
            <v>0.42175052755689602</v>
          </cell>
          <cell r="AI759">
            <v>0.74700000000000055</v>
          </cell>
          <cell r="AK759">
            <v>0.15730667526067649</v>
          </cell>
          <cell r="AY759">
            <v>0.74700000000000055</v>
          </cell>
          <cell r="BA759">
            <v>0.40638447218237861</v>
          </cell>
        </row>
        <row r="760">
          <cell r="S760">
            <v>0.74800000000000055</v>
          </cell>
          <cell r="U760">
            <v>0.44846597318613252</v>
          </cell>
          <cell r="AI760">
            <v>0.74800000000000055</v>
          </cell>
          <cell r="AK760">
            <v>0.2424443242611487</v>
          </cell>
          <cell r="AY760">
            <v>0.74800000000000055</v>
          </cell>
          <cell r="BA760">
            <v>0.52797021393475141</v>
          </cell>
        </row>
        <row r="761">
          <cell r="S761">
            <v>0.74900000000000055</v>
          </cell>
          <cell r="U761">
            <v>0.5776678209867836</v>
          </cell>
          <cell r="AI761">
            <v>0.74900000000000055</v>
          </cell>
          <cell r="AK761">
            <v>0.24511220335996609</v>
          </cell>
          <cell r="AY761">
            <v>0.74900000000000055</v>
          </cell>
          <cell r="BA761">
            <v>0.6181524094363231</v>
          </cell>
        </row>
        <row r="762">
          <cell r="S762">
            <v>0.75000000000000056</v>
          </cell>
          <cell r="U762">
            <v>0.6915446791227684</v>
          </cell>
          <cell r="AI762">
            <v>0.75000000000000056</v>
          </cell>
          <cell r="AK762">
            <v>0.43812560147388924</v>
          </cell>
          <cell r="AY762">
            <v>0.75000000000000056</v>
          </cell>
          <cell r="BA762">
            <v>0.50975066377758105</v>
          </cell>
        </row>
        <row r="763">
          <cell r="S763">
            <v>0.75100000000000056</v>
          </cell>
          <cell r="U763">
            <v>0.4339270226629956</v>
          </cell>
          <cell r="AI763">
            <v>0.75100000000000056</v>
          </cell>
          <cell r="AK763">
            <v>0.26688967820899934</v>
          </cell>
          <cell r="AY763">
            <v>0.75100000000000056</v>
          </cell>
          <cell r="BA763">
            <v>0.26786095767082735</v>
          </cell>
        </row>
        <row r="764">
          <cell r="S764">
            <v>0.75200000000000056</v>
          </cell>
          <cell r="U764">
            <v>0.28840313984138172</v>
          </cell>
          <cell r="AI764">
            <v>0.75200000000000056</v>
          </cell>
          <cell r="AK764">
            <v>0.20265122332816954</v>
          </cell>
          <cell r="AY764">
            <v>0.75200000000000056</v>
          </cell>
          <cell r="BA764">
            <v>0.43638416699728383</v>
          </cell>
        </row>
        <row r="765">
          <cell r="S765">
            <v>0.75300000000000056</v>
          </cell>
          <cell r="U765">
            <v>0.45651464945113124</v>
          </cell>
          <cell r="AI765">
            <v>0.75300000000000056</v>
          </cell>
          <cell r="AK765">
            <v>0.13830361855883014</v>
          </cell>
          <cell r="AY765">
            <v>0.75300000000000056</v>
          </cell>
          <cell r="BA765">
            <v>0.87716299935911135</v>
          </cell>
        </row>
        <row r="766">
          <cell r="S766">
            <v>0.75400000000000056</v>
          </cell>
          <cell r="U766">
            <v>0.51752759130633619</v>
          </cell>
          <cell r="AI766">
            <v>0.75400000000000056</v>
          </cell>
          <cell r="AK766">
            <v>0.24499561392883695</v>
          </cell>
          <cell r="AY766">
            <v>0.75400000000000056</v>
          </cell>
          <cell r="BA766">
            <v>0.39106418042542801</v>
          </cell>
        </row>
        <row r="767">
          <cell r="S767">
            <v>0.75500000000000056</v>
          </cell>
          <cell r="U767">
            <v>0.63424994581021488</v>
          </cell>
          <cell r="AI767">
            <v>0.75500000000000056</v>
          </cell>
          <cell r="AK767">
            <v>0.20168268995146954</v>
          </cell>
          <cell r="AY767">
            <v>0.75500000000000056</v>
          </cell>
          <cell r="BA767">
            <v>0.81493575853755307</v>
          </cell>
        </row>
        <row r="768">
          <cell r="S768">
            <v>0.75600000000000056</v>
          </cell>
          <cell r="U768">
            <v>0.45255222543871282</v>
          </cell>
          <cell r="AI768">
            <v>0.75600000000000056</v>
          </cell>
          <cell r="AK768">
            <v>0.15698264515712387</v>
          </cell>
          <cell r="AY768">
            <v>0.75600000000000056</v>
          </cell>
          <cell r="BA768">
            <v>0.72411267433698534</v>
          </cell>
        </row>
        <row r="769">
          <cell r="S769">
            <v>0.75700000000000056</v>
          </cell>
          <cell r="U769">
            <v>0.69457073601030661</v>
          </cell>
          <cell r="AI769">
            <v>0.75700000000000056</v>
          </cell>
          <cell r="AK769">
            <v>0.14374902592706135</v>
          </cell>
          <cell r="AY769">
            <v>0.75700000000000056</v>
          </cell>
          <cell r="BA769">
            <v>0.72142704550309766</v>
          </cell>
        </row>
        <row r="770">
          <cell r="S770">
            <v>0.75800000000000056</v>
          </cell>
          <cell r="U770">
            <v>0.72246649037288435</v>
          </cell>
          <cell r="AI770">
            <v>0.75800000000000056</v>
          </cell>
          <cell r="AK770">
            <v>0.21374402187698582</v>
          </cell>
          <cell r="AY770">
            <v>0.75800000000000056</v>
          </cell>
          <cell r="BA770">
            <v>0.25370036927396467</v>
          </cell>
        </row>
        <row r="771">
          <cell r="S771">
            <v>0.75900000000000056</v>
          </cell>
          <cell r="U771">
            <v>0.54357842817400015</v>
          </cell>
          <cell r="AI771">
            <v>0.75900000000000056</v>
          </cell>
          <cell r="AK771">
            <v>8.7828832714119856E-2</v>
          </cell>
          <cell r="AY771">
            <v>0.75900000000000056</v>
          </cell>
          <cell r="BA771">
            <v>0.48802148503067111</v>
          </cell>
        </row>
        <row r="772">
          <cell r="S772">
            <v>0.76000000000000056</v>
          </cell>
          <cell r="U772">
            <v>0.73801232814001305</v>
          </cell>
          <cell r="AI772">
            <v>0.76000000000000056</v>
          </cell>
          <cell r="AK772">
            <v>0.26100599460737162</v>
          </cell>
          <cell r="AY772">
            <v>0.76000000000000056</v>
          </cell>
          <cell r="BA772">
            <v>0.58003479110080258</v>
          </cell>
        </row>
        <row r="773">
          <cell r="S773">
            <v>0.76100000000000056</v>
          </cell>
          <cell r="U773">
            <v>0.54095946519208504</v>
          </cell>
          <cell r="AI773">
            <v>0.76100000000000056</v>
          </cell>
          <cell r="AK773">
            <v>0.43743569987533693</v>
          </cell>
          <cell r="AY773">
            <v>0.76100000000000056</v>
          </cell>
          <cell r="BA773">
            <v>0.55330057679982914</v>
          </cell>
        </row>
        <row r="774">
          <cell r="S774">
            <v>0.76200000000000057</v>
          </cell>
          <cell r="U774">
            <v>0.47991984240639907</v>
          </cell>
          <cell r="AI774">
            <v>0.76200000000000057</v>
          </cell>
          <cell r="AK774">
            <v>0.12750034908943617</v>
          </cell>
          <cell r="AY774">
            <v>0.76200000000000057</v>
          </cell>
          <cell r="BA774">
            <v>0.48283333841975157</v>
          </cell>
        </row>
        <row r="775">
          <cell r="S775">
            <v>0.76300000000000057</v>
          </cell>
          <cell r="U775">
            <v>0.33409141832095218</v>
          </cell>
          <cell r="AI775">
            <v>0.76300000000000057</v>
          </cell>
          <cell r="AK775">
            <v>0.20802391273316223</v>
          </cell>
          <cell r="AY775">
            <v>0.76300000000000057</v>
          </cell>
          <cell r="BA775">
            <v>0.85476241340372938</v>
          </cell>
        </row>
        <row r="776">
          <cell r="S776">
            <v>0.76400000000000057</v>
          </cell>
          <cell r="U776">
            <v>0.76127581531974975</v>
          </cell>
          <cell r="AI776">
            <v>0.76400000000000057</v>
          </cell>
          <cell r="AK776">
            <v>0.40255252629813121</v>
          </cell>
          <cell r="AY776">
            <v>0.76400000000000057</v>
          </cell>
          <cell r="BA776">
            <v>0.63203833124790187</v>
          </cell>
        </row>
        <row r="777">
          <cell r="S777">
            <v>0.76500000000000057</v>
          </cell>
          <cell r="U777">
            <v>0.40124518781233415</v>
          </cell>
          <cell r="AI777">
            <v>0.76500000000000057</v>
          </cell>
          <cell r="AK777">
            <v>0.3080246070598367</v>
          </cell>
          <cell r="AY777">
            <v>0.76500000000000057</v>
          </cell>
          <cell r="BA777">
            <v>0.99761955626087218</v>
          </cell>
        </row>
        <row r="778">
          <cell r="S778">
            <v>0.76600000000000057</v>
          </cell>
          <cell r="U778">
            <v>0.69915227853950346</v>
          </cell>
          <cell r="AI778">
            <v>0.76600000000000057</v>
          </cell>
          <cell r="AK778">
            <v>0.22990847553217086</v>
          </cell>
          <cell r="AY778">
            <v>0.76600000000000057</v>
          </cell>
          <cell r="BA778">
            <v>0.17920468764305553</v>
          </cell>
        </row>
        <row r="779">
          <cell r="S779">
            <v>0.76700000000000057</v>
          </cell>
          <cell r="U779">
            <v>0.45767751221557107</v>
          </cell>
          <cell r="AI779">
            <v>0.76700000000000057</v>
          </cell>
          <cell r="AK779">
            <v>0.14059962131608281</v>
          </cell>
          <cell r="AY779">
            <v>0.76700000000000057</v>
          </cell>
          <cell r="BA779">
            <v>0.18753624073000275</v>
          </cell>
        </row>
        <row r="780">
          <cell r="S780">
            <v>0.76800000000000057</v>
          </cell>
          <cell r="U780">
            <v>0.62546389017720649</v>
          </cell>
          <cell r="AI780">
            <v>0.76800000000000057</v>
          </cell>
          <cell r="AK780">
            <v>0.16600694609410843</v>
          </cell>
          <cell r="AY780">
            <v>0.76800000000000057</v>
          </cell>
          <cell r="BA780">
            <v>0.83852656636249889</v>
          </cell>
        </row>
        <row r="781">
          <cell r="S781">
            <v>0.76900000000000057</v>
          </cell>
          <cell r="U781">
            <v>0.46309015577721868</v>
          </cell>
          <cell r="AI781">
            <v>0.76900000000000057</v>
          </cell>
          <cell r="AK781">
            <v>0.1401385983565063</v>
          </cell>
          <cell r="AY781">
            <v>0.76900000000000057</v>
          </cell>
          <cell r="BA781">
            <v>0.35132908108767968</v>
          </cell>
        </row>
        <row r="782">
          <cell r="S782">
            <v>0.77000000000000057</v>
          </cell>
          <cell r="U782">
            <v>0.65283702701440149</v>
          </cell>
          <cell r="AI782">
            <v>0.77000000000000057</v>
          </cell>
          <cell r="AK782">
            <v>0.234521604827162</v>
          </cell>
          <cell r="AY782">
            <v>0.77000000000000057</v>
          </cell>
          <cell r="BA782">
            <v>0.43464461195715204</v>
          </cell>
        </row>
        <row r="783">
          <cell r="S783">
            <v>0.77100000000000057</v>
          </cell>
          <cell r="U783">
            <v>0.64705391042047689</v>
          </cell>
          <cell r="AI783">
            <v>0.77100000000000057</v>
          </cell>
          <cell r="AK783">
            <v>0.27359098179550834</v>
          </cell>
          <cell r="AY783">
            <v>0.77100000000000057</v>
          </cell>
          <cell r="BA783">
            <v>0.76226081118198186</v>
          </cell>
        </row>
        <row r="784">
          <cell r="S784">
            <v>0.77200000000000057</v>
          </cell>
          <cell r="U784">
            <v>0.29335022418521439</v>
          </cell>
          <cell r="AI784">
            <v>0.77200000000000057</v>
          </cell>
          <cell r="AK784">
            <v>0.37689825505128394</v>
          </cell>
          <cell r="AY784">
            <v>0.77200000000000057</v>
          </cell>
          <cell r="BA784">
            <v>0.21817682424390392</v>
          </cell>
        </row>
        <row r="785">
          <cell r="S785">
            <v>0.77300000000000058</v>
          </cell>
          <cell r="U785">
            <v>0.80158090758192502</v>
          </cell>
          <cell r="AI785">
            <v>0.77300000000000058</v>
          </cell>
          <cell r="AK785">
            <v>0.20957283746091337</v>
          </cell>
          <cell r="AY785">
            <v>0.77300000000000058</v>
          </cell>
          <cell r="BA785">
            <v>0.51997436445204015</v>
          </cell>
        </row>
        <row r="786">
          <cell r="S786">
            <v>0.77400000000000058</v>
          </cell>
          <cell r="U786">
            <v>0.52306389978726253</v>
          </cell>
          <cell r="AI786">
            <v>0.77400000000000058</v>
          </cell>
          <cell r="AK786">
            <v>0.35496096850540015</v>
          </cell>
          <cell r="AY786">
            <v>0.77400000000000058</v>
          </cell>
          <cell r="BA786">
            <v>0.14853358561967833</v>
          </cell>
        </row>
        <row r="787">
          <cell r="S787">
            <v>0.77500000000000058</v>
          </cell>
          <cell r="U787">
            <v>0.71644238548805228</v>
          </cell>
          <cell r="AI787">
            <v>0.77500000000000058</v>
          </cell>
          <cell r="AK787">
            <v>0.3046080297156486</v>
          </cell>
          <cell r="AY787">
            <v>0.77500000000000058</v>
          </cell>
          <cell r="BA787">
            <v>0.53355510116885896</v>
          </cell>
        </row>
        <row r="788">
          <cell r="S788">
            <v>0.77600000000000058</v>
          </cell>
          <cell r="U788">
            <v>0.45843665183486915</v>
          </cell>
          <cell r="AI788">
            <v>0.77600000000000058</v>
          </cell>
          <cell r="AK788">
            <v>0.20198208173427912</v>
          </cell>
          <cell r="AY788">
            <v>0.77600000000000058</v>
          </cell>
          <cell r="BA788">
            <v>0.44862208929715874</v>
          </cell>
        </row>
        <row r="789">
          <cell r="S789">
            <v>0.77700000000000058</v>
          </cell>
          <cell r="U789">
            <v>0.34189769824861055</v>
          </cell>
          <cell r="AI789">
            <v>0.77700000000000058</v>
          </cell>
          <cell r="AK789">
            <v>0.16578118787474516</v>
          </cell>
          <cell r="AY789">
            <v>0.77700000000000058</v>
          </cell>
          <cell r="BA789">
            <v>0.34604937894833221</v>
          </cell>
        </row>
        <row r="790">
          <cell r="S790">
            <v>0.77800000000000058</v>
          </cell>
          <cell r="U790">
            <v>0.23731246841463169</v>
          </cell>
          <cell r="AI790">
            <v>0.77800000000000058</v>
          </cell>
          <cell r="AK790">
            <v>0.16731280814807395</v>
          </cell>
          <cell r="AY790">
            <v>0.77800000000000058</v>
          </cell>
          <cell r="BA790">
            <v>0.6666768395031587</v>
          </cell>
        </row>
        <row r="791">
          <cell r="S791">
            <v>0.77900000000000058</v>
          </cell>
          <cell r="U791">
            <v>0.62882443560139634</v>
          </cell>
          <cell r="AI791">
            <v>0.77900000000000058</v>
          </cell>
          <cell r="AK791">
            <v>9.5559584437489936E-2</v>
          </cell>
          <cell r="AY791">
            <v>0.77900000000000058</v>
          </cell>
          <cell r="BA791">
            <v>0.34339426862392042</v>
          </cell>
        </row>
        <row r="792">
          <cell r="S792">
            <v>0.78000000000000058</v>
          </cell>
          <cell r="U792">
            <v>0.46327534606466308</v>
          </cell>
          <cell r="AI792">
            <v>0.78000000000000058</v>
          </cell>
          <cell r="AK792">
            <v>9.4898660244053676E-2</v>
          </cell>
          <cell r="AY792">
            <v>0.78000000000000058</v>
          </cell>
          <cell r="BA792">
            <v>0.8656575212866604</v>
          </cell>
        </row>
        <row r="793">
          <cell r="S793">
            <v>0.78100000000000058</v>
          </cell>
          <cell r="U793">
            <v>0.38644380478012363</v>
          </cell>
          <cell r="AI793">
            <v>0.78100000000000058</v>
          </cell>
          <cell r="AK793">
            <v>0.11990986544859895</v>
          </cell>
          <cell r="AY793">
            <v>0.78100000000000058</v>
          </cell>
          <cell r="BA793">
            <v>0.73689992980742824</v>
          </cell>
        </row>
        <row r="794">
          <cell r="S794">
            <v>0.78200000000000058</v>
          </cell>
          <cell r="U794">
            <v>0.56759982041808232</v>
          </cell>
          <cell r="AI794">
            <v>0.78200000000000058</v>
          </cell>
          <cell r="AK794">
            <v>0.24615596622177938</v>
          </cell>
          <cell r="AY794">
            <v>0.78200000000000058</v>
          </cell>
          <cell r="BA794">
            <v>2.3560289315469836E-2</v>
          </cell>
        </row>
        <row r="795">
          <cell r="S795">
            <v>0.78300000000000058</v>
          </cell>
          <cell r="U795">
            <v>0.48622858564444432</v>
          </cell>
          <cell r="AI795">
            <v>0.78300000000000058</v>
          </cell>
          <cell r="AK795">
            <v>0.15057436480642183</v>
          </cell>
          <cell r="AY795">
            <v>0.78300000000000058</v>
          </cell>
          <cell r="BA795">
            <v>0.3193151646473586</v>
          </cell>
        </row>
        <row r="796">
          <cell r="S796">
            <v>0.78400000000000059</v>
          </cell>
          <cell r="U796">
            <v>0.69063342810260342</v>
          </cell>
          <cell r="AI796">
            <v>0.78400000000000059</v>
          </cell>
          <cell r="AK796">
            <v>0.12676198854239326</v>
          </cell>
          <cell r="AY796">
            <v>0.78400000000000059</v>
          </cell>
          <cell r="BA796">
            <v>0.89391766106143378</v>
          </cell>
        </row>
        <row r="797">
          <cell r="S797">
            <v>0.78500000000000059</v>
          </cell>
          <cell r="U797">
            <v>0.72051401875247389</v>
          </cell>
          <cell r="AI797">
            <v>0.78500000000000059</v>
          </cell>
          <cell r="AK797">
            <v>0.1171531878812148</v>
          </cell>
          <cell r="AY797">
            <v>0.78500000000000059</v>
          </cell>
          <cell r="BA797">
            <v>0.49711600085451829</v>
          </cell>
        </row>
        <row r="798">
          <cell r="S798">
            <v>0.78600000000000059</v>
          </cell>
          <cell r="U798">
            <v>0.47410173290925822</v>
          </cell>
          <cell r="AI798">
            <v>0.78600000000000059</v>
          </cell>
          <cell r="AK798">
            <v>0.31158450703904861</v>
          </cell>
          <cell r="AY798">
            <v>0.78600000000000059</v>
          </cell>
          <cell r="BA798">
            <v>6.9429609057893596E-2</v>
          </cell>
        </row>
        <row r="799">
          <cell r="S799">
            <v>0.78700000000000059</v>
          </cell>
          <cell r="U799">
            <v>0.69998290229859839</v>
          </cell>
          <cell r="AI799">
            <v>0.78700000000000059</v>
          </cell>
          <cell r="AK799">
            <v>7.1642273856355132E-2</v>
          </cell>
          <cell r="AY799">
            <v>0.78700000000000059</v>
          </cell>
          <cell r="BA799">
            <v>0.61803033539841912</v>
          </cell>
        </row>
        <row r="800">
          <cell r="S800">
            <v>0.78800000000000059</v>
          </cell>
          <cell r="U800">
            <v>0.3950069988435313</v>
          </cell>
          <cell r="AI800">
            <v>0.78800000000000059</v>
          </cell>
          <cell r="AK800">
            <v>0.26875976333521923</v>
          </cell>
          <cell r="AY800">
            <v>0.78800000000000059</v>
          </cell>
          <cell r="BA800">
            <v>0.44059572130497149</v>
          </cell>
        </row>
        <row r="801">
          <cell r="S801">
            <v>0.78900000000000059</v>
          </cell>
          <cell r="U801">
            <v>0.49898699705942973</v>
          </cell>
          <cell r="AI801">
            <v>0.78900000000000059</v>
          </cell>
          <cell r="AK801">
            <v>0.22115535731362745</v>
          </cell>
          <cell r="AY801">
            <v>0.78900000000000059</v>
          </cell>
          <cell r="BA801">
            <v>0.27265236365855894</v>
          </cell>
        </row>
        <row r="802">
          <cell r="S802">
            <v>0.79000000000000059</v>
          </cell>
          <cell r="U802">
            <v>0.38178470433221995</v>
          </cell>
          <cell r="AI802">
            <v>0.79000000000000059</v>
          </cell>
          <cell r="AK802">
            <v>0.45789825274798335</v>
          </cell>
          <cell r="AY802">
            <v>0.79000000000000059</v>
          </cell>
          <cell r="BA802">
            <v>0.26346629230628377</v>
          </cell>
        </row>
        <row r="803">
          <cell r="S803">
            <v>0.79100000000000059</v>
          </cell>
          <cell r="U803">
            <v>0.43779446038260111</v>
          </cell>
          <cell r="AI803">
            <v>0.79100000000000059</v>
          </cell>
          <cell r="AK803">
            <v>0.30154232653126933</v>
          </cell>
          <cell r="AY803">
            <v>0.79100000000000059</v>
          </cell>
          <cell r="BA803">
            <v>0.17123935666982024</v>
          </cell>
        </row>
        <row r="804">
          <cell r="S804">
            <v>0.79200000000000059</v>
          </cell>
          <cell r="U804">
            <v>0.53961337162511192</v>
          </cell>
          <cell r="AI804">
            <v>0.79200000000000059</v>
          </cell>
          <cell r="AK804">
            <v>0.32816333353581095</v>
          </cell>
          <cell r="AY804">
            <v>0.79200000000000059</v>
          </cell>
          <cell r="BA804">
            <v>0.28336436048463393</v>
          </cell>
        </row>
        <row r="805">
          <cell r="S805">
            <v>0.79300000000000059</v>
          </cell>
          <cell r="U805">
            <v>0.51459558684011419</v>
          </cell>
          <cell r="AI805">
            <v>0.79300000000000059</v>
          </cell>
          <cell r="AK805">
            <v>0.36668579088262487</v>
          </cell>
          <cell r="AY805">
            <v>0.79300000000000059</v>
          </cell>
          <cell r="BA805">
            <v>0.51234473708304085</v>
          </cell>
        </row>
        <row r="806">
          <cell r="S806">
            <v>0.79400000000000059</v>
          </cell>
          <cell r="U806">
            <v>0.35562097751525745</v>
          </cell>
          <cell r="AI806">
            <v>0.79400000000000059</v>
          </cell>
          <cell r="AK806">
            <v>0.18393844150686911</v>
          </cell>
          <cell r="AY806">
            <v>0.79400000000000059</v>
          </cell>
          <cell r="BA806">
            <v>0.41395306253242592</v>
          </cell>
        </row>
        <row r="807">
          <cell r="S807">
            <v>0.7950000000000006</v>
          </cell>
          <cell r="U807">
            <v>0.40530058090788723</v>
          </cell>
          <cell r="AI807">
            <v>0.7950000000000006</v>
          </cell>
          <cell r="AK807">
            <v>0.24209158685536514</v>
          </cell>
          <cell r="AY807">
            <v>0.7950000000000006</v>
          </cell>
          <cell r="BA807">
            <v>0.58955656605731377</v>
          </cell>
        </row>
        <row r="808">
          <cell r="S808">
            <v>0.7960000000000006</v>
          </cell>
          <cell r="U808">
            <v>0.48940159785250731</v>
          </cell>
          <cell r="AI808">
            <v>0.7960000000000006</v>
          </cell>
          <cell r="AK808">
            <v>0.18047733837322291</v>
          </cell>
          <cell r="AY808">
            <v>0.7960000000000006</v>
          </cell>
          <cell r="BA808">
            <v>0.98355052339243754</v>
          </cell>
        </row>
        <row r="809">
          <cell r="S809">
            <v>0.7970000000000006</v>
          </cell>
          <cell r="U809">
            <v>0.38401629695757417</v>
          </cell>
          <cell r="AI809">
            <v>0.7970000000000006</v>
          </cell>
          <cell r="AK809">
            <v>0.21637217118002428</v>
          </cell>
          <cell r="AY809">
            <v>0.7970000000000006</v>
          </cell>
          <cell r="BA809">
            <v>0.85326700643940545</v>
          </cell>
        </row>
        <row r="810">
          <cell r="S810">
            <v>0.7980000000000006</v>
          </cell>
          <cell r="U810">
            <v>0.7013045276086971</v>
          </cell>
          <cell r="AI810">
            <v>0.7980000000000006</v>
          </cell>
          <cell r="AK810">
            <v>0.11957357774903057</v>
          </cell>
          <cell r="AY810">
            <v>0.7980000000000006</v>
          </cell>
          <cell r="BA810">
            <v>0.14734336375011445</v>
          </cell>
        </row>
        <row r="811">
          <cell r="S811">
            <v>0.7990000000000006</v>
          </cell>
          <cell r="U811">
            <v>0.3315018670484427</v>
          </cell>
          <cell r="AI811">
            <v>0.7990000000000006</v>
          </cell>
          <cell r="AK811">
            <v>0.2531813758367476</v>
          </cell>
          <cell r="AY811">
            <v>0.7990000000000006</v>
          </cell>
          <cell r="BA811">
            <v>0.88088625751518301</v>
          </cell>
        </row>
        <row r="812">
          <cell r="S812">
            <v>0.8000000000000006</v>
          </cell>
          <cell r="U812">
            <v>0.50570537978846208</v>
          </cell>
          <cell r="AI812">
            <v>0.8000000000000006</v>
          </cell>
          <cell r="AK812">
            <v>0.1796358532323149</v>
          </cell>
          <cell r="AY812">
            <v>0.8000000000000006</v>
          </cell>
          <cell r="BA812">
            <v>0.35572374645222327</v>
          </cell>
        </row>
        <row r="813">
          <cell r="S813">
            <v>0.8010000000000006</v>
          </cell>
          <cell r="U813">
            <v>0.47494477998008927</v>
          </cell>
          <cell r="AI813">
            <v>0.8010000000000006</v>
          </cell>
          <cell r="AK813">
            <v>7.6089577344395518E-2</v>
          </cell>
          <cell r="AY813">
            <v>0.8010000000000006</v>
          </cell>
          <cell r="BA813">
            <v>0.83611560411389507</v>
          </cell>
        </row>
        <row r="814">
          <cell r="S814">
            <v>0.8020000000000006</v>
          </cell>
          <cell r="U814">
            <v>0.64385413128725288</v>
          </cell>
          <cell r="AI814">
            <v>0.8020000000000006</v>
          </cell>
          <cell r="AK814">
            <v>0.13300467334650468</v>
          </cell>
          <cell r="AY814">
            <v>0.8020000000000006</v>
          </cell>
          <cell r="BA814">
            <v>0.38685262611774041</v>
          </cell>
        </row>
        <row r="815">
          <cell r="S815">
            <v>0.8030000000000006</v>
          </cell>
          <cell r="U815">
            <v>0.45752252825177808</v>
          </cell>
          <cell r="AI815">
            <v>0.8030000000000006</v>
          </cell>
          <cell r="AK815">
            <v>0.45945927290357014</v>
          </cell>
          <cell r="AY815">
            <v>0.8030000000000006</v>
          </cell>
          <cell r="BA815">
            <v>0.13943906979583118</v>
          </cell>
        </row>
        <row r="816">
          <cell r="S816">
            <v>0.8040000000000006</v>
          </cell>
          <cell r="U816">
            <v>0.28584672060849398</v>
          </cell>
          <cell r="AI816">
            <v>0.8040000000000006</v>
          </cell>
          <cell r="AK816">
            <v>0.15562975265285708</v>
          </cell>
          <cell r="AY816">
            <v>0.8040000000000006</v>
          </cell>
          <cell r="BA816">
            <v>2.5879696035645616E-2</v>
          </cell>
        </row>
        <row r="817">
          <cell r="S817">
            <v>0.8050000000000006</v>
          </cell>
          <cell r="U817">
            <v>0.29318323267886892</v>
          </cell>
          <cell r="AI817">
            <v>0.8050000000000006</v>
          </cell>
          <cell r="AK817">
            <v>0.23538534461359084</v>
          </cell>
          <cell r="AY817">
            <v>0.8050000000000006</v>
          </cell>
          <cell r="BA817">
            <v>0.35709707937864316</v>
          </cell>
        </row>
        <row r="818">
          <cell r="S818">
            <v>0.8060000000000006</v>
          </cell>
          <cell r="U818">
            <v>0.70326696636375075</v>
          </cell>
          <cell r="AI818">
            <v>0.8060000000000006</v>
          </cell>
          <cell r="AK818">
            <v>0.24521915934885496</v>
          </cell>
          <cell r="AY818">
            <v>0.8060000000000006</v>
          </cell>
          <cell r="BA818">
            <v>0.62196722312082275</v>
          </cell>
        </row>
        <row r="819">
          <cell r="S819">
            <v>0.80700000000000061</v>
          </cell>
          <cell r="U819">
            <v>0.4342288526940104</v>
          </cell>
          <cell r="AI819">
            <v>0.80700000000000061</v>
          </cell>
          <cell r="AK819">
            <v>0.14158481135762929</v>
          </cell>
          <cell r="AY819">
            <v>0.80700000000000061</v>
          </cell>
          <cell r="BA819">
            <v>0.86199530014954073</v>
          </cell>
        </row>
        <row r="820">
          <cell r="S820">
            <v>0.80800000000000061</v>
          </cell>
          <cell r="U820">
            <v>0.54690308724948888</v>
          </cell>
          <cell r="AI820">
            <v>0.80800000000000061</v>
          </cell>
          <cell r="AK820">
            <v>6.1624179139651507E-2</v>
          </cell>
          <cell r="AY820">
            <v>0.80800000000000061</v>
          </cell>
          <cell r="BA820">
            <v>0.10797448652607808</v>
          </cell>
        </row>
        <row r="821">
          <cell r="S821">
            <v>0.80900000000000061</v>
          </cell>
          <cell r="U821">
            <v>0.67970577740511784</v>
          </cell>
          <cell r="AI821">
            <v>0.80900000000000061</v>
          </cell>
          <cell r="AK821">
            <v>9.3248693655995751E-2</v>
          </cell>
          <cell r="AY821">
            <v>0.80900000000000061</v>
          </cell>
          <cell r="BA821">
            <v>0.76235236671040985</v>
          </cell>
        </row>
        <row r="822">
          <cell r="S822">
            <v>0.81000000000000061</v>
          </cell>
          <cell r="U822">
            <v>0.43158779730164193</v>
          </cell>
          <cell r="AI822">
            <v>0.81000000000000061</v>
          </cell>
          <cell r="AK822">
            <v>7.1806334881597864E-2</v>
          </cell>
          <cell r="AY822">
            <v>0.81000000000000061</v>
          </cell>
          <cell r="BA822">
            <v>0.25055696279793693</v>
          </cell>
        </row>
        <row r="823">
          <cell r="S823">
            <v>0.81100000000000061</v>
          </cell>
          <cell r="U823">
            <v>0.6164012300677616</v>
          </cell>
          <cell r="AI823">
            <v>0.81100000000000061</v>
          </cell>
          <cell r="AK823">
            <v>5.4806232004029197E-2</v>
          </cell>
          <cell r="AY823">
            <v>0.81100000000000061</v>
          </cell>
          <cell r="BA823">
            <v>4.6723838007751706E-2</v>
          </cell>
        </row>
        <row r="824">
          <cell r="S824">
            <v>0.81200000000000061</v>
          </cell>
          <cell r="U824">
            <v>0.31183798766342974</v>
          </cell>
          <cell r="AI824">
            <v>0.81200000000000061</v>
          </cell>
          <cell r="AK824">
            <v>0.13167645952044024</v>
          </cell>
          <cell r="AY824">
            <v>0.81200000000000061</v>
          </cell>
          <cell r="BA824">
            <v>0.53132724997711112</v>
          </cell>
        </row>
        <row r="825">
          <cell r="S825">
            <v>0.81300000000000061</v>
          </cell>
          <cell r="U825">
            <v>0.47350372244174693</v>
          </cell>
          <cell r="AI825">
            <v>0.81300000000000061</v>
          </cell>
          <cell r="AK825">
            <v>8.3347583673274647E-2</v>
          </cell>
          <cell r="AY825">
            <v>0.81300000000000061</v>
          </cell>
          <cell r="BA825">
            <v>0.99090548417615287</v>
          </cell>
        </row>
        <row r="826">
          <cell r="S826">
            <v>0.81400000000000061</v>
          </cell>
          <cell r="U826">
            <v>0.69163377262375536</v>
          </cell>
          <cell r="AI826">
            <v>0.81400000000000061</v>
          </cell>
          <cell r="AK826">
            <v>0.25498487671348846</v>
          </cell>
          <cell r="AY826">
            <v>0.81400000000000061</v>
          </cell>
          <cell r="BA826">
            <v>0.77425458540604875</v>
          </cell>
        </row>
        <row r="827">
          <cell r="S827">
            <v>0.81500000000000061</v>
          </cell>
          <cell r="U827">
            <v>0.36832805994068635</v>
          </cell>
          <cell r="AI827">
            <v>0.81500000000000061</v>
          </cell>
          <cell r="AK827">
            <v>0.25569634738153313</v>
          </cell>
          <cell r="AY827">
            <v>0.81500000000000061</v>
          </cell>
          <cell r="BA827">
            <v>0.73250526444288466</v>
          </cell>
        </row>
        <row r="828">
          <cell r="S828">
            <v>0.81600000000000061</v>
          </cell>
          <cell r="U828">
            <v>0.63304945296245518</v>
          </cell>
          <cell r="AI828">
            <v>0.81600000000000061</v>
          </cell>
          <cell r="AK828">
            <v>0.12121768428394998</v>
          </cell>
          <cell r="AY828">
            <v>0.81600000000000061</v>
          </cell>
          <cell r="BA828">
            <v>4.9501022370067455E-2</v>
          </cell>
        </row>
        <row r="829">
          <cell r="S829">
            <v>0.81700000000000061</v>
          </cell>
          <cell r="U829">
            <v>0.20204507551129872</v>
          </cell>
          <cell r="AI829">
            <v>0.81700000000000061</v>
          </cell>
          <cell r="AK829">
            <v>0.26824898071006453</v>
          </cell>
          <cell r="AY829">
            <v>0.81700000000000061</v>
          </cell>
          <cell r="BA829">
            <v>0.67311624500259404</v>
          </cell>
        </row>
        <row r="830">
          <cell r="S830">
            <v>0.81800000000000062</v>
          </cell>
          <cell r="U830">
            <v>0.40022212399361856</v>
          </cell>
          <cell r="AI830">
            <v>0.81800000000000062</v>
          </cell>
          <cell r="AK830">
            <v>0.15934892354272662</v>
          </cell>
          <cell r="AY830">
            <v>0.81800000000000062</v>
          </cell>
          <cell r="BA830">
            <v>0.12851344340342419</v>
          </cell>
        </row>
        <row r="831">
          <cell r="S831">
            <v>0.81900000000000062</v>
          </cell>
          <cell r="U831">
            <v>0.79082698413692731</v>
          </cell>
          <cell r="AI831">
            <v>0.81900000000000062</v>
          </cell>
          <cell r="AK831">
            <v>0.19864673089611595</v>
          </cell>
          <cell r="AY831">
            <v>0.81900000000000062</v>
          </cell>
          <cell r="BA831">
            <v>0.13260292367320781</v>
          </cell>
        </row>
        <row r="832">
          <cell r="S832">
            <v>0.82000000000000062</v>
          </cell>
          <cell r="U832">
            <v>0.61038610867420218</v>
          </cell>
          <cell r="AI832">
            <v>0.82000000000000062</v>
          </cell>
          <cell r="AK832">
            <v>0.1224777534687042</v>
          </cell>
          <cell r="AY832">
            <v>0.82000000000000062</v>
          </cell>
          <cell r="BA832">
            <v>0.4621417889950255</v>
          </cell>
        </row>
        <row r="833">
          <cell r="S833">
            <v>0.82100000000000062</v>
          </cell>
          <cell r="U833">
            <v>0.20147799935074914</v>
          </cell>
          <cell r="AI833">
            <v>0.82100000000000062</v>
          </cell>
          <cell r="AK833">
            <v>0.36877094487057405</v>
          </cell>
          <cell r="AY833">
            <v>0.82100000000000062</v>
          </cell>
          <cell r="BA833">
            <v>0.59031952879421368</v>
          </cell>
        </row>
        <row r="834">
          <cell r="S834">
            <v>0.82200000000000062</v>
          </cell>
          <cell r="U834">
            <v>0.53105663384396462</v>
          </cell>
          <cell r="AI834">
            <v>0.82200000000000062</v>
          </cell>
          <cell r="AK834">
            <v>9.5416321371434173E-2</v>
          </cell>
          <cell r="AY834">
            <v>0.82200000000000062</v>
          </cell>
          <cell r="BA834">
            <v>0.92910550248725854</v>
          </cell>
        </row>
        <row r="835">
          <cell r="S835">
            <v>0.82300000000000062</v>
          </cell>
          <cell r="U835">
            <v>0.61172718417069127</v>
          </cell>
          <cell r="AI835">
            <v>0.82300000000000062</v>
          </cell>
          <cell r="AK835">
            <v>0.10432959943654878</v>
          </cell>
          <cell r="AY835">
            <v>0.82300000000000062</v>
          </cell>
          <cell r="BA835">
            <v>2.1637623218482005E-2</v>
          </cell>
        </row>
        <row r="836">
          <cell r="S836">
            <v>0.82400000000000062</v>
          </cell>
          <cell r="U836">
            <v>0.74494305291980356</v>
          </cell>
          <cell r="AI836">
            <v>0.82400000000000062</v>
          </cell>
          <cell r="AK836">
            <v>5.1602667775184116E-2</v>
          </cell>
          <cell r="AY836">
            <v>0.82400000000000062</v>
          </cell>
          <cell r="BA836">
            <v>8.0904568620868575E-2</v>
          </cell>
        </row>
        <row r="837">
          <cell r="S837">
            <v>0.82500000000000062</v>
          </cell>
          <cell r="U837">
            <v>0.58354093958681008</v>
          </cell>
          <cell r="AI837">
            <v>0.82500000000000062</v>
          </cell>
          <cell r="AK837">
            <v>7.6240503051202904E-2</v>
          </cell>
          <cell r="AY837">
            <v>0.82500000000000062</v>
          </cell>
          <cell r="BA837">
            <v>0.40177617725150305</v>
          </cell>
        </row>
        <row r="838">
          <cell r="S838">
            <v>0.82600000000000062</v>
          </cell>
          <cell r="U838">
            <v>0.21484745127671667</v>
          </cell>
          <cell r="AI838">
            <v>0.82600000000000062</v>
          </cell>
          <cell r="AK838">
            <v>0.30831063554428884</v>
          </cell>
          <cell r="AY838">
            <v>0.82600000000000062</v>
          </cell>
          <cell r="BA838">
            <v>0.91531113620410776</v>
          </cell>
        </row>
        <row r="839">
          <cell r="S839">
            <v>0.82700000000000062</v>
          </cell>
          <cell r="U839">
            <v>0.45101005409323336</v>
          </cell>
          <cell r="AI839">
            <v>0.82700000000000062</v>
          </cell>
          <cell r="AK839">
            <v>0.17984429211234548</v>
          </cell>
          <cell r="AY839">
            <v>0.82700000000000062</v>
          </cell>
          <cell r="BA839">
            <v>0.5298013245033113</v>
          </cell>
        </row>
        <row r="840">
          <cell r="S840">
            <v>0.82800000000000062</v>
          </cell>
          <cell r="U840">
            <v>0.60730639331385206</v>
          </cell>
          <cell r="AI840">
            <v>0.82800000000000062</v>
          </cell>
          <cell r="AK840">
            <v>0.28602319531978126</v>
          </cell>
          <cell r="AY840">
            <v>0.82800000000000062</v>
          </cell>
          <cell r="BA840">
            <v>0.97076326792199474</v>
          </cell>
        </row>
        <row r="841">
          <cell r="S841">
            <v>0.82900000000000063</v>
          </cell>
          <cell r="U841">
            <v>0.50724454097586991</v>
          </cell>
          <cell r="AI841">
            <v>0.82900000000000063</v>
          </cell>
          <cell r="AK841">
            <v>0.1751989166557936</v>
          </cell>
          <cell r="AY841">
            <v>0.82900000000000063</v>
          </cell>
          <cell r="BA841">
            <v>4.5899838251899784E-2</v>
          </cell>
        </row>
        <row r="842">
          <cell r="S842">
            <v>0.83000000000000063</v>
          </cell>
          <cell r="U842">
            <v>0.33969434286195699</v>
          </cell>
          <cell r="AI842">
            <v>0.83000000000000063</v>
          </cell>
          <cell r="AK842">
            <v>0.19960413170471136</v>
          </cell>
          <cell r="AY842">
            <v>0.83000000000000063</v>
          </cell>
          <cell r="BA842">
            <v>0.37202063051240575</v>
          </cell>
        </row>
        <row r="843">
          <cell r="S843">
            <v>0.83100000000000063</v>
          </cell>
          <cell r="U843">
            <v>0.48828825671713599</v>
          </cell>
          <cell r="AI843">
            <v>0.83100000000000063</v>
          </cell>
          <cell r="AK843">
            <v>0.23184172257985158</v>
          </cell>
          <cell r="AY843">
            <v>0.83100000000000063</v>
          </cell>
          <cell r="BA843">
            <v>1.9531846064638212E-3</v>
          </cell>
        </row>
        <row r="844">
          <cell r="S844">
            <v>0.83200000000000063</v>
          </cell>
          <cell r="U844">
            <v>0.26980827245581562</v>
          </cell>
          <cell r="AI844">
            <v>0.83200000000000063</v>
          </cell>
          <cell r="AK844">
            <v>0.1843376264457062</v>
          </cell>
          <cell r="AY844">
            <v>0.83200000000000063</v>
          </cell>
          <cell r="BA844">
            <v>0.99795525986510814</v>
          </cell>
        </row>
        <row r="845">
          <cell r="S845">
            <v>0.83300000000000063</v>
          </cell>
          <cell r="U845">
            <v>0.77495426857789051</v>
          </cell>
          <cell r="AI845">
            <v>0.83300000000000063</v>
          </cell>
          <cell r="AK845">
            <v>0.22470624283354812</v>
          </cell>
          <cell r="AY845">
            <v>0.83300000000000063</v>
          </cell>
          <cell r="BA845">
            <v>0.72124393444624169</v>
          </cell>
        </row>
        <row r="846">
          <cell r="S846">
            <v>0.83400000000000063</v>
          </cell>
          <cell r="U846">
            <v>0.52727856641997661</v>
          </cell>
          <cell r="AI846">
            <v>0.83400000000000063</v>
          </cell>
          <cell r="AK846">
            <v>0.1680686957090923</v>
          </cell>
          <cell r="AY846">
            <v>0.83400000000000063</v>
          </cell>
          <cell r="BA846">
            <v>0.81163975951414535</v>
          </cell>
        </row>
        <row r="847">
          <cell r="S847">
            <v>0.83500000000000063</v>
          </cell>
          <cell r="U847">
            <v>0.27285283018060208</v>
          </cell>
          <cell r="AI847">
            <v>0.83500000000000063</v>
          </cell>
          <cell r="AK847">
            <v>0.22295188197367544</v>
          </cell>
          <cell r="AY847">
            <v>0.83500000000000063</v>
          </cell>
          <cell r="BA847">
            <v>7.733390301217688E-2</v>
          </cell>
        </row>
        <row r="848">
          <cell r="S848">
            <v>0.83600000000000063</v>
          </cell>
          <cell r="U848">
            <v>0.54072727936570419</v>
          </cell>
          <cell r="AI848">
            <v>0.83600000000000063</v>
          </cell>
          <cell r="AK848">
            <v>4.8786347537394893E-2</v>
          </cell>
          <cell r="AY848">
            <v>0.83600000000000063</v>
          </cell>
          <cell r="BA848">
            <v>0.21594897305215613</v>
          </cell>
        </row>
        <row r="849">
          <cell r="S849">
            <v>0.83700000000000063</v>
          </cell>
          <cell r="U849">
            <v>0.17793545348169193</v>
          </cell>
          <cell r="AI849">
            <v>0.83700000000000063</v>
          </cell>
          <cell r="AK849">
            <v>0.12553601993260616</v>
          </cell>
          <cell r="AY849">
            <v>0.83700000000000063</v>
          </cell>
          <cell r="BA849">
            <v>0.85384685811944949</v>
          </cell>
        </row>
        <row r="850">
          <cell r="S850">
            <v>0.83800000000000063</v>
          </cell>
          <cell r="U850">
            <v>0.63102122696689511</v>
          </cell>
          <cell r="AI850">
            <v>0.83800000000000063</v>
          </cell>
          <cell r="AK850">
            <v>0.18017510003420592</v>
          </cell>
          <cell r="AY850">
            <v>0.83800000000000063</v>
          </cell>
          <cell r="BA850">
            <v>0.69667653431806387</v>
          </cell>
        </row>
        <row r="851">
          <cell r="S851">
            <v>0.83900000000000063</v>
          </cell>
          <cell r="U851">
            <v>0.86770059309655778</v>
          </cell>
          <cell r="AI851">
            <v>0.83900000000000063</v>
          </cell>
          <cell r="AK851">
            <v>0.25080328466572099</v>
          </cell>
          <cell r="AY851">
            <v>0.83900000000000063</v>
          </cell>
          <cell r="BA851">
            <v>0.64625995666371649</v>
          </cell>
        </row>
        <row r="852">
          <cell r="S852">
            <v>0.84000000000000064</v>
          </cell>
          <cell r="U852">
            <v>0.67907031872287371</v>
          </cell>
          <cell r="AI852">
            <v>0.84000000000000064</v>
          </cell>
          <cell r="AK852">
            <v>0.2828092703738736</v>
          </cell>
          <cell r="AY852">
            <v>0.84000000000000064</v>
          </cell>
          <cell r="BA852">
            <v>0.62041077913754694</v>
          </cell>
        </row>
        <row r="853">
          <cell r="S853">
            <v>0.84100000000000064</v>
          </cell>
          <cell r="U853">
            <v>0.17401036005182149</v>
          </cell>
          <cell r="AI853">
            <v>0.84100000000000064</v>
          </cell>
          <cell r="AK853">
            <v>0.11633308483904618</v>
          </cell>
          <cell r="AY853">
            <v>0.84100000000000064</v>
          </cell>
          <cell r="BA853">
            <v>0.95727408673360392</v>
          </cell>
        </row>
        <row r="854">
          <cell r="S854">
            <v>0.84200000000000064</v>
          </cell>
          <cell r="U854">
            <v>0.5670905348041213</v>
          </cell>
          <cell r="AI854">
            <v>0.84200000000000064</v>
          </cell>
          <cell r="AK854">
            <v>0.31063016605349758</v>
          </cell>
          <cell r="AY854">
            <v>0.84200000000000064</v>
          </cell>
          <cell r="BA854">
            <v>0.48484756004516738</v>
          </cell>
        </row>
        <row r="855">
          <cell r="S855">
            <v>0.84300000000000064</v>
          </cell>
          <cell r="U855">
            <v>0.51604598766036491</v>
          </cell>
          <cell r="AI855">
            <v>0.84300000000000064</v>
          </cell>
          <cell r="AK855">
            <v>0.22421911193104527</v>
          </cell>
          <cell r="AY855">
            <v>0.84300000000000064</v>
          </cell>
          <cell r="BA855">
            <v>0.83993041779839472</v>
          </cell>
        </row>
        <row r="856">
          <cell r="S856">
            <v>0.84400000000000064</v>
          </cell>
          <cell r="U856">
            <v>0.26629936356362199</v>
          </cell>
          <cell r="AI856">
            <v>0.84400000000000064</v>
          </cell>
          <cell r="AK856">
            <v>0.23466675110527224</v>
          </cell>
          <cell r="AY856">
            <v>0.84400000000000064</v>
          </cell>
          <cell r="BA856">
            <v>0.80449842829676199</v>
          </cell>
        </row>
        <row r="857">
          <cell r="S857">
            <v>0.84500000000000064</v>
          </cell>
          <cell r="U857">
            <v>0.74022401910034352</v>
          </cell>
          <cell r="AI857">
            <v>0.84500000000000064</v>
          </cell>
          <cell r="AK857">
            <v>0.32671040493450998</v>
          </cell>
          <cell r="AY857">
            <v>0.84500000000000064</v>
          </cell>
          <cell r="BA857">
            <v>0.79149754325998722</v>
          </cell>
        </row>
        <row r="858">
          <cell r="S858">
            <v>0.84600000000000064</v>
          </cell>
          <cell r="U858">
            <v>0.4797669176831062</v>
          </cell>
          <cell r="AI858">
            <v>0.84600000000000064</v>
          </cell>
          <cell r="AK858">
            <v>0.22581361101803032</v>
          </cell>
          <cell r="AY858">
            <v>0.84600000000000064</v>
          </cell>
          <cell r="BA858">
            <v>0.77764213995788445</v>
          </cell>
        </row>
        <row r="859">
          <cell r="S859">
            <v>0.84700000000000064</v>
          </cell>
          <cell r="U859">
            <v>0.83332360551534534</v>
          </cell>
          <cell r="AI859">
            <v>0.84700000000000064</v>
          </cell>
          <cell r="AK859">
            <v>0.18537733871360659</v>
          </cell>
          <cell r="AY859">
            <v>0.84700000000000064</v>
          </cell>
          <cell r="BA859">
            <v>0.70973845637379074</v>
          </cell>
        </row>
        <row r="860">
          <cell r="S860">
            <v>0.84800000000000064</v>
          </cell>
          <cell r="U860">
            <v>0.40101056907791854</v>
          </cell>
          <cell r="AI860">
            <v>0.84800000000000064</v>
          </cell>
          <cell r="AK860">
            <v>0.1253613977306787</v>
          </cell>
          <cell r="AY860">
            <v>0.84800000000000064</v>
          </cell>
          <cell r="BA860">
            <v>0.54603717154454179</v>
          </cell>
        </row>
        <row r="861">
          <cell r="S861">
            <v>0.84900000000000064</v>
          </cell>
          <cell r="U861">
            <v>0.69704362586140989</v>
          </cell>
          <cell r="AI861">
            <v>0.84900000000000064</v>
          </cell>
          <cell r="AK861">
            <v>6.4854416185608332E-2</v>
          </cell>
          <cell r="AY861">
            <v>0.84900000000000064</v>
          </cell>
          <cell r="BA861">
            <v>0.72673726615192114</v>
          </cell>
        </row>
        <row r="862">
          <cell r="S862">
            <v>0.85000000000000064</v>
          </cell>
          <cell r="U862">
            <v>0.53786705173707383</v>
          </cell>
          <cell r="AI862">
            <v>0.85000000000000064</v>
          </cell>
          <cell r="AK862">
            <v>0.16222193486683209</v>
          </cell>
          <cell r="AY862">
            <v>0.85000000000000064</v>
          </cell>
          <cell r="BA862">
            <v>0.85369426557206951</v>
          </cell>
        </row>
        <row r="863">
          <cell r="S863">
            <v>0.85100000000000064</v>
          </cell>
          <cell r="U863">
            <v>0.72834285226867768</v>
          </cell>
          <cell r="AI863">
            <v>0.85100000000000064</v>
          </cell>
          <cell r="AK863">
            <v>0.26325512353822622</v>
          </cell>
          <cell r="AY863">
            <v>0.85100000000000064</v>
          </cell>
          <cell r="BA863">
            <v>0.75243385113071082</v>
          </cell>
        </row>
        <row r="864">
          <cell r="S864">
            <v>0.85200000000000065</v>
          </cell>
          <cell r="U864">
            <v>0.4224290707260106</v>
          </cell>
          <cell r="AI864">
            <v>0.85200000000000065</v>
          </cell>
          <cell r="AK864">
            <v>0.23378880175028016</v>
          </cell>
          <cell r="AY864">
            <v>0.85200000000000065</v>
          </cell>
          <cell r="BA864">
            <v>0.85738700521866507</v>
          </cell>
        </row>
        <row r="865">
          <cell r="S865">
            <v>0.85300000000000065</v>
          </cell>
          <cell r="U865">
            <v>0.58192928822290335</v>
          </cell>
          <cell r="AI865">
            <v>0.85300000000000065</v>
          </cell>
          <cell r="AK865">
            <v>0.20573552330460454</v>
          </cell>
          <cell r="AY865">
            <v>0.85300000000000065</v>
          </cell>
          <cell r="BA865">
            <v>0.71858882412182989</v>
          </cell>
        </row>
        <row r="866">
          <cell r="S866">
            <v>0.85400000000000065</v>
          </cell>
          <cell r="U866">
            <v>0.49892606411606688</v>
          </cell>
          <cell r="AI866">
            <v>0.85400000000000065</v>
          </cell>
          <cell r="AK866">
            <v>0.14512009761995653</v>
          </cell>
          <cell r="AY866">
            <v>0.85400000000000065</v>
          </cell>
          <cell r="BA866">
            <v>0.36802270577105012</v>
          </cell>
        </row>
        <row r="867">
          <cell r="S867">
            <v>0.85500000000000065</v>
          </cell>
          <cell r="U867">
            <v>0.54917702743134467</v>
          </cell>
          <cell r="AI867">
            <v>0.85500000000000065</v>
          </cell>
          <cell r="AK867">
            <v>0.14735532414847022</v>
          </cell>
          <cell r="AY867">
            <v>0.85500000000000065</v>
          </cell>
          <cell r="BA867">
            <v>0.93694875942258982</v>
          </cell>
        </row>
        <row r="868">
          <cell r="S868">
            <v>0.85600000000000065</v>
          </cell>
          <cell r="U868">
            <v>0.29510750336546937</v>
          </cell>
          <cell r="AI868">
            <v>0.85600000000000065</v>
          </cell>
          <cell r="AK868">
            <v>0.1674752487549051</v>
          </cell>
          <cell r="AY868">
            <v>0.85600000000000065</v>
          </cell>
          <cell r="BA868">
            <v>0.52949613940855134</v>
          </cell>
        </row>
        <row r="869">
          <cell r="S869">
            <v>0.85700000000000065</v>
          </cell>
          <cell r="U869">
            <v>0.47601725652804366</v>
          </cell>
          <cell r="AI869">
            <v>0.85700000000000065</v>
          </cell>
          <cell r="AK869">
            <v>0.26692404951544479</v>
          </cell>
          <cell r="AY869">
            <v>0.85700000000000065</v>
          </cell>
          <cell r="BA869">
            <v>0.80095828119754631</v>
          </cell>
        </row>
        <row r="870">
          <cell r="S870">
            <v>0.85800000000000065</v>
          </cell>
          <cell r="U870">
            <v>0.6583768244412187</v>
          </cell>
          <cell r="AI870">
            <v>0.85800000000000065</v>
          </cell>
          <cell r="AK870">
            <v>0.16672678083286302</v>
          </cell>
          <cell r="AY870">
            <v>0.85800000000000065</v>
          </cell>
          <cell r="BA870">
            <v>0.49879451887569809</v>
          </cell>
        </row>
        <row r="871">
          <cell r="S871">
            <v>0.85900000000000065</v>
          </cell>
          <cell r="U871">
            <v>0.30943310953645708</v>
          </cell>
          <cell r="AI871">
            <v>0.85900000000000065</v>
          </cell>
          <cell r="AK871">
            <v>7.8118446732214783E-2</v>
          </cell>
          <cell r="AY871">
            <v>0.85900000000000065</v>
          </cell>
          <cell r="BA871">
            <v>0.38956877346110413</v>
          </cell>
        </row>
        <row r="872">
          <cell r="S872">
            <v>0.86000000000000065</v>
          </cell>
          <cell r="U872">
            <v>0.63029954688148182</v>
          </cell>
          <cell r="AI872">
            <v>0.86000000000000065</v>
          </cell>
          <cell r="AK872">
            <v>0.23304132691736712</v>
          </cell>
          <cell r="AY872">
            <v>0.86000000000000065</v>
          </cell>
          <cell r="BA872">
            <v>0.70131534775841553</v>
          </cell>
        </row>
        <row r="873">
          <cell r="S873">
            <v>0.86100000000000065</v>
          </cell>
          <cell r="U873">
            <v>0.69775192017754817</v>
          </cell>
          <cell r="AI873">
            <v>0.86100000000000065</v>
          </cell>
          <cell r="AK873">
            <v>0.23794031331271304</v>
          </cell>
          <cell r="AY873">
            <v>0.86100000000000065</v>
          </cell>
          <cell r="BA873">
            <v>0.50263985106967379</v>
          </cell>
        </row>
        <row r="874">
          <cell r="S874">
            <v>0.86200000000000065</v>
          </cell>
          <cell r="U874">
            <v>0.58108444344491583</v>
          </cell>
          <cell r="AI874">
            <v>0.86200000000000065</v>
          </cell>
          <cell r="AK874">
            <v>0.38186787518355514</v>
          </cell>
          <cell r="AY874">
            <v>0.86200000000000065</v>
          </cell>
          <cell r="BA874">
            <v>0.32218390453810236</v>
          </cell>
        </row>
        <row r="875">
          <cell r="S875">
            <v>0.86300000000000066</v>
          </cell>
          <cell r="U875">
            <v>0.36423465072584532</v>
          </cell>
          <cell r="AI875">
            <v>0.86300000000000066</v>
          </cell>
          <cell r="AK875">
            <v>0.18465725336569502</v>
          </cell>
          <cell r="AY875">
            <v>0.86300000000000066</v>
          </cell>
          <cell r="BA875">
            <v>0.39378032776879179</v>
          </cell>
        </row>
        <row r="876">
          <cell r="S876">
            <v>0.86400000000000066</v>
          </cell>
          <cell r="U876">
            <v>0.7102336018055535</v>
          </cell>
          <cell r="AI876">
            <v>0.86400000000000066</v>
          </cell>
          <cell r="AK876">
            <v>0.19638042395119149</v>
          </cell>
          <cell r="AY876">
            <v>0.86400000000000066</v>
          </cell>
          <cell r="BA876">
            <v>0.48609881893368329</v>
          </cell>
        </row>
        <row r="877">
          <cell r="S877">
            <v>0.86500000000000066</v>
          </cell>
          <cell r="U877">
            <v>0.29112063182786974</v>
          </cell>
          <cell r="AI877">
            <v>0.86500000000000066</v>
          </cell>
          <cell r="AK877">
            <v>7.0618495919752972E-2</v>
          </cell>
          <cell r="AY877">
            <v>0.86500000000000066</v>
          </cell>
          <cell r="BA877">
            <v>9.3966490676595349E-2</v>
          </cell>
        </row>
        <row r="878">
          <cell r="S878">
            <v>0.86600000000000066</v>
          </cell>
          <cell r="U878">
            <v>0.56061001856499915</v>
          </cell>
          <cell r="AI878">
            <v>0.86600000000000066</v>
          </cell>
          <cell r="AK878">
            <v>0.12815384535368307</v>
          </cell>
          <cell r="AY878">
            <v>0.86600000000000066</v>
          </cell>
          <cell r="BA878">
            <v>0.69759208960234387</v>
          </cell>
        </row>
        <row r="879">
          <cell r="S879">
            <v>0.86700000000000066</v>
          </cell>
          <cell r="U879">
            <v>0.58924088169949607</v>
          </cell>
          <cell r="AI879">
            <v>0.86700000000000066</v>
          </cell>
          <cell r="AK879">
            <v>0.22092885873161394</v>
          </cell>
          <cell r="AY879">
            <v>0.86700000000000066</v>
          </cell>
          <cell r="BA879">
            <v>0.86037781914731282</v>
          </cell>
        </row>
        <row r="880">
          <cell r="S880">
            <v>0.86800000000000066</v>
          </cell>
          <cell r="U880">
            <v>0.41315723221472017</v>
          </cell>
          <cell r="AI880">
            <v>0.86800000000000066</v>
          </cell>
          <cell r="AK880">
            <v>0.1848535123963139</v>
          </cell>
          <cell r="AY880">
            <v>0.86800000000000066</v>
          </cell>
          <cell r="BA880">
            <v>0.18506424146244699</v>
          </cell>
        </row>
        <row r="881">
          <cell r="S881">
            <v>0.86900000000000066</v>
          </cell>
          <cell r="U881">
            <v>0.44073042451122846</v>
          </cell>
          <cell r="AI881">
            <v>0.86900000000000066</v>
          </cell>
          <cell r="AK881">
            <v>0.28992343606181625</v>
          </cell>
          <cell r="AY881">
            <v>0.86900000000000066</v>
          </cell>
          <cell r="BA881">
            <v>6.9948423718985561E-2</v>
          </cell>
        </row>
        <row r="882">
          <cell r="S882">
            <v>0.87000000000000066</v>
          </cell>
          <cell r="U882">
            <v>0.36027877134667902</v>
          </cell>
          <cell r="AI882">
            <v>0.87000000000000066</v>
          </cell>
          <cell r="AK882">
            <v>0.24502475251190581</v>
          </cell>
          <cell r="AY882">
            <v>0.87000000000000066</v>
          </cell>
          <cell r="BA882">
            <v>0.44325083162938322</v>
          </cell>
        </row>
        <row r="883">
          <cell r="S883">
            <v>0.87100000000000066</v>
          </cell>
          <cell r="U883">
            <v>0.76281955838848226</v>
          </cell>
          <cell r="AI883">
            <v>0.87100000000000066</v>
          </cell>
          <cell r="AK883">
            <v>0.30327103493027929</v>
          </cell>
          <cell r="AY883">
            <v>0.87100000000000066</v>
          </cell>
          <cell r="BA883">
            <v>0.92477187414166695</v>
          </cell>
        </row>
        <row r="884">
          <cell r="S884">
            <v>0.87200000000000066</v>
          </cell>
          <cell r="U884">
            <v>0.63837304859924471</v>
          </cell>
          <cell r="AI884">
            <v>0.87200000000000066</v>
          </cell>
          <cell r="AK884">
            <v>0.45218285128593383</v>
          </cell>
          <cell r="AY884">
            <v>0.87200000000000066</v>
          </cell>
          <cell r="BA884">
            <v>0.12091433454390089</v>
          </cell>
        </row>
        <row r="885">
          <cell r="S885">
            <v>0.87300000000000066</v>
          </cell>
          <cell r="U885">
            <v>0.27833234312870581</v>
          </cell>
          <cell r="AI885">
            <v>0.87300000000000066</v>
          </cell>
          <cell r="AK885">
            <v>0.20636025822011139</v>
          </cell>
          <cell r="AY885">
            <v>0.87300000000000066</v>
          </cell>
          <cell r="BA885">
            <v>0.77581102938932467</v>
          </cell>
        </row>
        <row r="886">
          <cell r="S886">
            <v>0.87400000000000067</v>
          </cell>
          <cell r="U886">
            <v>0.36428953621559473</v>
          </cell>
          <cell r="AI886">
            <v>0.87400000000000067</v>
          </cell>
          <cell r="AK886">
            <v>0.14451354620300974</v>
          </cell>
          <cell r="AY886">
            <v>0.87400000000000067</v>
          </cell>
          <cell r="BA886">
            <v>8.4597308267464227E-2</v>
          </cell>
        </row>
        <row r="887">
          <cell r="S887">
            <v>0.87500000000000067</v>
          </cell>
          <cell r="U887">
            <v>0.4118115784421012</v>
          </cell>
          <cell r="AI887">
            <v>0.87500000000000067</v>
          </cell>
          <cell r="AK887">
            <v>0.27917638043850557</v>
          </cell>
          <cell r="AY887">
            <v>0.87500000000000067</v>
          </cell>
          <cell r="BA887">
            <v>0.82763145847956787</v>
          </cell>
        </row>
        <row r="888">
          <cell r="S888">
            <v>0.87600000000000067</v>
          </cell>
          <cell r="U888">
            <v>0.18369109187364172</v>
          </cell>
          <cell r="AI888">
            <v>0.87600000000000067</v>
          </cell>
          <cell r="AK888">
            <v>8.6430567010917614E-2</v>
          </cell>
          <cell r="AY888">
            <v>0.87600000000000067</v>
          </cell>
          <cell r="BA888">
            <v>0.62096011230811488</v>
          </cell>
        </row>
        <row r="889">
          <cell r="S889">
            <v>0.87700000000000067</v>
          </cell>
          <cell r="U889">
            <v>0.52600558909536477</v>
          </cell>
          <cell r="AI889">
            <v>0.87700000000000067</v>
          </cell>
          <cell r="AK889">
            <v>0.24923371270898975</v>
          </cell>
          <cell r="AY889">
            <v>0.87700000000000067</v>
          </cell>
          <cell r="BA889">
            <v>0.58134708700827054</v>
          </cell>
        </row>
        <row r="890">
          <cell r="S890">
            <v>0.87800000000000067</v>
          </cell>
          <cell r="U890">
            <v>0.12751682903448311</v>
          </cell>
          <cell r="AI890">
            <v>0.87800000000000067</v>
          </cell>
          <cell r="AK890">
            <v>0.1690867619577795</v>
          </cell>
          <cell r="AY890">
            <v>0.87800000000000067</v>
          </cell>
          <cell r="BA890">
            <v>0.95590075380718409</v>
          </cell>
        </row>
        <row r="891">
          <cell r="S891">
            <v>0.87900000000000067</v>
          </cell>
          <cell r="U891">
            <v>0.40584890490728975</v>
          </cell>
          <cell r="AI891">
            <v>0.87900000000000067</v>
          </cell>
          <cell r="AK891">
            <v>0.30529160041180448</v>
          </cell>
          <cell r="AY891">
            <v>0.87900000000000067</v>
          </cell>
          <cell r="BA891">
            <v>0.73473311563463239</v>
          </cell>
        </row>
        <row r="892">
          <cell r="S892">
            <v>0.88000000000000067</v>
          </cell>
          <cell r="U892">
            <v>0.62005484130683863</v>
          </cell>
          <cell r="AI892">
            <v>0.88000000000000067</v>
          </cell>
          <cell r="AK892">
            <v>0.2371270408100844</v>
          </cell>
          <cell r="AY892">
            <v>0.88000000000000067</v>
          </cell>
          <cell r="BA892">
            <v>0.1825922421948912</v>
          </cell>
        </row>
        <row r="893">
          <cell r="S893">
            <v>0.88100000000000067</v>
          </cell>
          <cell r="U893">
            <v>0.71025786596091345</v>
          </cell>
          <cell r="AI893">
            <v>0.88100000000000067</v>
          </cell>
          <cell r="AK893">
            <v>7.3431868053149524E-2</v>
          </cell>
          <cell r="AY893">
            <v>0.88100000000000067</v>
          </cell>
          <cell r="BA893">
            <v>0.51066621906186105</v>
          </cell>
        </row>
        <row r="894">
          <cell r="S894">
            <v>0.88200000000000067</v>
          </cell>
          <cell r="U894">
            <v>0.63374016069450478</v>
          </cell>
          <cell r="AI894">
            <v>0.88200000000000067</v>
          </cell>
          <cell r="AK894">
            <v>0.42645378029564029</v>
          </cell>
          <cell r="AY894">
            <v>0.88200000000000067</v>
          </cell>
          <cell r="BA894">
            <v>0.93661305581835386</v>
          </cell>
        </row>
        <row r="895">
          <cell r="S895">
            <v>0.88300000000000067</v>
          </cell>
          <cell r="U895">
            <v>0.46682029404868663</v>
          </cell>
          <cell r="AI895">
            <v>0.88300000000000067</v>
          </cell>
          <cell r="AK895">
            <v>0.2619933310273469</v>
          </cell>
          <cell r="AY895">
            <v>0.88300000000000067</v>
          </cell>
          <cell r="BA895">
            <v>0.65254676961577196</v>
          </cell>
        </row>
        <row r="896">
          <cell r="S896">
            <v>0.88400000000000067</v>
          </cell>
          <cell r="U896">
            <v>0.32181666609273768</v>
          </cell>
          <cell r="AI896">
            <v>0.88400000000000067</v>
          </cell>
          <cell r="AK896">
            <v>0.13441468871481607</v>
          </cell>
          <cell r="AY896">
            <v>0.88400000000000067</v>
          </cell>
          <cell r="BA896">
            <v>0.3511764885402997</v>
          </cell>
        </row>
        <row r="897">
          <cell r="S897">
            <v>0.88500000000000068</v>
          </cell>
          <cell r="U897">
            <v>0.58147422968256812</v>
          </cell>
          <cell r="AI897">
            <v>0.88500000000000068</v>
          </cell>
          <cell r="AK897">
            <v>0.15357042329784806</v>
          </cell>
          <cell r="AY897">
            <v>0.88500000000000068</v>
          </cell>
          <cell r="BA897">
            <v>0.73287148655659662</v>
          </cell>
        </row>
        <row r="898">
          <cell r="S898">
            <v>0.88600000000000068</v>
          </cell>
          <cell r="U898">
            <v>0.43079048828398769</v>
          </cell>
          <cell r="AI898">
            <v>0.88600000000000068</v>
          </cell>
          <cell r="AK898">
            <v>0.13645945982717078</v>
          </cell>
          <cell r="AY898">
            <v>0.88600000000000068</v>
          </cell>
          <cell r="BA898">
            <v>0.60396130252998448</v>
          </cell>
        </row>
        <row r="899">
          <cell r="S899">
            <v>0.88700000000000068</v>
          </cell>
          <cell r="U899">
            <v>0.46364565406403219</v>
          </cell>
          <cell r="AI899">
            <v>0.88700000000000068</v>
          </cell>
          <cell r="AK899">
            <v>0.18151504577496763</v>
          </cell>
          <cell r="AY899">
            <v>0.88700000000000068</v>
          </cell>
          <cell r="BA899">
            <v>9.6011230811487186E-2</v>
          </cell>
        </row>
        <row r="900">
          <cell r="S900">
            <v>0.88800000000000068</v>
          </cell>
          <cell r="U900">
            <v>0.41056156501047569</v>
          </cell>
          <cell r="AI900">
            <v>0.88800000000000068</v>
          </cell>
          <cell r="AK900">
            <v>1.5812737375814893E-2</v>
          </cell>
          <cell r="AY900">
            <v>0.88800000000000068</v>
          </cell>
          <cell r="BA900">
            <v>0.34223456526383256</v>
          </cell>
        </row>
        <row r="901">
          <cell r="S901">
            <v>0.88900000000000068</v>
          </cell>
          <cell r="U901">
            <v>0.14504561998792695</v>
          </cell>
          <cell r="AI901">
            <v>0.88900000000000068</v>
          </cell>
          <cell r="AK901">
            <v>0.1878166149291276</v>
          </cell>
          <cell r="AY901">
            <v>0.88900000000000068</v>
          </cell>
          <cell r="BA901">
            <v>0.82042909024323252</v>
          </cell>
        </row>
        <row r="902">
          <cell r="S902">
            <v>0.89000000000000068</v>
          </cell>
          <cell r="U902">
            <v>0.40554988895338717</v>
          </cell>
          <cell r="AI902">
            <v>0.89000000000000068</v>
          </cell>
          <cell r="AK902">
            <v>5.7877013320961734E-2</v>
          </cell>
          <cell r="AY902">
            <v>0.89000000000000068</v>
          </cell>
          <cell r="BA902">
            <v>8.2644123661000407E-2</v>
          </cell>
        </row>
        <row r="903">
          <cell r="S903">
            <v>0.89100000000000068</v>
          </cell>
          <cell r="U903">
            <v>0.33497605502521727</v>
          </cell>
          <cell r="AI903">
            <v>0.89100000000000068</v>
          </cell>
          <cell r="AK903">
            <v>4.2109354600488598E-2</v>
          </cell>
          <cell r="AY903">
            <v>0.89100000000000068</v>
          </cell>
          <cell r="BA903">
            <v>0.66423535874507889</v>
          </cell>
        </row>
        <row r="904">
          <cell r="S904">
            <v>0.89200000000000068</v>
          </cell>
          <cell r="U904">
            <v>0.1517461711986525</v>
          </cell>
          <cell r="AI904">
            <v>0.89200000000000068</v>
          </cell>
          <cell r="AK904">
            <v>0.28465138164486969</v>
          </cell>
          <cell r="AY904">
            <v>0.89200000000000068</v>
          </cell>
          <cell r="BA904">
            <v>0.93920712912381354</v>
          </cell>
        </row>
        <row r="905">
          <cell r="S905">
            <v>0.89300000000000068</v>
          </cell>
          <cell r="U905">
            <v>0.37987491823819186</v>
          </cell>
          <cell r="AI905">
            <v>0.89300000000000068</v>
          </cell>
          <cell r="AK905">
            <v>0.11471213334106935</v>
          </cell>
          <cell r="AY905">
            <v>0.89300000000000068</v>
          </cell>
          <cell r="BA905">
            <v>0.1815851313821833</v>
          </cell>
        </row>
        <row r="906">
          <cell r="S906">
            <v>0.89400000000000068</v>
          </cell>
          <cell r="U906">
            <v>0.50497399221809003</v>
          </cell>
          <cell r="AI906">
            <v>0.89400000000000068</v>
          </cell>
          <cell r="AK906">
            <v>9.6951716751562403E-2</v>
          </cell>
          <cell r="AY906">
            <v>0.89400000000000068</v>
          </cell>
          <cell r="BA906">
            <v>0.37308877834406567</v>
          </cell>
        </row>
        <row r="907">
          <cell r="S907">
            <v>0.89500000000000068</v>
          </cell>
          <cell r="U907">
            <v>0.71469827081797677</v>
          </cell>
          <cell r="AI907">
            <v>0.89500000000000068</v>
          </cell>
          <cell r="AK907">
            <v>0.15667267094985779</v>
          </cell>
          <cell r="AY907">
            <v>0.89500000000000068</v>
          </cell>
          <cell r="BA907">
            <v>0.18063905758842738</v>
          </cell>
        </row>
        <row r="908">
          <cell r="S908">
            <v>0.89600000000000068</v>
          </cell>
          <cell r="U908">
            <v>0.73219605955693923</v>
          </cell>
          <cell r="AI908">
            <v>0.89600000000000068</v>
          </cell>
          <cell r="AK908">
            <v>0.15046113464861993</v>
          </cell>
          <cell r="AY908">
            <v>0.89600000000000068</v>
          </cell>
          <cell r="BA908">
            <v>0.69737846003601189</v>
          </cell>
        </row>
        <row r="909">
          <cell r="S909">
            <v>0.89700000000000069</v>
          </cell>
          <cell r="U909">
            <v>0.82026926214627804</v>
          </cell>
          <cell r="AI909">
            <v>0.89700000000000069</v>
          </cell>
          <cell r="AK909">
            <v>0.16208107299870389</v>
          </cell>
          <cell r="AY909">
            <v>0.89700000000000069</v>
          </cell>
          <cell r="BA909">
            <v>0.57267983031708736</v>
          </cell>
        </row>
        <row r="910">
          <cell r="S910">
            <v>0.89800000000000069</v>
          </cell>
          <cell r="U910">
            <v>0.48964558330009972</v>
          </cell>
          <cell r="AI910">
            <v>0.89800000000000069</v>
          </cell>
          <cell r="AK910">
            <v>0.26823739704877059</v>
          </cell>
          <cell r="AY910">
            <v>0.89800000000000069</v>
          </cell>
          <cell r="BA910">
            <v>0.43940549943540758</v>
          </cell>
        </row>
        <row r="911">
          <cell r="S911">
            <v>0.89900000000000069</v>
          </cell>
          <cell r="U911">
            <v>0.66880319018797241</v>
          </cell>
          <cell r="AI911">
            <v>0.89900000000000069</v>
          </cell>
          <cell r="AK911">
            <v>0.10219327022557172</v>
          </cell>
          <cell r="AY911">
            <v>0.89900000000000069</v>
          </cell>
          <cell r="BA911">
            <v>0.55418561357463303</v>
          </cell>
        </row>
        <row r="912">
          <cell r="S912">
            <v>0.90000000000000069</v>
          </cell>
          <cell r="U912">
            <v>0.49621440729033495</v>
          </cell>
          <cell r="AI912">
            <v>0.90000000000000069</v>
          </cell>
          <cell r="AK912">
            <v>0.18173152677601573</v>
          </cell>
          <cell r="AY912">
            <v>0.90000000000000069</v>
          </cell>
          <cell r="BA912">
            <v>0.98629718924527721</v>
          </cell>
        </row>
        <row r="913">
          <cell r="S913">
            <v>0.90100000000000069</v>
          </cell>
          <cell r="U913">
            <v>0.24943749987896344</v>
          </cell>
          <cell r="AI913">
            <v>0.90100000000000069</v>
          </cell>
          <cell r="AK913">
            <v>0.20718274795381419</v>
          </cell>
          <cell r="AY913">
            <v>0.90100000000000069</v>
          </cell>
          <cell r="BA913">
            <v>9.656056398205512E-2</v>
          </cell>
        </row>
        <row r="914">
          <cell r="S914">
            <v>0.90200000000000069</v>
          </cell>
          <cell r="U914">
            <v>0.71385663893376905</v>
          </cell>
          <cell r="AI914">
            <v>0.90200000000000069</v>
          </cell>
          <cell r="AK914">
            <v>0.15566499427320593</v>
          </cell>
          <cell r="AY914">
            <v>0.90200000000000069</v>
          </cell>
          <cell r="BA914">
            <v>0.8384655293435469</v>
          </cell>
        </row>
        <row r="915">
          <cell r="S915">
            <v>0.90300000000000069</v>
          </cell>
          <cell r="U915">
            <v>0.65387896535840673</v>
          </cell>
          <cell r="AI915">
            <v>0.90300000000000069</v>
          </cell>
          <cell r="AK915">
            <v>0.11202540668054414</v>
          </cell>
          <cell r="AY915">
            <v>0.90300000000000069</v>
          </cell>
          <cell r="BA915">
            <v>1.7029328287606428E-2</v>
          </cell>
        </row>
        <row r="916">
          <cell r="S916">
            <v>0.90400000000000069</v>
          </cell>
          <cell r="U916">
            <v>0.6880084010780716</v>
          </cell>
          <cell r="AI916">
            <v>0.90400000000000069</v>
          </cell>
          <cell r="AK916">
            <v>0.14744769480100606</v>
          </cell>
          <cell r="AY916">
            <v>0.90400000000000069</v>
          </cell>
          <cell r="BA916">
            <v>0.90078432569353317</v>
          </cell>
        </row>
        <row r="917">
          <cell r="S917">
            <v>0.90500000000000069</v>
          </cell>
          <cell r="U917">
            <v>0.19646908212806813</v>
          </cell>
          <cell r="AI917">
            <v>0.90500000000000069</v>
          </cell>
          <cell r="AK917">
            <v>0.11771608319050866</v>
          </cell>
          <cell r="AY917">
            <v>0.90500000000000069</v>
          </cell>
          <cell r="BA917">
            <v>0.59416486098818933</v>
          </cell>
        </row>
        <row r="918">
          <cell r="S918">
            <v>0.90600000000000069</v>
          </cell>
          <cell r="U918">
            <v>0.54729212200793032</v>
          </cell>
          <cell r="AI918">
            <v>0.90600000000000069</v>
          </cell>
          <cell r="AK918">
            <v>0.26267800095673322</v>
          </cell>
          <cell r="AY918">
            <v>0.90600000000000069</v>
          </cell>
          <cell r="BA918">
            <v>0.17117831965086824</v>
          </cell>
        </row>
        <row r="919">
          <cell r="S919">
            <v>0.90700000000000069</v>
          </cell>
          <cell r="U919">
            <v>0.31857045303006393</v>
          </cell>
          <cell r="AI919">
            <v>0.90700000000000069</v>
          </cell>
          <cell r="AK919">
            <v>0.2257189153165382</v>
          </cell>
          <cell r="AY919">
            <v>0.90700000000000069</v>
          </cell>
          <cell r="BA919">
            <v>0.89590136417737354</v>
          </cell>
        </row>
        <row r="920">
          <cell r="S920">
            <v>0.9080000000000007</v>
          </cell>
          <cell r="U920">
            <v>0.13766595665489034</v>
          </cell>
          <cell r="AI920">
            <v>0.9080000000000007</v>
          </cell>
          <cell r="AK920">
            <v>0.16380000473136849</v>
          </cell>
          <cell r="AY920">
            <v>0.9080000000000007</v>
          </cell>
          <cell r="BA920">
            <v>0.57277138584551535</v>
          </cell>
        </row>
        <row r="921">
          <cell r="S921">
            <v>0.9090000000000007</v>
          </cell>
          <cell r="U921">
            <v>0.48235018251111694</v>
          </cell>
          <cell r="AI921">
            <v>0.9090000000000007</v>
          </cell>
          <cell r="AK921">
            <v>0.11370028911587056</v>
          </cell>
          <cell r="AY921">
            <v>0.9090000000000007</v>
          </cell>
          <cell r="BA921">
            <v>0.83434553056428729</v>
          </cell>
        </row>
        <row r="922">
          <cell r="S922">
            <v>0.9100000000000007</v>
          </cell>
          <cell r="U922">
            <v>0.52714049241791749</v>
          </cell>
          <cell r="AI922">
            <v>0.9100000000000007</v>
          </cell>
          <cell r="AK922">
            <v>0.17724840873591993</v>
          </cell>
          <cell r="AY922">
            <v>0.9100000000000007</v>
          </cell>
          <cell r="BA922">
            <v>0.13733329264198738</v>
          </cell>
        </row>
        <row r="923">
          <cell r="S923">
            <v>0.9110000000000007</v>
          </cell>
          <cell r="U923">
            <v>0.43067879671083703</v>
          </cell>
          <cell r="AI923">
            <v>0.9110000000000007</v>
          </cell>
          <cell r="AK923">
            <v>0.34838481033481139</v>
          </cell>
          <cell r="AY923">
            <v>0.9110000000000007</v>
          </cell>
          <cell r="BA923">
            <v>0.5723136082033754</v>
          </cell>
        </row>
        <row r="924">
          <cell r="S924">
            <v>0.9120000000000007</v>
          </cell>
          <cell r="U924">
            <v>0.15366117618980019</v>
          </cell>
          <cell r="AI924">
            <v>0.9120000000000007</v>
          </cell>
          <cell r="AK924">
            <v>0.21995882842270054</v>
          </cell>
          <cell r="AY924">
            <v>0.9120000000000007</v>
          </cell>
          <cell r="BA924">
            <v>0.91448713644825586</v>
          </cell>
        </row>
        <row r="925">
          <cell r="S925">
            <v>0.9130000000000007</v>
          </cell>
          <cell r="U925">
            <v>0.41834703698919534</v>
          </cell>
          <cell r="AI925">
            <v>0.9130000000000007</v>
          </cell>
          <cell r="AK925">
            <v>0.34682845647655225</v>
          </cell>
          <cell r="AY925">
            <v>0.9130000000000007</v>
          </cell>
          <cell r="BA925">
            <v>0.40903958250679034</v>
          </cell>
        </row>
        <row r="926">
          <cell r="S926">
            <v>0.9140000000000007</v>
          </cell>
          <cell r="U926">
            <v>0.43294128425997275</v>
          </cell>
          <cell r="AI926">
            <v>0.9140000000000007</v>
          </cell>
          <cell r="AK926">
            <v>9.5873961865681354E-2</v>
          </cell>
          <cell r="AY926">
            <v>0.9140000000000007</v>
          </cell>
          <cell r="BA926">
            <v>0.47511215552232428</v>
          </cell>
        </row>
        <row r="927">
          <cell r="S927">
            <v>0.9150000000000007</v>
          </cell>
          <cell r="U927">
            <v>0.36745865376043652</v>
          </cell>
          <cell r="AI927">
            <v>0.9150000000000007</v>
          </cell>
          <cell r="AK927">
            <v>0.30086856039358112</v>
          </cell>
          <cell r="AY927">
            <v>0.9150000000000007</v>
          </cell>
          <cell r="BA927">
            <v>0.78930021057771538</v>
          </cell>
        </row>
        <row r="928">
          <cell r="S928">
            <v>0.9160000000000007</v>
          </cell>
          <cell r="U928">
            <v>0.47950692479535112</v>
          </cell>
          <cell r="AI928">
            <v>0.9160000000000007</v>
          </cell>
          <cell r="AK928">
            <v>0.14202276161694766</v>
          </cell>
          <cell r="AY928">
            <v>0.9160000000000007</v>
          </cell>
          <cell r="BA928">
            <v>0.32459486678670613</v>
          </cell>
        </row>
        <row r="929">
          <cell r="S929">
            <v>0.9170000000000007</v>
          </cell>
          <cell r="U929">
            <v>0.51186427682760294</v>
          </cell>
          <cell r="AI929">
            <v>0.9170000000000007</v>
          </cell>
          <cell r="AK929">
            <v>0.23082797141431377</v>
          </cell>
          <cell r="AY929">
            <v>0.9170000000000007</v>
          </cell>
          <cell r="BA929">
            <v>0.73986022522659989</v>
          </cell>
        </row>
        <row r="930">
          <cell r="S930">
            <v>0.9180000000000007</v>
          </cell>
          <cell r="U930">
            <v>0.832150504102667</v>
          </cell>
          <cell r="AI930">
            <v>0.9180000000000007</v>
          </cell>
          <cell r="AK930">
            <v>9.8859101130583729E-2</v>
          </cell>
          <cell r="AY930">
            <v>0.9180000000000007</v>
          </cell>
          <cell r="BA930">
            <v>0.56675923947874385</v>
          </cell>
        </row>
        <row r="931">
          <cell r="S931">
            <v>0.91900000000000071</v>
          </cell>
          <cell r="U931">
            <v>0.13180722929178312</v>
          </cell>
          <cell r="AI931">
            <v>0.91900000000000071</v>
          </cell>
          <cell r="AK931">
            <v>0.18363386657981262</v>
          </cell>
          <cell r="AY931">
            <v>0.91900000000000071</v>
          </cell>
          <cell r="BA931">
            <v>0.9591967528305918</v>
          </cell>
        </row>
        <row r="932">
          <cell r="S932">
            <v>0.92000000000000071</v>
          </cell>
          <cell r="U932">
            <v>0.38742827363920046</v>
          </cell>
          <cell r="AI932">
            <v>0.92000000000000071</v>
          </cell>
          <cell r="AK932">
            <v>0.16008120338548587</v>
          </cell>
          <cell r="AY932">
            <v>0.92000000000000071</v>
          </cell>
          <cell r="BA932">
            <v>0.38859218115787225</v>
          </cell>
        </row>
        <row r="933">
          <cell r="S933">
            <v>0.92100000000000071</v>
          </cell>
          <cell r="U933">
            <v>0.2944205828354306</v>
          </cell>
          <cell r="AI933">
            <v>0.92100000000000071</v>
          </cell>
          <cell r="AK933">
            <v>0.24735537431749621</v>
          </cell>
          <cell r="AY933">
            <v>0.92100000000000071</v>
          </cell>
          <cell r="BA933">
            <v>0.10205389568773462</v>
          </cell>
        </row>
        <row r="934">
          <cell r="S934">
            <v>0.92200000000000071</v>
          </cell>
          <cell r="U934">
            <v>0.51908636320619439</v>
          </cell>
          <cell r="AI934">
            <v>0.92200000000000071</v>
          </cell>
          <cell r="AK934">
            <v>0.20439784062433841</v>
          </cell>
          <cell r="AY934">
            <v>0.92200000000000071</v>
          </cell>
          <cell r="BA934">
            <v>0.99136326181829282</v>
          </cell>
        </row>
        <row r="935">
          <cell r="S935">
            <v>0.92300000000000071</v>
          </cell>
          <cell r="U935">
            <v>0.17186640753154464</v>
          </cell>
          <cell r="AI935">
            <v>0.92300000000000071</v>
          </cell>
          <cell r="AK935">
            <v>6.4822692577263391E-2</v>
          </cell>
          <cell r="AY935">
            <v>0.92300000000000071</v>
          </cell>
          <cell r="BA935">
            <v>0.63039033173619796</v>
          </cell>
        </row>
        <row r="936">
          <cell r="S936">
            <v>0.92400000000000071</v>
          </cell>
          <cell r="U936">
            <v>0.35494489406390933</v>
          </cell>
          <cell r="AI936">
            <v>0.92400000000000071</v>
          </cell>
          <cell r="AK936">
            <v>0.12103143041205393</v>
          </cell>
          <cell r="AY936">
            <v>0.92400000000000071</v>
          </cell>
          <cell r="BA936">
            <v>0.10449537644581437</v>
          </cell>
        </row>
        <row r="937">
          <cell r="S937">
            <v>0.92500000000000071</v>
          </cell>
          <cell r="U937">
            <v>0.7569619002113035</v>
          </cell>
          <cell r="AI937">
            <v>0.92500000000000071</v>
          </cell>
          <cell r="AK937">
            <v>0.15108373004344289</v>
          </cell>
          <cell r="AY937">
            <v>0.92500000000000071</v>
          </cell>
          <cell r="BA937">
            <v>7.2359385967589326E-2</v>
          </cell>
        </row>
        <row r="938">
          <cell r="S938">
            <v>0.92600000000000071</v>
          </cell>
          <cell r="U938">
            <v>0.53927320092220032</v>
          </cell>
          <cell r="AI938">
            <v>0.92600000000000071</v>
          </cell>
          <cell r="AK938">
            <v>0.10716215369991011</v>
          </cell>
          <cell r="AY938">
            <v>0.92600000000000071</v>
          </cell>
          <cell r="BA938">
            <v>0.80626850184636978</v>
          </cell>
        </row>
        <row r="939">
          <cell r="S939">
            <v>0.92700000000000071</v>
          </cell>
          <cell r="U939">
            <v>0.29943842143235738</v>
          </cell>
          <cell r="AI939">
            <v>0.92700000000000071</v>
          </cell>
          <cell r="AK939">
            <v>0.13268058064250066</v>
          </cell>
          <cell r="AY939">
            <v>0.92700000000000071</v>
          </cell>
          <cell r="BA939">
            <v>0.76805932798242138</v>
          </cell>
        </row>
        <row r="940">
          <cell r="S940">
            <v>0.92800000000000071</v>
          </cell>
          <cell r="U940">
            <v>0.2432917192986763</v>
          </cell>
          <cell r="AI940">
            <v>0.92800000000000071</v>
          </cell>
          <cell r="AK940">
            <v>0.13648857790267829</v>
          </cell>
          <cell r="AY940">
            <v>0.92800000000000071</v>
          </cell>
          <cell r="BA940">
            <v>0.66524246955778676</v>
          </cell>
        </row>
        <row r="941">
          <cell r="S941">
            <v>0.92900000000000071</v>
          </cell>
          <cell r="U941">
            <v>0.90095280806742495</v>
          </cell>
          <cell r="AI941">
            <v>0.92900000000000071</v>
          </cell>
          <cell r="AK941">
            <v>0.25635892325199028</v>
          </cell>
          <cell r="AY941">
            <v>0.92900000000000071</v>
          </cell>
          <cell r="BA941">
            <v>0.30698568681905575</v>
          </cell>
        </row>
        <row r="942">
          <cell r="S942">
            <v>0.93000000000000071</v>
          </cell>
          <cell r="U942">
            <v>0.59041074693702966</v>
          </cell>
          <cell r="AI942">
            <v>0.93000000000000071</v>
          </cell>
          <cell r="AK942">
            <v>0.36685453645611499</v>
          </cell>
          <cell r="AY942">
            <v>0.93000000000000071</v>
          </cell>
          <cell r="BA942">
            <v>0.83819086275826293</v>
          </cell>
        </row>
        <row r="943">
          <cell r="S943">
            <v>0.93100000000000072</v>
          </cell>
          <cell r="U943">
            <v>0.29044463045095709</v>
          </cell>
          <cell r="AI943">
            <v>0.93100000000000072</v>
          </cell>
          <cell r="AK943">
            <v>0.22672874376033603</v>
          </cell>
          <cell r="AY943">
            <v>0.93100000000000072</v>
          </cell>
          <cell r="BA943">
            <v>5.7069612720114758E-3</v>
          </cell>
        </row>
        <row r="944">
          <cell r="S944">
            <v>0.93200000000000072</v>
          </cell>
          <cell r="U944">
            <v>0.48283905727560067</v>
          </cell>
          <cell r="AI944">
            <v>0.93200000000000072</v>
          </cell>
          <cell r="AK944">
            <v>0.29967329706832957</v>
          </cell>
          <cell r="AY944">
            <v>0.93200000000000072</v>
          </cell>
          <cell r="BA944">
            <v>0.32874538407544174</v>
          </cell>
        </row>
        <row r="945">
          <cell r="S945">
            <v>0.93300000000000072</v>
          </cell>
          <cell r="U945">
            <v>0.34142693236692401</v>
          </cell>
          <cell r="AI945">
            <v>0.93300000000000072</v>
          </cell>
          <cell r="AK945">
            <v>9.3366205754037063E-2</v>
          </cell>
          <cell r="AY945">
            <v>0.93300000000000072</v>
          </cell>
          <cell r="BA945">
            <v>5.5940427869502853E-2</v>
          </cell>
        </row>
        <row r="946">
          <cell r="S946">
            <v>0.93400000000000072</v>
          </cell>
          <cell r="U946">
            <v>0.61954595700136306</v>
          </cell>
          <cell r="AI946">
            <v>0.93400000000000072</v>
          </cell>
          <cell r="AK946">
            <v>0.25563341729054467</v>
          </cell>
          <cell r="AY946">
            <v>0.93400000000000072</v>
          </cell>
          <cell r="BA946">
            <v>0.76543473616748559</v>
          </cell>
        </row>
        <row r="947">
          <cell r="S947">
            <v>0.93500000000000072</v>
          </cell>
          <cell r="U947">
            <v>0.54314412795371758</v>
          </cell>
          <cell r="AI947">
            <v>0.93500000000000072</v>
          </cell>
          <cell r="AK947">
            <v>0.42389449777707111</v>
          </cell>
          <cell r="AY947">
            <v>0.93500000000000072</v>
          </cell>
          <cell r="BA947">
            <v>0.52394177068391978</v>
          </cell>
        </row>
        <row r="948">
          <cell r="S948">
            <v>0.93600000000000072</v>
          </cell>
          <cell r="U948">
            <v>0.37724977858610836</v>
          </cell>
          <cell r="AI948">
            <v>0.93600000000000072</v>
          </cell>
          <cell r="AK948">
            <v>0.12875316213084234</v>
          </cell>
          <cell r="AY948">
            <v>0.93600000000000072</v>
          </cell>
          <cell r="BA948">
            <v>0.40751365703299053</v>
          </cell>
        </row>
        <row r="949">
          <cell r="S949">
            <v>0.93700000000000072</v>
          </cell>
          <cell r="U949">
            <v>0.45524195254377442</v>
          </cell>
          <cell r="AI949">
            <v>0.93700000000000072</v>
          </cell>
          <cell r="AK949">
            <v>7.8530342321714533E-2</v>
          </cell>
          <cell r="AY949">
            <v>0.93700000000000072</v>
          </cell>
          <cell r="BA949">
            <v>0.31983397930845059</v>
          </cell>
        </row>
        <row r="950">
          <cell r="S950">
            <v>0.93800000000000072</v>
          </cell>
          <cell r="U950">
            <v>0.27061446683952844</v>
          </cell>
          <cell r="AI950">
            <v>0.93800000000000072</v>
          </cell>
          <cell r="AK950">
            <v>0.18827851133802054</v>
          </cell>
          <cell r="AY950">
            <v>0.93800000000000072</v>
          </cell>
          <cell r="BA950">
            <v>0.27219458601641894</v>
          </cell>
        </row>
        <row r="951">
          <cell r="S951">
            <v>0.93900000000000072</v>
          </cell>
          <cell r="U951">
            <v>0.18369109187364172</v>
          </cell>
          <cell r="AI951">
            <v>0.93900000000000072</v>
          </cell>
          <cell r="AK951">
            <v>0.2050346480492542</v>
          </cell>
          <cell r="AY951">
            <v>0.93900000000000072</v>
          </cell>
          <cell r="BA951">
            <v>0.71190527054658648</v>
          </cell>
        </row>
        <row r="952">
          <cell r="S952">
            <v>0.94000000000000072</v>
          </cell>
          <cell r="U952">
            <v>0.44228904791505652</v>
          </cell>
          <cell r="AI952">
            <v>0.94000000000000072</v>
          </cell>
          <cell r="AK952">
            <v>0.21546517803394505</v>
          </cell>
          <cell r="AY952">
            <v>0.94000000000000072</v>
          </cell>
          <cell r="BA952">
            <v>0.9082308420056765</v>
          </cell>
        </row>
        <row r="953">
          <cell r="S953">
            <v>0.94100000000000072</v>
          </cell>
          <cell r="U953">
            <v>0.70543711257754271</v>
          </cell>
          <cell r="AI953">
            <v>0.94100000000000072</v>
          </cell>
          <cell r="AK953">
            <v>0.17371065193198967</v>
          </cell>
          <cell r="AY953">
            <v>0.94100000000000072</v>
          </cell>
          <cell r="BA953">
            <v>5.5543687246314886E-2</v>
          </cell>
        </row>
        <row r="954">
          <cell r="S954">
            <v>0.94200000000000073</v>
          </cell>
          <cell r="U954">
            <v>0.58914213088015943</v>
          </cell>
          <cell r="AI954">
            <v>0.94200000000000073</v>
          </cell>
          <cell r="AK954">
            <v>0.20096250212708866</v>
          </cell>
          <cell r="AY954">
            <v>0.94200000000000073</v>
          </cell>
          <cell r="BA954">
            <v>5.6611835077974786E-2</v>
          </cell>
        </row>
        <row r="955">
          <cell r="S955">
            <v>0.94300000000000073</v>
          </cell>
          <cell r="U955">
            <v>0.55104969597618236</v>
          </cell>
          <cell r="AI955">
            <v>0.94300000000000073</v>
          </cell>
          <cell r="AK955">
            <v>0.19491685239562673</v>
          </cell>
          <cell r="AY955">
            <v>0.94300000000000073</v>
          </cell>
          <cell r="BA955">
            <v>0.26868495742667931</v>
          </cell>
        </row>
        <row r="956">
          <cell r="S956">
            <v>0.94400000000000073</v>
          </cell>
          <cell r="U956">
            <v>0.81983905801606827</v>
          </cell>
          <cell r="AI956">
            <v>0.94400000000000073</v>
          </cell>
          <cell r="AK956">
            <v>0.26275553641975447</v>
          </cell>
          <cell r="AY956">
            <v>0.94400000000000073</v>
          </cell>
          <cell r="BA956">
            <v>0.85329752494888145</v>
          </cell>
        </row>
        <row r="957">
          <cell r="S957">
            <v>0.94500000000000073</v>
          </cell>
          <cell r="U957">
            <v>0.31452294226423244</v>
          </cell>
          <cell r="AI957">
            <v>0.94500000000000073</v>
          </cell>
          <cell r="AK957">
            <v>0.2571414570021987</v>
          </cell>
          <cell r="AY957">
            <v>0.94500000000000073</v>
          </cell>
          <cell r="BA957">
            <v>0.33704641865291296</v>
          </cell>
        </row>
        <row r="958">
          <cell r="S958">
            <v>0.94600000000000073</v>
          </cell>
          <cell r="U958">
            <v>0.84590348464204168</v>
          </cell>
          <cell r="AI958">
            <v>0.94600000000000073</v>
          </cell>
          <cell r="AK958">
            <v>0.24452050810285453</v>
          </cell>
          <cell r="AY958">
            <v>0.94600000000000073</v>
          </cell>
          <cell r="BA958">
            <v>0.97344889675588242</v>
          </cell>
        </row>
        <row r="959">
          <cell r="S959">
            <v>0.94700000000000073</v>
          </cell>
          <cell r="U959">
            <v>0.74295789663176337</v>
          </cell>
          <cell r="AI959">
            <v>0.94700000000000073</v>
          </cell>
          <cell r="AK959">
            <v>0.22396325411596441</v>
          </cell>
          <cell r="AY959">
            <v>0.94700000000000073</v>
          </cell>
          <cell r="BA959">
            <v>0.90020447401348913</v>
          </cell>
        </row>
        <row r="960">
          <cell r="S960">
            <v>0.94800000000000073</v>
          </cell>
          <cell r="U960">
            <v>0.62079296833168174</v>
          </cell>
          <cell r="AI960">
            <v>0.94800000000000073</v>
          </cell>
          <cell r="AK960">
            <v>0.12141924686100344</v>
          </cell>
          <cell r="AY960">
            <v>0.94800000000000073</v>
          </cell>
          <cell r="BA960">
            <v>0.81499679555650506</v>
          </cell>
        </row>
        <row r="961">
          <cell r="S961">
            <v>0.94900000000000073</v>
          </cell>
          <cell r="U961">
            <v>0.72804984685481222</v>
          </cell>
          <cell r="AI961">
            <v>0.94900000000000073</v>
          </cell>
          <cell r="AK961">
            <v>0.16792030595036242</v>
          </cell>
          <cell r="AY961">
            <v>0.94900000000000073</v>
          </cell>
          <cell r="BA961">
            <v>0.8775597399822993</v>
          </cell>
        </row>
        <row r="962">
          <cell r="S962">
            <v>0.95000000000000073</v>
          </cell>
          <cell r="U962">
            <v>0.58695751886355052</v>
          </cell>
          <cell r="AI962">
            <v>0.95000000000000073</v>
          </cell>
          <cell r="AK962">
            <v>0.16749643823203542</v>
          </cell>
          <cell r="AY962">
            <v>0.95000000000000073</v>
          </cell>
          <cell r="BA962">
            <v>9.2654194769127479E-2</v>
          </cell>
        </row>
        <row r="963">
          <cell r="S963">
            <v>0.95100000000000073</v>
          </cell>
          <cell r="U963">
            <v>0.53485865084245077</v>
          </cell>
          <cell r="AI963">
            <v>0.95100000000000073</v>
          </cell>
          <cell r="AK963">
            <v>4.8120796677908702E-2</v>
          </cell>
          <cell r="AY963">
            <v>0.95100000000000073</v>
          </cell>
          <cell r="BA963">
            <v>0.26783043916135135</v>
          </cell>
        </row>
        <row r="964">
          <cell r="S964">
            <v>0.95200000000000073</v>
          </cell>
          <cell r="U964">
            <v>0.56038909541319426</v>
          </cell>
          <cell r="AI964">
            <v>0.95200000000000073</v>
          </cell>
          <cell r="AK964">
            <v>0.27700925723458791</v>
          </cell>
          <cell r="AY964">
            <v>0.95200000000000073</v>
          </cell>
          <cell r="BA964">
            <v>0.69414349803155617</v>
          </cell>
        </row>
        <row r="965">
          <cell r="S965">
            <v>0.95300000000000074</v>
          </cell>
          <cell r="U965">
            <v>0.37083428424312648</v>
          </cell>
          <cell r="AI965">
            <v>0.95300000000000074</v>
          </cell>
          <cell r="AK965">
            <v>0.35905952152165799</v>
          </cell>
          <cell r="AY965">
            <v>0.95300000000000074</v>
          </cell>
          <cell r="BA965">
            <v>0.81896420178838469</v>
          </cell>
        </row>
        <row r="966">
          <cell r="S966">
            <v>0.95400000000000074</v>
          </cell>
          <cell r="U966">
            <v>0.45062026336587546</v>
          </cell>
          <cell r="AI966">
            <v>0.95400000000000074</v>
          </cell>
          <cell r="AK966">
            <v>0.25588531687160576</v>
          </cell>
          <cell r="AY966">
            <v>0.95400000000000074</v>
          </cell>
          <cell r="BA966">
            <v>0.95562608722190012</v>
          </cell>
        </row>
        <row r="967">
          <cell r="S967">
            <v>0.95500000000000074</v>
          </cell>
          <cell r="U967">
            <v>0.24102561871464032</v>
          </cell>
          <cell r="AI967">
            <v>0.95500000000000074</v>
          </cell>
          <cell r="AK967">
            <v>0.12133399723197888</v>
          </cell>
          <cell r="AY967">
            <v>0.95500000000000074</v>
          </cell>
          <cell r="BA967">
            <v>0.34589678640095212</v>
          </cell>
        </row>
        <row r="968">
          <cell r="S968">
            <v>0.95600000000000074</v>
          </cell>
          <cell r="U968">
            <v>0.42642170095235721</v>
          </cell>
          <cell r="AI968">
            <v>0.95600000000000074</v>
          </cell>
          <cell r="AK968">
            <v>0.41965545965855255</v>
          </cell>
          <cell r="AY968">
            <v>0.95600000000000074</v>
          </cell>
          <cell r="BA968">
            <v>0.27372051149021881</v>
          </cell>
        </row>
        <row r="969">
          <cell r="S969">
            <v>0.95700000000000074</v>
          </cell>
          <cell r="U969">
            <v>0.25372976546920822</v>
          </cell>
          <cell r="AI969">
            <v>0.95700000000000074</v>
          </cell>
          <cell r="AK969">
            <v>6.8181475911835709E-2</v>
          </cell>
          <cell r="AY969">
            <v>0.95700000000000074</v>
          </cell>
          <cell r="BA969">
            <v>0.19565416425061799</v>
          </cell>
        </row>
        <row r="970">
          <cell r="S970">
            <v>0.95800000000000074</v>
          </cell>
          <cell r="U970">
            <v>0.34785565558692105</v>
          </cell>
          <cell r="AI970">
            <v>0.95800000000000074</v>
          </cell>
          <cell r="AK970">
            <v>0.2040800596902389</v>
          </cell>
          <cell r="AY970">
            <v>0.95800000000000074</v>
          </cell>
          <cell r="BA970">
            <v>0.80941190832239751</v>
          </cell>
        </row>
        <row r="971">
          <cell r="S971">
            <v>0.95900000000000074</v>
          </cell>
          <cell r="U971">
            <v>0.37353815914521488</v>
          </cell>
          <cell r="AI971">
            <v>0.95900000000000074</v>
          </cell>
          <cell r="AK971">
            <v>0.34120081354832377</v>
          </cell>
          <cell r="AY971">
            <v>0.95900000000000074</v>
          </cell>
          <cell r="BA971">
            <v>0.84276863917966249</v>
          </cell>
        </row>
        <row r="972">
          <cell r="S972">
            <v>0.96000000000000074</v>
          </cell>
          <cell r="U972">
            <v>0.27074848134493268</v>
          </cell>
          <cell r="AI972">
            <v>0.96000000000000074</v>
          </cell>
          <cell r="AK972">
            <v>0.16297563947974358</v>
          </cell>
          <cell r="AY972">
            <v>0.96000000000000074</v>
          </cell>
          <cell r="BA972">
            <v>0.57942442091128266</v>
          </cell>
        </row>
        <row r="973">
          <cell r="S973">
            <v>0.96100000000000074</v>
          </cell>
          <cell r="U973">
            <v>0.47298223168849945</v>
          </cell>
          <cell r="AI973">
            <v>0.96100000000000074</v>
          </cell>
          <cell r="AK973">
            <v>0.13253314310332318</v>
          </cell>
          <cell r="AY973">
            <v>0.96100000000000074</v>
          </cell>
          <cell r="BA973">
            <v>0.97790459913937799</v>
          </cell>
        </row>
        <row r="974">
          <cell r="S974">
            <v>0.96200000000000074</v>
          </cell>
          <cell r="U974">
            <v>0.65459492901295335</v>
          </cell>
          <cell r="AI974">
            <v>0.96200000000000074</v>
          </cell>
          <cell r="AK974">
            <v>0.20778776193338655</v>
          </cell>
          <cell r="AY974">
            <v>0.96200000000000074</v>
          </cell>
          <cell r="BA974">
            <v>0.10113834040345469</v>
          </cell>
        </row>
        <row r="975">
          <cell r="S975">
            <v>0.96300000000000074</v>
          </cell>
          <cell r="U975">
            <v>0.32061215085604305</v>
          </cell>
          <cell r="AI975">
            <v>0.96300000000000074</v>
          </cell>
          <cell r="AK975">
            <v>0.31581140222851245</v>
          </cell>
          <cell r="AY975">
            <v>0.96300000000000074</v>
          </cell>
          <cell r="BA975">
            <v>0.84316537980285045</v>
          </cell>
        </row>
        <row r="976">
          <cell r="S976">
            <v>0.96400000000000075</v>
          </cell>
          <cell r="U976">
            <v>0.76865043468753369</v>
          </cell>
          <cell r="AI976">
            <v>0.96400000000000075</v>
          </cell>
          <cell r="AK976">
            <v>0.22462068590636031</v>
          </cell>
          <cell r="AY976">
            <v>0.96400000000000075</v>
          </cell>
          <cell r="BA976">
            <v>0.57799005096591083</v>
          </cell>
        </row>
        <row r="977">
          <cell r="S977">
            <v>0.96500000000000075</v>
          </cell>
          <cell r="U977">
            <v>0.796614012315079</v>
          </cell>
          <cell r="AI977">
            <v>0.96500000000000075</v>
          </cell>
          <cell r="AK977">
            <v>0.21985042577184688</v>
          </cell>
          <cell r="AY977">
            <v>0.96500000000000075</v>
          </cell>
          <cell r="BA977">
            <v>0.10168767357402264</v>
          </cell>
        </row>
        <row r="978">
          <cell r="S978">
            <v>0.96600000000000075</v>
          </cell>
          <cell r="U978">
            <v>0.46100505544025744</v>
          </cell>
          <cell r="AI978">
            <v>0.96600000000000075</v>
          </cell>
          <cell r="AK978">
            <v>0.2095411198626691</v>
          </cell>
          <cell r="AY978">
            <v>0.96600000000000075</v>
          </cell>
          <cell r="BA978">
            <v>1.3367107150486772E-2</v>
          </cell>
        </row>
        <row r="979">
          <cell r="S979">
            <v>0.96700000000000075</v>
          </cell>
          <cell r="U979">
            <v>0.6270511257071667</v>
          </cell>
          <cell r="AI979">
            <v>0.96700000000000075</v>
          </cell>
          <cell r="AK979">
            <v>0.14313372148375417</v>
          </cell>
          <cell r="AY979">
            <v>0.96700000000000075</v>
          </cell>
          <cell r="BA979">
            <v>0.32752464369640188</v>
          </cell>
        </row>
        <row r="980">
          <cell r="S980">
            <v>0.96800000000000075</v>
          </cell>
          <cell r="U980">
            <v>0.19485564593945845</v>
          </cell>
          <cell r="AI980">
            <v>0.96800000000000075</v>
          </cell>
          <cell r="AK980">
            <v>0.28941930625804979</v>
          </cell>
          <cell r="AY980">
            <v>0.96800000000000075</v>
          </cell>
          <cell r="BA980">
            <v>0.24485000152592548</v>
          </cell>
        </row>
        <row r="981">
          <cell r="S981">
            <v>0.96900000000000075</v>
          </cell>
          <cell r="U981">
            <v>0.49211531906318584</v>
          </cell>
          <cell r="AI981">
            <v>0.96900000000000075</v>
          </cell>
          <cell r="AK981">
            <v>0.11994892695290152</v>
          </cell>
          <cell r="AY981">
            <v>0.96900000000000075</v>
          </cell>
          <cell r="BA981">
            <v>0.39155247657704395</v>
          </cell>
        </row>
        <row r="982">
          <cell r="S982">
            <v>0.97000000000000075</v>
          </cell>
          <cell r="U982">
            <v>0.36952016404910981</v>
          </cell>
          <cell r="AI982">
            <v>0.97000000000000075</v>
          </cell>
          <cell r="AK982">
            <v>0.24645978276704894</v>
          </cell>
          <cell r="AY982">
            <v>0.97000000000000075</v>
          </cell>
          <cell r="BA982">
            <v>0.32145146031067845</v>
          </cell>
        </row>
        <row r="983">
          <cell r="S983">
            <v>0.97100000000000075</v>
          </cell>
          <cell r="U983">
            <v>0.65857306763307599</v>
          </cell>
          <cell r="AI983">
            <v>0.97100000000000075</v>
          </cell>
          <cell r="AK983">
            <v>0.13184653170679445</v>
          </cell>
          <cell r="AY983">
            <v>0.97100000000000075</v>
          </cell>
          <cell r="BA983">
            <v>0.72420422986541333</v>
          </cell>
        </row>
        <row r="984">
          <cell r="S984">
            <v>0.97200000000000075</v>
          </cell>
          <cell r="U984">
            <v>0.64545012833882098</v>
          </cell>
          <cell r="AI984">
            <v>0.97200000000000075</v>
          </cell>
          <cell r="AK984">
            <v>0.34703773896055945</v>
          </cell>
          <cell r="AY984">
            <v>0.97200000000000075</v>
          </cell>
          <cell r="BA984">
            <v>0.53184606463820305</v>
          </cell>
        </row>
        <row r="985">
          <cell r="S985">
            <v>0.97300000000000075</v>
          </cell>
          <cell r="U985">
            <v>0.27432994187801235</v>
          </cell>
          <cell r="AI985">
            <v>0.97300000000000075</v>
          </cell>
          <cell r="AK985">
            <v>0.10551244584309775</v>
          </cell>
          <cell r="AY985">
            <v>0.97300000000000075</v>
          </cell>
          <cell r="BA985">
            <v>0.78139591662343211</v>
          </cell>
        </row>
        <row r="986">
          <cell r="S986">
            <v>0.97400000000000075</v>
          </cell>
          <cell r="U986">
            <v>0.49491935044498087</v>
          </cell>
          <cell r="AI986">
            <v>0.97400000000000075</v>
          </cell>
          <cell r="AK986">
            <v>0.34514775166423617</v>
          </cell>
          <cell r="AY986">
            <v>0.97400000000000075</v>
          </cell>
          <cell r="BA986">
            <v>0.35462508011108734</v>
          </cell>
        </row>
        <row r="987">
          <cell r="S987">
            <v>0.97500000000000075</v>
          </cell>
          <cell r="U987">
            <v>0.76548601137967764</v>
          </cell>
          <cell r="AI987">
            <v>0.97500000000000075</v>
          </cell>
          <cell r="AK987">
            <v>0.14106732842332395</v>
          </cell>
          <cell r="AY987">
            <v>0.97500000000000075</v>
          </cell>
          <cell r="BA987">
            <v>0.15121921445356609</v>
          </cell>
        </row>
        <row r="988">
          <cell r="S988">
            <v>0.97600000000000076</v>
          </cell>
          <cell r="U988">
            <v>0.28690765015534436</v>
          </cell>
          <cell r="AI988">
            <v>0.97600000000000076</v>
          </cell>
          <cell r="AK988">
            <v>0.17942750137414018</v>
          </cell>
          <cell r="AY988">
            <v>0.97600000000000076</v>
          </cell>
          <cell r="BA988">
            <v>0.26679280983916748</v>
          </cell>
        </row>
        <row r="989">
          <cell r="S989">
            <v>0.97700000000000076</v>
          </cell>
          <cell r="U989">
            <v>0.73942673263030401</v>
          </cell>
          <cell r="AI989">
            <v>0.97700000000000076</v>
          </cell>
          <cell r="AK989">
            <v>0.23817213417190319</v>
          </cell>
          <cell r="AY989">
            <v>0.97700000000000076</v>
          </cell>
          <cell r="BA989">
            <v>0.74132511368144782</v>
          </cell>
        </row>
        <row r="990">
          <cell r="S990">
            <v>0.97800000000000076</v>
          </cell>
          <cell r="U990">
            <v>0.32221691245187345</v>
          </cell>
          <cell r="AI990">
            <v>0.97800000000000076</v>
          </cell>
          <cell r="AK990">
            <v>0.19286486205594799</v>
          </cell>
          <cell r="AY990">
            <v>0.97800000000000076</v>
          </cell>
          <cell r="BA990">
            <v>0.34192938016907254</v>
          </cell>
        </row>
        <row r="991">
          <cell r="S991">
            <v>0.97900000000000076</v>
          </cell>
          <cell r="U991">
            <v>0.71787413065579542</v>
          </cell>
          <cell r="AI991">
            <v>0.97900000000000076</v>
          </cell>
          <cell r="AK991">
            <v>3.1164124228104929E-2</v>
          </cell>
          <cell r="AY991">
            <v>0.97900000000000076</v>
          </cell>
          <cell r="BA991">
            <v>0.50401318399609363</v>
          </cell>
        </row>
        <row r="992">
          <cell r="S992">
            <v>0.98000000000000076</v>
          </cell>
          <cell r="U992">
            <v>0.67148196603354815</v>
          </cell>
          <cell r="AI992">
            <v>0.98000000000000076</v>
          </cell>
          <cell r="AK992">
            <v>0.21844672344777827</v>
          </cell>
          <cell r="AY992">
            <v>0.98000000000000076</v>
          </cell>
          <cell r="BA992">
            <v>0.51600695822016052</v>
          </cell>
        </row>
        <row r="993">
          <cell r="S993">
            <v>0.98100000000000076</v>
          </cell>
          <cell r="U993">
            <v>0.52118142079842245</v>
          </cell>
          <cell r="AI993">
            <v>0.98100000000000076</v>
          </cell>
          <cell r="AK993">
            <v>6.3056482042993037E-2</v>
          </cell>
          <cell r="AY993">
            <v>0.98100000000000076</v>
          </cell>
          <cell r="BA993">
            <v>0.315042573320719</v>
          </cell>
        </row>
        <row r="994">
          <cell r="S994">
            <v>0.98200000000000076</v>
          </cell>
          <cell r="U994">
            <v>0.4142871489458278</v>
          </cell>
          <cell r="AI994">
            <v>0.98200000000000076</v>
          </cell>
          <cell r="AK994">
            <v>6.4183183985466075E-2</v>
          </cell>
          <cell r="AY994">
            <v>0.98200000000000076</v>
          </cell>
          <cell r="BA994">
            <v>0.92410046693319503</v>
          </cell>
        </row>
        <row r="995">
          <cell r="S995">
            <v>0.98300000000000076</v>
          </cell>
          <cell r="U995">
            <v>0.61357348638167919</v>
          </cell>
          <cell r="AI995">
            <v>0.98300000000000076</v>
          </cell>
          <cell r="AK995">
            <v>0.19654600611213136</v>
          </cell>
          <cell r="AY995">
            <v>0.98300000000000076</v>
          </cell>
          <cell r="BA995">
            <v>4.4709616382335886E-2</v>
          </cell>
        </row>
        <row r="996">
          <cell r="S996">
            <v>0.98400000000000076</v>
          </cell>
          <cell r="U996">
            <v>0.61445624816703559</v>
          </cell>
          <cell r="AI996">
            <v>0.98400000000000076</v>
          </cell>
          <cell r="AK996">
            <v>0.1071877505013949</v>
          </cell>
          <cell r="AY996">
            <v>0.98400000000000076</v>
          </cell>
          <cell r="BA996">
            <v>0.44080935087130346</v>
          </cell>
        </row>
        <row r="997">
          <cell r="S997">
            <v>0.98500000000000076</v>
          </cell>
          <cell r="U997">
            <v>0.47698203246966608</v>
          </cell>
          <cell r="AI997">
            <v>0.98500000000000076</v>
          </cell>
          <cell r="AK997">
            <v>0.23886036701448754</v>
          </cell>
          <cell r="AY997">
            <v>0.98500000000000076</v>
          </cell>
          <cell r="BA997">
            <v>0.67546617023224587</v>
          </cell>
        </row>
        <row r="998">
          <cell r="S998">
            <v>0.98600000000000076</v>
          </cell>
          <cell r="U998">
            <v>0.72244066869574386</v>
          </cell>
          <cell r="AI998">
            <v>0.98600000000000076</v>
          </cell>
          <cell r="AK998">
            <v>0.11837168590359566</v>
          </cell>
          <cell r="AY998">
            <v>0.98600000000000076</v>
          </cell>
          <cell r="BA998">
            <v>0.11236915189062165</v>
          </cell>
        </row>
        <row r="999">
          <cell r="S999">
            <v>0.98700000000000077</v>
          </cell>
          <cell r="U999">
            <v>0.59057571279529242</v>
          </cell>
          <cell r="AI999">
            <v>0.98700000000000077</v>
          </cell>
          <cell r="AK999">
            <v>0.30325503694028499</v>
          </cell>
          <cell r="AY999">
            <v>0.98700000000000077</v>
          </cell>
          <cell r="BA999">
            <v>0.64989165929136017</v>
          </cell>
        </row>
        <row r="1000">
          <cell r="S1000">
            <v>0.98800000000000077</v>
          </cell>
          <cell r="U1000">
            <v>0.58463407712356186</v>
          </cell>
          <cell r="AI1000">
            <v>0.98800000000000077</v>
          </cell>
          <cell r="AK1000">
            <v>0.15764476091138838</v>
          </cell>
          <cell r="AY1000">
            <v>0.98800000000000077</v>
          </cell>
          <cell r="BA1000">
            <v>0.1794488357188635</v>
          </cell>
        </row>
        <row r="1001">
          <cell r="S1001">
            <v>0.98900000000000077</v>
          </cell>
          <cell r="U1001">
            <v>0.36767619813441466</v>
          </cell>
          <cell r="AI1001">
            <v>0.98900000000000077</v>
          </cell>
          <cell r="AK1001">
            <v>0.26528499475965517</v>
          </cell>
          <cell r="AY1001">
            <v>0.98900000000000077</v>
          </cell>
          <cell r="BA1001">
            <v>0.60347300637836843</v>
          </cell>
        </row>
        <row r="1002">
          <cell r="S1002">
            <v>0.99000000000000077</v>
          </cell>
          <cell r="U1002">
            <v>0.40201531797698148</v>
          </cell>
          <cell r="AI1002">
            <v>0.99000000000000077</v>
          </cell>
          <cell r="AK1002">
            <v>0.12755299754438901</v>
          </cell>
          <cell r="AY1002">
            <v>0.99000000000000077</v>
          </cell>
          <cell r="BA1002">
            <v>0.47651600695822016</v>
          </cell>
        </row>
        <row r="1003">
          <cell r="S1003">
            <v>0.99100000000000077</v>
          </cell>
          <cell r="U1003">
            <v>0.66837620484126692</v>
          </cell>
          <cell r="AI1003">
            <v>0.99100000000000077</v>
          </cell>
          <cell r="AK1003">
            <v>0.29652866995249427</v>
          </cell>
          <cell r="AY1003">
            <v>0.99100000000000077</v>
          </cell>
          <cell r="BA1003">
            <v>0.37275307473982972</v>
          </cell>
        </row>
        <row r="1004">
          <cell r="S1004">
            <v>0.99200000000000077</v>
          </cell>
          <cell r="U1004">
            <v>0.4675436829347478</v>
          </cell>
          <cell r="AI1004">
            <v>0.99200000000000077</v>
          </cell>
          <cell r="AK1004">
            <v>0.15848985753355282</v>
          </cell>
          <cell r="AY1004">
            <v>0.99200000000000077</v>
          </cell>
          <cell r="BA1004">
            <v>0.78579058198797569</v>
          </cell>
        </row>
        <row r="1005">
          <cell r="S1005">
            <v>0.99300000000000077</v>
          </cell>
          <cell r="U1005">
            <v>0.33779245755076737</v>
          </cell>
          <cell r="AI1005">
            <v>0.99300000000000077</v>
          </cell>
          <cell r="AK1005">
            <v>9.137574357660759E-2</v>
          </cell>
          <cell r="AY1005">
            <v>0.99300000000000077</v>
          </cell>
          <cell r="BA1005">
            <v>0.79744865260780662</v>
          </cell>
        </row>
        <row r="1006">
          <cell r="S1006">
            <v>0.99400000000000077</v>
          </cell>
          <cell r="U1006">
            <v>0.45866894885540649</v>
          </cell>
          <cell r="AI1006">
            <v>0.99400000000000077</v>
          </cell>
          <cell r="AK1006">
            <v>0.17080710710317185</v>
          </cell>
          <cell r="AY1006">
            <v>0.99400000000000077</v>
          </cell>
          <cell r="BA1006">
            <v>0.8418530838953826</v>
          </cell>
        </row>
        <row r="1007">
          <cell r="S1007">
            <v>0.99500000000000077</v>
          </cell>
          <cell r="U1007">
            <v>0.42964085017898668</v>
          </cell>
          <cell r="AI1007">
            <v>0.99500000000000077</v>
          </cell>
          <cell r="AK1007">
            <v>0.30415495616513855</v>
          </cell>
          <cell r="AY1007">
            <v>0.99500000000000077</v>
          </cell>
          <cell r="BA1007">
            <v>0.47590563676870024</v>
          </cell>
        </row>
        <row r="1008">
          <cell r="S1008">
            <v>0.99600000000000077</v>
          </cell>
          <cell r="U1008">
            <v>0.69194586905583733</v>
          </cell>
          <cell r="AI1008">
            <v>0.99600000000000077</v>
          </cell>
          <cell r="AK1008">
            <v>5.7071534128967899E-2</v>
          </cell>
          <cell r="AY1008">
            <v>0.99600000000000077</v>
          </cell>
          <cell r="BA1008">
            <v>0.75572985015411842</v>
          </cell>
        </row>
        <row r="1009">
          <cell r="S1009">
            <v>0.99700000000000077</v>
          </cell>
          <cell r="U1009">
            <v>0.59821894657934704</v>
          </cell>
          <cell r="AI1009">
            <v>0.99700000000000077</v>
          </cell>
          <cell r="AK1009">
            <v>0.27821370791026512</v>
          </cell>
          <cell r="AY1009">
            <v>0.99700000000000077</v>
          </cell>
          <cell r="BA1009">
            <v>0.41862239448225347</v>
          </cell>
        </row>
        <row r="1010">
          <cell r="S1010">
            <v>0.99800000000000078</v>
          </cell>
          <cell r="U1010">
            <v>0.25372976546920822</v>
          </cell>
          <cell r="AI1010">
            <v>0.99800000000000078</v>
          </cell>
          <cell r="AK1010">
            <v>5.493042546270744E-2</v>
          </cell>
          <cell r="AY1010">
            <v>0.99800000000000078</v>
          </cell>
          <cell r="BA1010">
            <v>0.27793206579790641</v>
          </cell>
        </row>
        <row r="1011">
          <cell r="S1011">
            <v>0.99900000000000078</v>
          </cell>
          <cell r="U1011">
            <v>0.23878951240136348</v>
          </cell>
          <cell r="AI1011">
            <v>0.99900000000000078</v>
          </cell>
          <cell r="AK1011">
            <v>3.098708312676789E-2</v>
          </cell>
          <cell r="AY1011">
            <v>0.99900000000000078</v>
          </cell>
          <cell r="BA1011">
            <v>0.59114352855006558</v>
          </cell>
        </row>
        <row r="1012">
          <cell r="S1012">
            <v>1.0000000000000007</v>
          </cell>
          <cell r="U1012">
            <v>0.78904007178679825</v>
          </cell>
          <cell r="AI1012">
            <v>1.0000000000000007</v>
          </cell>
          <cell r="AK1012">
            <v>0.27826417129072989</v>
          </cell>
          <cell r="AY1012">
            <v>1.0000000000000007</v>
          </cell>
          <cell r="BA1012">
            <v>0.17282631916257213</v>
          </cell>
        </row>
        <row r="1013">
          <cell r="S1013">
            <v>1.0010000000000006</v>
          </cell>
          <cell r="U1013">
            <v>0.32651719900874604</v>
          </cell>
          <cell r="AI1013">
            <v>1.0010000000000006</v>
          </cell>
          <cell r="AK1013">
            <v>0.23084570348471112</v>
          </cell>
          <cell r="AY1013">
            <v>1.0010000000000006</v>
          </cell>
          <cell r="BA1013">
            <v>0.77925962096011225</v>
          </cell>
        </row>
        <row r="1014">
          <cell r="S1014">
            <v>1.0020000000000004</v>
          </cell>
          <cell r="U1014">
            <v>0.50399888671965964</v>
          </cell>
          <cell r="AI1014">
            <v>1.0020000000000004</v>
          </cell>
          <cell r="AK1014">
            <v>0.18800716756166713</v>
          </cell>
          <cell r="AY1014">
            <v>1.0020000000000004</v>
          </cell>
          <cell r="BA1014">
            <v>0.6590472121341594</v>
          </cell>
        </row>
        <row r="1015">
          <cell r="S1015">
            <v>1.0030000000000003</v>
          </cell>
          <cell r="U1015">
            <v>0.35336194275414062</v>
          </cell>
          <cell r="AI1015">
            <v>1.0030000000000003</v>
          </cell>
          <cell r="AK1015">
            <v>0.23784768182976346</v>
          </cell>
          <cell r="AY1015">
            <v>1.0030000000000003</v>
          </cell>
          <cell r="BA1015">
            <v>0.16248054445020904</v>
          </cell>
        </row>
        <row r="1016">
          <cell r="S1016">
            <v>1.0040000000000002</v>
          </cell>
          <cell r="U1016">
            <v>0.24185947300715491</v>
          </cell>
          <cell r="AI1016">
            <v>1.0040000000000002</v>
          </cell>
          <cell r="AK1016">
            <v>0.23759785208975126</v>
          </cell>
          <cell r="AY1016">
            <v>1.0040000000000002</v>
          </cell>
          <cell r="BA1016">
            <v>4.3946653645435957E-3</v>
          </cell>
        </row>
        <row r="1017">
          <cell r="S1017">
            <v>1.0050000000000001</v>
          </cell>
          <cell r="U1017">
            <v>0.64012856287827014</v>
          </cell>
          <cell r="AI1017">
            <v>1.0050000000000001</v>
          </cell>
          <cell r="AK1017">
            <v>0.20209732560545057</v>
          </cell>
          <cell r="AY1017">
            <v>1.0050000000000001</v>
          </cell>
          <cell r="BA1017">
            <v>0.57951597643971064</v>
          </cell>
        </row>
        <row r="1018">
          <cell r="S1018">
            <v>1.006</v>
          </cell>
          <cell r="U1018">
            <v>0.57681243645776825</v>
          </cell>
          <cell r="AI1018">
            <v>1.006</v>
          </cell>
          <cell r="AK1018">
            <v>0.10990494907731561</v>
          </cell>
          <cell r="AY1018">
            <v>1.006</v>
          </cell>
          <cell r="BA1018">
            <v>0.57841731009857478</v>
          </cell>
        </row>
        <row r="1019">
          <cell r="S1019">
            <v>1.0069999999999999</v>
          </cell>
          <cell r="U1019">
            <v>0.56994379484172697</v>
          </cell>
          <cell r="AI1019">
            <v>1.0069999999999999</v>
          </cell>
          <cell r="AK1019">
            <v>0.22551248166339566</v>
          </cell>
          <cell r="AY1019">
            <v>1.0069999999999999</v>
          </cell>
          <cell r="BA1019">
            <v>0.82857753227332376</v>
          </cell>
        </row>
        <row r="1020">
          <cell r="S1020">
            <v>1.0079999999999998</v>
          </cell>
          <cell r="U1020">
            <v>0.70622097855310439</v>
          </cell>
          <cell r="AI1020">
            <v>1.0079999999999998</v>
          </cell>
          <cell r="AK1020">
            <v>0.2577900431461404</v>
          </cell>
          <cell r="AY1020">
            <v>1.0079999999999998</v>
          </cell>
          <cell r="BA1020">
            <v>0.5790887173070467</v>
          </cell>
        </row>
        <row r="1021">
          <cell r="S1021">
            <v>1.0089999999999997</v>
          </cell>
          <cell r="U1021">
            <v>0.63129221849899131</v>
          </cell>
          <cell r="AI1021">
            <v>1.0089999999999997</v>
          </cell>
          <cell r="AK1021">
            <v>0.35522180082593335</v>
          </cell>
          <cell r="AY1021">
            <v>1.0089999999999997</v>
          </cell>
          <cell r="BA1021">
            <v>0.59956663716544079</v>
          </cell>
        </row>
        <row r="1022">
          <cell r="S1022">
            <v>1.0099999999999996</v>
          </cell>
          <cell r="U1022">
            <v>0.54373357374037878</v>
          </cell>
          <cell r="AI1022">
            <v>1.0099999999999996</v>
          </cell>
          <cell r="AK1022">
            <v>0.13026734216057831</v>
          </cell>
          <cell r="AY1022">
            <v>1.0099999999999996</v>
          </cell>
          <cell r="BA1022">
            <v>0.89730521561326948</v>
          </cell>
        </row>
        <row r="1023">
          <cell r="S1023">
            <v>1.0109999999999995</v>
          </cell>
          <cell r="U1023">
            <v>0.5234160782401498</v>
          </cell>
          <cell r="AI1023">
            <v>1.0109999999999995</v>
          </cell>
          <cell r="AK1023">
            <v>9.1445877875339782E-2</v>
          </cell>
          <cell r="AY1023">
            <v>1.0109999999999995</v>
          </cell>
          <cell r="BA1023">
            <v>0.90087588122196116</v>
          </cell>
        </row>
        <row r="1024">
          <cell r="S1024">
            <v>1.0119999999999993</v>
          </cell>
          <cell r="U1024">
            <v>0.66653352850460945</v>
          </cell>
          <cell r="AI1024">
            <v>1.0119999999999993</v>
          </cell>
          <cell r="AK1024">
            <v>0.13398211535148932</v>
          </cell>
          <cell r="AY1024">
            <v>1.0119999999999993</v>
          </cell>
          <cell r="BA1024">
            <v>0.77745902890102847</v>
          </cell>
        </row>
        <row r="1025">
          <cell r="S1025">
            <v>1.0129999999999992</v>
          </cell>
          <cell r="U1025">
            <v>0.46783602368835436</v>
          </cell>
          <cell r="AI1025">
            <v>1.0129999999999992</v>
          </cell>
          <cell r="AK1025">
            <v>0.1921145970850755</v>
          </cell>
          <cell r="AY1025">
            <v>1.0129999999999992</v>
          </cell>
          <cell r="BA1025">
            <v>0.25287636951811271</v>
          </cell>
        </row>
        <row r="1026">
          <cell r="S1026">
            <v>1.0139999999999991</v>
          </cell>
          <cell r="U1026">
            <v>0.43244793959153133</v>
          </cell>
          <cell r="AI1026">
            <v>1.0139999999999991</v>
          </cell>
          <cell r="AK1026">
            <v>0.15771519161813294</v>
          </cell>
          <cell r="AY1026">
            <v>1.0139999999999991</v>
          </cell>
          <cell r="BA1026">
            <v>0.70970793786431474</v>
          </cell>
        </row>
        <row r="1027">
          <cell r="S1027">
            <v>1.014999999999999</v>
          </cell>
          <cell r="U1027">
            <v>0.49354793507845762</v>
          </cell>
          <cell r="AI1027">
            <v>1.014999999999999</v>
          </cell>
          <cell r="AK1027">
            <v>0.13128414555598336</v>
          </cell>
          <cell r="AY1027">
            <v>1.014999999999999</v>
          </cell>
          <cell r="BA1027">
            <v>0.59373760185552538</v>
          </cell>
        </row>
        <row r="1028">
          <cell r="S1028">
            <v>1.0159999999999989</v>
          </cell>
          <cell r="U1028">
            <v>0.63284975538481669</v>
          </cell>
          <cell r="AI1028">
            <v>1.0159999999999989</v>
          </cell>
          <cell r="AK1028">
            <v>5.8179126730238361E-2</v>
          </cell>
          <cell r="AY1028">
            <v>1.0159999999999989</v>
          </cell>
          <cell r="BA1028">
            <v>0.96670430616168701</v>
          </cell>
        </row>
        <row r="1029">
          <cell r="S1029">
            <v>1.0169999999999988</v>
          </cell>
          <cell r="U1029">
            <v>0.49307550737902145</v>
          </cell>
          <cell r="AI1029">
            <v>1.0169999999999988</v>
          </cell>
          <cell r="AK1029">
            <v>0.20002311162263609</v>
          </cell>
          <cell r="AY1029">
            <v>1.0169999999999988</v>
          </cell>
          <cell r="BA1029">
            <v>0.90716269417401652</v>
          </cell>
        </row>
        <row r="1030">
          <cell r="S1030">
            <v>1.0179999999999987</v>
          </cell>
          <cell r="U1030">
            <v>0.85052416953495713</v>
          </cell>
          <cell r="AI1030">
            <v>1.0179999999999987</v>
          </cell>
          <cell r="AK1030">
            <v>0.18812448041947993</v>
          </cell>
          <cell r="AY1030">
            <v>1.0179999999999987</v>
          </cell>
          <cell r="BA1030">
            <v>4.8829615161595525E-3</v>
          </cell>
        </row>
        <row r="1031">
          <cell r="S1031">
            <v>1.0189999999999986</v>
          </cell>
          <cell r="U1031">
            <v>0.21075820717669877</v>
          </cell>
          <cell r="AI1031">
            <v>1.0189999999999986</v>
          </cell>
          <cell r="AK1031">
            <v>0.20605549414362623</v>
          </cell>
          <cell r="AY1031">
            <v>1.0189999999999986</v>
          </cell>
          <cell r="BA1031">
            <v>0.16272469252601704</v>
          </cell>
        </row>
        <row r="1032">
          <cell r="S1032">
            <v>1.0199999999999985</v>
          </cell>
          <cell r="U1032">
            <v>0.60670994392907751</v>
          </cell>
          <cell r="AI1032">
            <v>1.0199999999999985</v>
          </cell>
          <cell r="AK1032">
            <v>0.28422454616169457</v>
          </cell>
          <cell r="AY1032">
            <v>1.0199999999999985</v>
          </cell>
          <cell r="BA1032">
            <v>0.21063875240333263</v>
          </cell>
        </row>
        <row r="1033">
          <cell r="S1033">
            <v>1.0209999999999984</v>
          </cell>
          <cell r="U1033">
            <v>0.95523180851121015</v>
          </cell>
          <cell r="AI1033">
            <v>1.0209999999999984</v>
          </cell>
          <cell r="AK1033">
            <v>0.18165935504937467</v>
          </cell>
          <cell r="AY1033">
            <v>1.0209999999999984</v>
          </cell>
          <cell r="BA1033">
            <v>0.37907040620136112</v>
          </cell>
        </row>
        <row r="1034">
          <cell r="S1034">
            <v>1.0219999999999982</v>
          </cell>
          <cell r="U1034">
            <v>0.38089223238631842</v>
          </cell>
          <cell r="AI1034">
            <v>1.0219999999999982</v>
          </cell>
          <cell r="AK1034">
            <v>0.19113667527981038</v>
          </cell>
          <cell r="AY1034">
            <v>1.0219999999999982</v>
          </cell>
          <cell r="BA1034">
            <v>0.8078554643391217</v>
          </cell>
        </row>
        <row r="1035">
          <cell r="S1035">
            <v>1.0229999999999981</v>
          </cell>
          <cell r="U1035">
            <v>0.66131448176398155</v>
          </cell>
          <cell r="AI1035">
            <v>1.0229999999999981</v>
          </cell>
          <cell r="AK1035">
            <v>0.15199568643457215</v>
          </cell>
          <cell r="AY1035">
            <v>1.0229999999999981</v>
          </cell>
          <cell r="BA1035">
            <v>0.60737937559129607</v>
          </cell>
        </row>
        <row r="1036">
          <cell r="S1036">
            <v>1.023999999999998</v>
          </cell>
          <cell r="U1036">
            <v>0.39226710223653488</v>
          </cell>
          <cell r="AI1036">
            <v>1.023999999999998</v>
          </cell>
          <cell r="AK1036">
            <v>0.20554062996843969</v>
          </cell>
          <cell r="AY1036">
            <v>1.023999999999998</v>
          </cell>
          <cell r="BA1036">
            <v>0.78661458174382759</v>
          </cell>
        </row>
        <row r="1037">
          <cell r="S1037">
            <v>1.0249999999999979</v>
          </cell>
          <cell r="U1037">
            <v>0.6612748540424116</v>
          </cell>
          <cell r="AI1037">
            <v>1.0249999999999979</v>
          </cell>
          <cell r="AK1037">
            <v>0.18616438320373452</v>
          </cell>
          <cell r="AY1037">
            <v>1.0249999999999979</v>
          </cell>
          <cell r="BA1037">
            <v>0.50910977507858513</v>
          </cell>
        </row>
        <row r="1038">
          <cell r="S1038">
            <v>1.0259999999999978</v>
          </cell>
          <cell r="U1038">
            <v>0.34115197333516101</v>
          </cell>
          <cell r="AI1038">
            <v>1.0259999999999978</v>
          </cell>
          <cell r="AK1038">
            <v>9.8582333871755912E-2</v>
          </cell>
          <cell r="AY1038">
            <v>1.0259999999999978</v>
          </cell>
          <cell r="BA1038">
            <v>8.0050050355540636E-2</v>
          </cell>
        </row>
        <row r="1039">
          <cell r="S1039">
            <v>1.0269999999999977</v>
          </cell>
          <cell r="U1039">
            <v>0.16888599711432864</v>
          </cell>
          <cell r="AI1039">
            <v>1.0269999999999977</v>
          </cell>
          <cell r="AK1039">
            <v>0.32321881655610551</v>
          </cell>
          <cell r="AY1039">
            <v>1.0269999999999977</v>
          </cell>
          <cell r="BA1039">
            <v>9.4668416394543306E-2</v>
          </cell>
        </row>
        <row r="1040">
          <cell r="S1040">
            <v>1.0279999999999976</v>
          </cell>
          <cell r="U1040">
            <v>0.47348838646582464</v>
          </cell>
          <cell r="AI1040">
            <v>1.0279999999999976</v>
          </cell>
          <cell r="AK1040">
            <v>0.1546004097261704</v>
          </cell>
          <cell r="AY1040">
            <v>1.0279999999999976</v>
          </cell>
          <cell r="BA1040">
            <v>0.5399334696493423</v>
          </cell>
        </row>
        <row r="1041">
          <cell r="S1041">
            <v>1.0289999999999975</v>
          </cell>
          <cell r="U1041">
            <v>0.79700168281325112</v>
          </cell>
          <cell r="AI1041">
            <v>1.0289999999999975</v>
          </cell>
          <cell r="AK1041">
            <v>0.32070124401686484</v>
          </cell>
          <cell r="AY1041">
            <v>1.0289999999999975</v>
          </cell>
          <cell r="BA1041">
            <v>0.22275460066530348</v>
          </cell>
        </row>
        <row r="1042">
          <cell r="S1042">
            <v>1.0299999999999974</v>
          </cell>
          <cell r="U1042">
            <v>0.45639054433351267</v>
          </cell>
          <cell r="AI1042">
            <v>1.0299999999999974</v>
          </cell>
          <cell r="AK1042">
            <v>0.21649505166927319</v>
          </cell>
          <cell r="AY1042">
            <v>1.0299999999999974</v>
          </cell>
          <cell r="BA1042">
            <v>0.16086306344798121</v>
          </cell>
        </row>
        <row r="1043">
          <cell r="S1043">
            <v>1.0309999999999973</v>
          </cell>
          <cell r="U1043">
            <v>0.67987550247772521</v>
          </cell>
          <cell r="AI1043">
            <v>1.0309999999999973</v>
          </cell>
          <cell r="AK1043">
            <v>0.23948616248959986</v>
          </cell>
          <cell r="AY1043">
            <v>1.0309999999999973</v>
          </cell>
          <cell r="BA1043">
            <v>0.75939207129123809</v>
          </cell>
        </row>
        <row r="1044">
          <cell r="S1044">
            <v>1.0319999999999971</v>
          </cell>
          <cell r="U1044">
            <v>0.51551155732210785</v>
          </cell>
          <cell r="AI1044">
            <v>1.0319999999999971</v>
          </cell>
          <cell r="AK1044">
            <v>0.20259731904178813</v>
          </cell>
          <cell r="AY1044">
            <v>1.0319999999999971</v>
          </cell>
          <cell r="BA1044">
            <v>0.10769981994079411</v>
          </cell>
        </row>
        <row r="1045">
          <cell r="S1045">
            <v>1.032999999999997</v>
          </cell>
          <cell r="U1045">
            <v>0.24836885544331014</v>
          </cell>
          <cell r="AI1045">
            <v>1.032999999999997</v>
          </cell>
          <cell r="AK1045">
            <v>0.19170677319444263</v>
          </cell>
          <cell r="AY1045">
            <v>1.032999999999997</v>
          </cell>
          <cell r="BA1045">
            <v>0.98416089358195746</v>
          </cell>
        </row>
        <row r="1046">
          <cell r="S1046">
            <v>1.0339999999999969</v>
          </cell>
          <cell r="U1046">
            <v>0.44888782278347145</v>
          </cell>
          <cell r="AI1046">
            <v>1.0339999999999969</v>
          </cell>
          <cell r="AK1046">
            <v>0.30207832405133184</v>
          </cell>
          <cell r="AY1046">
            <v>1.0339999999999969</v>
          </cell>
          <cell r="BA1046">
            <v>3.1281472212897114E-2</v>
          </cell>
        </row>
        <row r="1047">
          <cell r="S1047">
            <v>1.0349999999999968</v>
          </cell>
          <cell r="U1047">
            <v>0.15373390041073151</v>
          </cell>
          <cell r="AI1047">
            <v>1.0349999999999968</v>
          </cell>
          <cell r="AK1047">
            <v>8.7860304269513342E-2</v>
          </cell>
          <cell r="AY1047">
            <v>1.0349999999999968</v>
          </cell>
          <cell r="BA1047">
            <v>3.7720877712332533E-2</v>
          </cell>
        </row>
        <row r="1048">
          <cell r="S1048">
            <v>1.0359999999999967</v>
          </cell>
          <cell r="U1048">
            <v>0.49883466455656755</v>
          </cell>
          <cell r="AI1048">
            <v>1.0359999999999967</v>
          </cell>
          <cell r="AK1048">
            <v>0.16478681036814705</v>
          </cell>
          <cell r="AY1048">
            <v>1.0359999999999967</v>
          </cell>
          <cell r="BA1048">
            <v>0.54301583910641804</v>
          </cell>
        </row>
        <row r="1049">
          <cell r="S1049">
            <v>1.0369999999999966</v>
          </cell>
          <cell r="U1049">
            <v>0.49761598021560161</v>
          </cell>
          <cell r="AI1049">
            <v>1.0369999999999966</v>
          </cell>
          <cell r="AK1049">
            <v>0.15985588739614381</v>
          </cell>
          <cell r="AY1049">
            <v>1.0369999999999966</v>
          </cell>
          <cell r="BA1049">
            <v>4.8707541123691515E-2</v>
          </cell>
        </row>
        <row r="1050">
          <cell r="S1050">
            <v>1.0379999999999965</v>
          </cell>
          <cell r="U1050">
            <v>0.41766412739320929</v>
          </cell>
          <cell r="AI1050">
            <v>1.0379999999999965</v>
          </cell>
          <cell r="AK1050">
            <v>0.14852680984822425</v>
          </cell>
          <cell r="AY1050">
            <v>1.0379999999999965</v>
          </cell>
          <cell r="BA1050">
            <v>0.18143253883480331</v>
          </cell>
        </row>
        <row r="1051">
          <cell r="S1051">
            <v>1.0389999999999964</v>
          </cell>
          <cell r="U1051">
            <v>0.47227646027890696</v>
          </cell>
          <cell r="AI1051">
            <v>1.0389999999999964</v>
          </cell>
          <cell r="AK1051">
            <v>0.26149870359111071</v>
          </cell>
          <cell r="AY1051">
            <v>1.0389999999999964</v>
          </cell>
          <cell r="BA1051">
            <v>0.19058809167760246</v>
          </cell>
        </row>
        <row r="1052">
          <cell r="S1052">
            <v>1.0399999999999963</v>
          </cell>
          <cell r="U1052">
            <v>0.38899543298505479</v>
          </cell>
          <cell r="AI1052">
            <v>1.0399999999999963</v>
          </cell>
          <cell r="AK1052">
            <v>0.14075078318896686</v>
          </cell>
          <cell r="AY1052">
            <v>1.0399999999999963</v>
          </cell>
          <cell r="BA1052">
            <v>0.37052522354808193</v>
          </cell>
        </row>
        <row r="1053">
          <cell r="S1053">
            <v>1.0409999999999962</v>
          </cell>
          <cell r="U1053">
            <v>0.53950512595137379</v>
          </cell>
          <cell r="AI1053">
            <v>1.0409999999999962</v>
          </cell>
          <cell r="AK1053">
            <v>0.24010513132784861</v>
          </cell>
          <cell r="AY1053">
            <v>1.0409999999999962</v>
          </cell>
          <cell r="BA1053">
            <v>0.42081972716452526</v>
          </cell>
        </row>
        <row r="1054">
          <cell r="S1054">
            <v>1.041999999999996</v>
          </cell>
          <cell r="U1054">
            <v>0.70541340446027556</v>
          </cell>
          <cell r="AI1054">
            <v>1.041999999999996</v>
          </cell>
          <cell r="AK1054">
            <v>0.19085569090924537</v>
          </cell>
          <cell r="AY1054">
            <v>1.041999999999996</v>
          </cell>
          <cell r="BA1054">
            <v>0.36237678151799069</v>
          </cell>
        </row>
        <row r="1055">
          <cell r="S1055">
            <v>1.0429999999999959</v>
          </cell>
          <cell r="U1055">
            <v>0.34166240862387709</v>
          </cell>
          <cell r="AI1055">
            <v>1.0429999999999959</v>
          </cell>
          <cell r="AK1055">
            <v>0.16561894425047366</v>
          </cell>
          <cell r="AY1055">
            <v>1.0429999999999959</v>
          </cell>
          <cell r="BA1055">
            <v>0.17200231940672017</v>
          </cell>
        </row>
        <row r="1056">
          <cell r="S1056">
            <v>1.0439999999999958</v>
          </cell>
          <cell r="U1056">
            <v>0.25197289062559591</v>
          </cell>
          <cell r="AI1056">
            <v>1.0439999999999958</v>
          </cell>
          <cell r="AK1056">
            <v>8.0490155604726818E-2</v>
          </cell>
          <cell r="AY1056">
            <v>1.0439999999999958</v>
          </cell>
          <cell r="BA1056">
            <v>0.6054567094943083</v>
          </cell>
        </row>
        <row r="1057">
          <cell r="S1057">
            <v>1.0449999999999957</v>
          </cell>
          <cell r="U1057">
            <v>0.58776141162861983</v>
          </cell>
          <cell r="AI1057">
            <v>1.0449999999999957</v>
          </cell>
          <cell r="AK1057">
            <v>0.15077248403487015</v>
          </cell>
          <cell r="AY1057">
            <v>1.0449999999999957</v>
          </cell>
          <cell r="BA1057">
            <v>0.92269661549729909</v>
          </cell>
        </row>
        <row r="1058">
          <cell r="S1058">
            <v>1.0459999999999956</v>
          </cell>
          <cell r="U1058">
            <v>0.60990567245398253</v>
          </cell>
          <cell r="AI1058">
            <v>1.0459999999999956</v>
          </cell>
          <cell r="AK1058">
            <v>9.938280951917737E-2</v>
          </cell>
          <cell r="AY1058">
            <v>1.0459999999999956</v>
          </cell>
          <cell r="BA1058">
            <v>4.4557023834955892E-3</v>
          </cell>
        </row>
        <row r="1059">
          <cell r="S1059">
            <v>1.0469999999999955</v>
          </cell>
          <cell r="U1059">
            <v>0.40194839618019368</v>
          </cell>
          <cell r="AI1059">
            <v>1.0469999999999955</v>
          </cell>
          <cell r="AK1059">
            <v>0.11645278045712527</v>
          </cell>
          <cell r="AY1059">
            <v>1.0469999999999955</v>
          </cell>
          <cell r="BA1059">
            <v>0.50010681478316599</v>
          </cell>
        </row>
        <row r="1060">
          <cell r="S1060">
            <v>1.0479999999999954</v>
          </cell>
          <cell r="U1060">
            <v>0.58326388976944044</v>
          </cell>
          <cell r="AI1060">
            <v>1.0479999999999954</v>
          </cell>
          <cell r="AK1060">
            <v>0.21985876225457301</v>
          </cell>
          <cell r="AY1060">
            <v>1.0479999999999954</v>
          </cell>
          <cell r="BA1060">
            <v>0.76619769890438549</v>
          </cell>
        </row>
        <row r="1061">
          <cell r="S1061">
            <v>1.0489999999999953</v>
          </cell>
          <cell r="U1061">
            <v>0.63530822784444063</v>
          </cell>
          <cell r="AI1061">
            <v>1.0489999999999953</v>
          </cell>
          <cell r="AK1061">
            <v>9.0559712898548292E-2</v>
          </cell>
          <cell r="AY1061">
            <v>1.0489999999999953</v>
          </cell>
          <cell r="BA1061">
            <v>0.28089236121707817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6629-BC80-48BF-B2F3-A9C88D96401F}">
  <dimension ref="A1:T133"/>
  <sheetViews>
    <sheetView tabSelected="1" zoomScale="85" zoomScaleNormal="85" workbookViewId="0">
      <selection activeCell="K29" sqref="K29"/>
    </sheetView>
  </sheetViews>
  <sheetFormatPr defaultRowHeight="15" x14ac:dyDescent="0.25"/>
  <cols>
    <col min="2" max="2" width="11" customWidth="1"/>
    <col min="3" max="3" width="10.5703125" customWidth="1"/>
    <col min="6" max="6" width="11.42578125" customWidth="1"/>
    <col min="10" max="10" width="9.5703125" bestFit="1" customWidth="1"/>
  </cols>
  <sheetData>
    <row r="1" spans="1:7" x14ac:dyDescent="0.25">
      <c r="A1" t="s">
        <v>35</v>
      </c>
    </row>
    <row r="5" spans="1:7" x14ac:dyDescent="0.25">
      <c r="A5" s="3">
        <v>1</v>
      </c>
      <c r="B5" s="9" t="s">
        <v>0</v>
      </c>
      <c r="C5" s="9"/>
      <c r="F5" s="1">
        <v>3</v>
      </c>
      <c r="G5" s="18"/>
    </row>
    <row r="6" spans="1:7" x14ac:dyDescent="0.25">
      <c r="A6" t="s">
        <v>18</v>
      </c>
      <c r="B6" t="s">
        <v>19</v>
      </c>
      <c r="F6" t="s">
        <v>21</v>
      </c>
      <c r="G6">
        <f>A7-(B7-A7)</f>
        <v>0</v>
      </c>
    </row>
    <row r="7" spans="1:7" x14ac:dyDescent="0.25">
      <c r="A7" s="5">
        <v>21</v>
      </c>
      <c r="B7" s="5">
        <v>42</v>
      </c>
      <c r="F7" t="s">
        <v>22</v>
      </c>
      <c r="G7">
        <f>B7+(B7-A7)</f>
        <v>63</v>
      </c>
    </row>
    <row r="8" spans="1:7" x14ac:dyDescent="0.25">
      <c r="A8" t="s">
        <v>20</v>
      </c>
      <c r="C8" s="8">
        <v>121.8024231696524</v>
      </c>
      <c r="F8" t="s">
        <v>23</v>
      </c>
      <c r="G8">
        <v>4.2</v>
      </c>
    </row>
    <row r="9" spans="1:7" x14ac:dyDescent="0.25">
      <c r="F9" t="s">
        <v>24</v>
      </c>
      <c r="G9">
        <v>15</v>
      </c>
    </row>
    <row r="10" spans="1:7" x14ac:dyDescent="0.25">
      <c r="A10" s="1">
        <v>2</v>
      </c>
      <c r="B10" s="4" t="s">
        <v>1</v>
      </c>
    </row>
    <row r="11" spans="1:7" x14ac:dyDescent="0.25">
      <c r="A11" s="2" t="s">
        <v>2</v>
      </c>
      <c r="B11" s="2" t="s">
        <v>3</v>
      </c>
    </row>
    <row r="12" spans="1:7" x14ac:dyDescent="0.25">
      <c r="A12">
        <v>1</v>
      </c>
      <c r="B12">
        <v>25.324076052125612</v>
      </c>
    </row>
    <row r="13" spans="1:7" x14ac:dyDescent="0.25">
      <c r="A13">
        <v>2</v>
      </c>
      <c r="B13">
        <v>33.637684255500957</v>
      </c>
    </row>
    <row r="14" spans="1:7" x14ac:dyDescent="0.25">
      <c r="A14">
        <v>3</v>
      </c>
      <c r="B14">
        <v>41.886562700277722</v>
      </c>
    </row>
    <row r="15" spans="1:7" x14ac:dyDescent="0.25">
      <c r="A15">
        <v>4</v>
      </c>
      <c r="B15">
        <v>21.865199743644521</v>
      </c>
    </row>
    <row r="16" spans="1:7" x14ac:dyDescent="0.25">
      <c r="A16">
        <v>5</v>
      </c>
      <c r="B16">
        <v>38.372569963682977</v>
      </c>
    </row>
    <row r="17" spans="1:17" x14ac:dyDescent="0.25">
      <c r="A17">
        <v>6</v>
      </c>
      <c r="B17">
        <v>29.151463362529377</v>
      </c>
    </row>
    <row r="18" spans="1:17" x14ac:dyDescent="0.25">
      <c r="A18">
        <v>7</v>
      </c>
      <c r="B18">
        <v>28.519547105319376</v>
      </c>
    </row>
    <row r="19" spans="1:17" x14ac:dyDescent="0.25">
      <c r="A19">
        <v>8</v>
      </c>
      <c r="B19">
        <v>36.990813928647725</v>
      </c>
    </row>
    <row r="20" spans="1:17" x14ac:dyDescent="0.25">
      <c r="A20">
        <v>9</v>
      </c>
      <c r="B20">
        <v>27.275582140568254</v>
      </c>
    </row>
    <row r="21" spans="1:17" x14ac:dyDescent="0.25">
      <c r="A21">
        <v>10</v>
      </c>
      <c r="B21">
        <v>39.543473616748557</v>
      </c>
    </row>
    <row r="22" spans="1:17" x14ac:dyDescent="0.25">
      <c r="A22">
        <v>11</v>
      </c>
      <c r="B22">
        <v>36.220465712454605</v>
      </c>
    </row>
    <row r="23" spans="1:17" x14ac:dyDescent="0.25">
      <c r="A23">
        <v>12</v>
      </c>
      <c r="B23">
        <v>28.71181371501816</v>
      </c>
    </row>
    <row r="24" spans="1:17" x14ac:dyDescent="0.25">
      <c r="A24">
        <v>13</v>
      </c>
      <c r="B24">
        <v>33.277504806665242</v>
      </c>
      <c r="Q24" s="10"/>
    </row>
    <row r="25" spans="1:17" x14ac:dyDescent="0.25">
      <c r="A25">
        <v>14</v>
      </c>
      <c r="B25">
        <v>22.138859218115787</v>
      </c>
      <c r="Q25" s="10"/>
    </row>
    <row r="26" spans="1:17" x14ac:dyDescent="0.25">
      <c r="A26">
        <v>15</v>
      </c>
      <c r="B26">
        <v>23.341166417432174</v>
      </c>
    </row>
    <row r="27" spans="1:17" ht="15.75" thickBot="1" x14ac:dyDescent="0.3">
      <c r="A27">
        <v>16</v>
      </c>
      <c r="B27">
        <v>32.484084597308268</v>
      </c>
      <c r="E27" s="3">
        <v>4</v>
      </c>
      <c r="F27" s="40" t="s">
        <v>4</v>
      </c>
      <c r="G27" s="40"/>
      <c r="H27" s="40"/>
      <c r="I27" s="40"/>
      <c r="J27" s="40"/>
      <c r="K27" s="40"/>
      <c r="L27" s="40"/>
    </row>
    <row r="28" spans="1:17" x14ac:dyDescent="0.25">
      <c r="A28">
        <v>17</v>
      </c>
      <c r="B28">
        <v>39.967741935483872</v>
      </c>
      <c r="D28" t="s">
        <v>25</v>
      </c>
      <c r="E28" t="s">
        <v>5</v>
      </c>
      <c r="F28" s="14" t="s">
        <v>6</v>
      </c>
      <c r="G28" s="14" t="s">
        <v>7</v>
      </c>
      <c r="H28" t="s">
        <v>9</v>
      </c>
      <c r="I28" t="s">
        <v>10</v>
      </c>
      <c r="J28" t="s">
        <v>11</v>
      </c>
      <c r="K28" t="s">
        <v>27</v>
      </c>
    </row>
    <row r="29" spans="1:17" x14ac:dyDescent="0.25">
      <c r="A29">
        <v>18</v>
      </c>
      <c r="B29">
        <v>39.797265541550949</v>
      </c>
      <c r="D29">
        <v>1</v>
      </c>
      <c r="E29">
        <f>0+$G$8</f>
        <v>4.2</v>
      </c>
      <c r="F29" s="11">
        <v>4.2</v>
      </c>
      <c r="G29" s="12">
        <v>0</v>
      </c>
      <c r="H29">
        <f>G29/$G$45</f>
        <v>0</v>
      </c>
      <c r="I29">
        <v>0</v>
      </c>
      <c r="J29">
        <f>H29</f>
        <v>0</v>
      </c>
      <c r="K29">
        <f>I29/$I$45</f>
        <v>0</v>
      </c>
    </row>
    <row r="30" spans="1:17" x14ac:dyDescent="0.25">
      <c r="A30">
        <v>19</v>
      </c>
      <c r="B30">
        <v>22.92458876308481</v>
      </c>
      <c r="D30">
        <v>2</v>
      </c>
      <c r="E30">
        <f>E29+$G$8</f>
        <v>8.4</v>
      </c>
      <c r="F30" s="11">
        <v>8.4</v>
      </c>
      <c r="G30" s="12">
        <v>0</v>
      </c>
      <c r="H30">
        <f t="shared" ref="H30:H42" si="0">G30/$G$45</f>
        <v>0</v>
      </c>
      <c r="I30">
        <v>0</v>
      </c>
      <c r="J30">
        <f>J29+H30</f>
        <v>0</v>
      </c>
      <c r="K30">
        <f t="shared" ref="K30:K43" si="1">I30/$I$45</f>
        <v>0</v>
      </c>
    </row>
    <row r="31" spans="1:17" x14ac:dyDescent="0.25">
      <c r="A31">
        <v>20</v>
      </c>
      <c r="B31">
        <v>29.830164494766073</v>
      </c>
      <c r="D31">
        <v>3</v>
      </c>
      <c r="E31">
        <f t="shared" ref="E31:E43" si="2">E30+$G$8</f>
        <v>12.600000000000001</v>
      </c>
      <c r="F31" s="11">
        <v>12.600000000000001</v>
      </c>
      <c r="G31" s="12">
        <v>0</v>
      </c>
      <c r="H31">
        <f t="shared" si="0"/>
        <v>0</v>
      </c>
      <c r="I31">
        <v>0</v>
      </c>
      <c r="J31">
        <f t="shared" ref="J31:J43" si="3">J30+H31</f>
        <v>0</v>
      </c>
      <c r="K31">
        <f t="shared" si="1"/>
        <v>0</v>
      </c>
    </row>
    <row r="32" spans="1:17" x14ac:dyDescent="0.25">
      <c r="A32">
        <v>21</v>
      </c>
      <c r="B32">
        <v>39.340311899166849</v>
      </c>
      <c r="D32">
        <v>4</v>
      </c>
      <c r="E32">
        <f t="shared" si="2"/>
        <v>16.8</v>
      </c>
      <c r="F32" s="11">
        <v>16.8</v>
      </c>
      <c r="G32" s="12">
        <v>0</v>
      </c>
      <c r="H32">
        <f t="shared" si="0"/>
        <v>0</v>
      </c>
      <c r="I32">
        <v>0</v>
      </c>
      <c r="J32">
        <f t="shared" si="3"/>
        <v>0</v>
      </c>
      <c r="K32">
        <f t="shared" si="1"/>
        <v>0</v>
      </c>
    </row>
    <row r="33" spans="1:20" x14ac:dyDescent="0.25">
      <c r="A33">
        <v>22</v>
      </c>
      <c r="B33">
        <v>23.359111301004059</v>
      </c>
      <c r="D33">
        <v>5</v>
      </c>
      <c r="E33">
        <f t="shared" si="2"/>
        <v>21</v>
      </c>
      <c r="F33" s="11">
        <v>21</v>
      </c>
      <c r="G33" s="12">
        <v>0</v>
      </c>
      <c r="H33">
        <f t="shared" si="0"/>
        <v>0</v>
      </c>
      <c r="I33">
        <v>0</v>
      </c>
      <c r="J33">
        <f t="shared" si="3"/>
        <v>0</v>
      </c>
      <c r="K33">
        <f t="shared" si="1"/>
        <v>0</v>
      </c>
    </row>
    <row r="34" spans="1:20" x14ac:dyDescent="0.25">
      <c r="A34">
        <v>23</v>
      </c>
      <c r="B34">
        <v>28.474684896389661</v>
      </c>
      <c r="D34">
        <v>6</v>
      </c>
      <c r="E34">
        <f t="shared" si="2"/>
        <v>25.2</v>
      </c>
      <c r="F34" s="11">
        <v>25.2</v>
      </c>
      <c r="G34" s="12">
        <v>16</v>
      </c>
      <c r="H34">
        <f t="shared" si="0"/>
        <v>0.13114754098360656</v>
      </c>
      <c r="I34">
        <v>1</v>
      </c>
      <c r="J34">
        <f t="shared" si="3"/>
        <v>0.13114754098360656</v>
      </c>
      <c r="K34">
        <f t="shared" si="1"/>
        <v>0.2</v>
      </c>
    </row>
    <row r="35" spans="1:20" x14ac:dyDescent="0.25">
      <c r="A35">
        <v>24</v>
      </c>
      <c r="B35">
        <v>41.640461439863273</v>
      </c>
      <c r="D35">
        <v>7</v>
      </c>
      <c r="E35">
        <f t="shared" si="2"/>
        <v>29.4</v>
      </c>
      <c r="F35" s="11">
        <v>29.4</v>
      </c>
      <c r="G35" s="12">
        <v>30</v>
      </c>
      <c r="H35">
        <f t="shared" si="0"/>
        <v>0.24590163934426229</v>
      </c>
      <c r="I35">
        <v>1</v>
      </c>
      <c r="J35">
        <f t="shared" si="3"/>
        <v>0.37704918032786883</v>
      </c>
      <c r="K35">
        <f t="shared" si="1"/>
        <v>0.2</v>
      </c>
    </row>
    <row r="36" spans="1:20" x14ac:dyDescent="0.25">
      <c r="A36">
        <v>25</v>
      </c>
      <c r="B36">
        <v>38.007904293954283</v>
      </c>
      <c r="D36">
        <v>8</v>
      </c>
      <c r="E36">
        <f t="shared" si="2"/>
        <v>33.6</v>
      </c>
      <c r="F36" s="11">
        <v>33.6</v>
      </c>
      <c r="G36" s="12">
        <v>24</v>
      </c>
      <c r="H36">
        <f t="shared" si="0"/>
        <v>0.19672131147540983</v>
      </c>
      <c r="I36">
        <v>1</v>
      </c>
      <c r="J36">
        <f t="shared" si="3"/>
        <v>0.57377049180327866</v>
      </c>
      <c r="K36">
        <f t="shared" si="1"/>
        <v>0.2</v>
      </c>
    </row>
    <row r="37" spans="1:20" x14ac:dyDescent="0.25">
      <c r="A37">
        <v>26</v>
      </c>
      <c r="B37">
        <v>28.628498184148686</v>
      </c>
      <c r="D37">
        <v>9</v>
      </c>
      <c r="E37">
        <f t="shared" si="2"/>
        <v>37.800000000000004</v>
      </c>
      <c r="F37" s="11">
        <v>37.800000000000004</v>
      </c>
      <c r="G37" s="12">
        <v>14</v>
      </c>
      <c r="H37">
        <f t="shared" si="0"/>
        <v>0.11475409836065574</v>
      </c>
      <c r="I37">
        <v>1</v>
      </c>
      <c r="J37">
        <f t="shared" si="3"/>
        <v>0.68852459016393441</v>
      </c>
      <c r="K37">
        <f t="shared" si="1"/>
        <v>0.2</v>
      </c>
    </row>
    <row r="38" spans="1:20" x14ac:dyDescent="0.25">
      <c r="A38">
        <v>27</v>
      </c>
      <c r="B38">
        <v>34.158085879085661</v>
      </c>
      <c r="D38">
        <v>10</v>
      </c>
      <c r="E38">
        <f t="shared" si="2"/>
        <v>42.000000000000007</v>
      </c>
      <c r="F38" s="11">
        <v>42.000000000000007</v>
      </c>
      <c r="G38" s="12">
        <v>38</v>
      </c>
      <c r="H38">
        <f t="shared" si="0"/>
        <v>0.31147540983606559</v>
      </c>
      <c r="I38">
        <v>1</v>
      </c>
      <c r="J38" s="7">
        <f t="shared" si="3"/>
        <v>1</v>
      </c>
      <c r="K38">
        <f t="shared" si="1"/>
        <v>0.2</v>
      </c>
    </row>
    <row r="39" spans="1:20" x14ac:dyDescent="0.25">
      <c r="A39">
        <v>28</v>
      </c>
      <c r="B39">
        <v>31.204229865413375</v>
      </c>
      <c r="D39">
        <v>11</v>
      </c>
      <c r="E39">
        <f t="shared" si="2"/>
        <v>46.20000000000001</v>
      </c>
      <c r="F39" s="11">
        <v>46.20000000000001</v>
      </c>
      <c r="G39" s="12">
        <v>0</v>
      </c>
      <c r="H39">
        <f t="shared" si="0"/>
        <v>0</v>
      </c>
      <c r="I39">
        <v>0</v>
      </c>
      <c r="J39">
        <f t="shared" si="3"/>
        <v>1</v>
      </c>
      <c r="K39">
        <f t="shared" si="1"/>
        <v>0</v>
      </c>
    </row>
    <row r="40" spans="1:20" x14ac:dyDescent="0.25">
      <c r="A40">
        <v>29</v>
      </c>
      <c r="B40">
        <v>25.236274300363171</v>
      </c>
      <c r="D40">
        <v>12</v>
      </c>
      <c r="E40">
        <f t="shared" si="2"/>
        <v>50.400000000000013</v>
      </c>
      <c r="F40" s="11">
        <v>50.400000000000013</v>
      </c>
      <c r="G40" s="12">
        <v>0</v>
      </c>
      <c r="H40">
        <f t="shared" si="0"/>
        <v>0</v>
      </c>
      <c r="I40">
        <v>0</v>
      </c>
      <c r="J40">
        <f t="shared" si="3"/>
        <v>1</v>
      </c>
      <c r="K40">
        <f t="shared" si="1"/>
        <v>0</v>
      </c>
    </row>
    <row r="41" spans="1:20" x14ac:dyDescent="0.25">
      <c r="A41">
        <v>30</v>
      </c>
      <c r="B41">
        <v>40.897671437726984</v>
      </c>
      <c r="D41">
        <v>13</v>
      </c>
      <c r="E41">
        <f t="shared" si="2"/>
        <v>54.600000000000016</v>
      </c>
      <c r="F41" s="11">
        <v>54.600000000000016</v>
      </c>
      <c r="G41" s="12">
        <v>0</v>
      </c>
      <c r="H41">
        <f t="shared" si="0"/>
        <v>0</v>
      </c>
      <c r="I41">
        <v>0</v>
      </c>
      <c r="J41">
        <f t="shared" si="3"/>
        <v>1</v>
      </c>
      <c r="K41">
        <f t="shared" si="1"/>
        <v>0</v>
      </c>
    </row>
    <row r="42" spans="1:20" x14ac:dyDescent="0.25">
      <c r="A42">
        <v>31</v>
      </c>
      <c r="B42">
        <v>25.327280495620592</v>
      </c>
      <c r="D42">
        <v>14</v>
      </c>
      <c r="E42">
        <f t="shared" si="2"/>
        <v>58.800000000000018</v>
      </c>
      <c r="F42" s="11">
        <v>58.800000000000018</v>
      </c>
      <c r="G42" s="12">
        <v>0</v>
      </c>
      <c r="H42">
        <f t="shared" si="0"/>
        <v>0</v>
      </c>
      <c r="I42">
        <v>0</v>
      </c>
      <c r="J42">
        <f t="shared" si="3"/>
        <v>1</v>
      </c>
      <c r="K42">
        <f t="shared" si="1"/>
        <v>0</v>
      </c>
    </row>
    <row r="43" spans="1:20" x14ac:dyDescent="0.25">
      <c r="A43">
        <v>32</v>
      </c>
      <c r="B43">
        <v>40.256141850032044</v>
      </c>
      <c r="D43">
        <v>15</v>
      </c>
      <c r="E43">
        <f t="shared" si="2"/>
        <v>63.000000000000021</v>
      </c>
      <c r="F43" s="11">
        <v>63.000000000000021</v>
      </c>
      <c r="G43" s="12">
        <v>0</v>
      </c>
      <c r="H43">
        <f>G43/$G$45</f>
        <v>0</v>
      </c>
      <c r="I43">
        <v>0</v>
      </c>
      <c r="J43">
        <f t="shared" si="3"/>
        <v>1</v>
      </c>
      <c r="K43">
        <f t="shared" si="1"/>
        <v>0</v>
      </c>
      <c r="O43" s="3">
        <v>4</v>
      </c>
      <c r="P43" s="40" t="s">
        <v>12</v>
      </c>
      <c r="Q43" s="40"/>
      <c r="R43" s="40"/>
      <c r="S43" s="40"/>
      <c r="T43" s="40"/>
    </row>
    <row r="44" spans="1:20" ht="15.75" thickBot="1" x14ac:dyDescent="0.3">
      <c r="A44">
        <v>33</v>
      </c>
      <c r="B44">
        <v>39.943388164922027</v>
      </c>
      <c r="F44" s="13" t="s">
        <v>8</v>
      </c>
      <c r="G44" s="13">
        <v>0</v>
      </c>
      <c r="O44" s="39" t="s">
        <v>13</v>
      </c>
      <c r="P44" s="39"/>
      <c r="Q44" s="39"/>
      <c r="R44" s="39"/>
      <c r="S44">
        <f>AVERAGE(B12:B133)</f>
        <v>32.51506788867448</v>
      </c>
    </row>
    <row r="45" spans="1:20" x14ac:dyDescent="0.25">
      <c r="A45">
        <v>34</v>
      </c>
      <c r="B45">
        <v>28.570818201239053</v>
      </c>
      <c r="F45" t="s">
        <v>26</v>
      </c>
      <c r="G45">
        <f>SUM(G29:G44)</f>
        <v>122</v>
      </c>
      <c r="H45">
        <f t="shared" ref="H45:K45" si="4">SUM(H29:H44)</f>
        <v>1</v>
      </c>
      <c r="I45">
        <f t="shared" si="4"/>
        <v>5</v>
      </c>
      <c r="J45">
        <f t="shared" si="4"/>
        <v>7.7704918032786878</v>
      </c>
      <c r="K45">
        <f t="shared" si="4"/>
        <v>1</v>
      </c>
      <c r="O45" s="39" t="s">
        <v>14</v>
      </c>
      <c r="P45" s="39"/>
      <c r="Q45" s="39"/>
      <c r="R45" s="39"/>
      <c r="S45">
        <f>_xlfn.STDEV.S(B12:B133)</f>
        <v>6.2504419799152107</v>
      </c>
    </row>
    <row r="46" spans="1:20" x14ac:dyDescent="0.25">
      <c r="A46">
        <v>35</v>
      </c>
      <c r="B46">
        <v>40.79192480239265</v>
      </c>
      <c r="O46" s="39" t="s">
        <v>15</v>
      </c>
      <c r="P46" s="39"/>
      <c r="Q46" s="39"/>
      <c r="R46" s="39"/>
      <c r="S46">
        <f>_xlfn.VAR.S(B12:B133)</f>
        <v>39.068024944286378</v>
      </c>
    </row>
    <row r="47" spans="1:20" x14ac:dyDescent="0.25">
      <c r="A47">
        <v>36</v>
      </c>
      <c r="B47">
        <v>25.798974578081605</v>
      </c>
      <c r="O47" s="39" t="s">
        <v>16</v>
      </c>
      <c r="P47" s="39"/>
      <c r="Q47" s="39"/>
      <c r="R47" s="39"/>
      <c r="S47">
        <f>SKEW(B12:B133)</f>
        <v>-1.975022166350998E-3</v>
      </c>
    </row>
    <row r="48" spans="1:20" x14ac:dyDescent="0.25">
      <c r="A48">
        <v>37</v>
      </c>
      <c r="B48">
        <v>22.327280495620595</v>
      </c>
      <c r="O48" s="39" t="s">
        <v>17</v>
      </c>
      <c r="P48" s="39"/>
      <c r="Q48" s="39"/>
      <c r="R48" s="39"/>
      <c r="S48">
        <f>KURT(B12:B133)</f>
        <v>-1.3192355558293469</v>
      </c>
    </row>
    <row r="49" spans="1:2" x14ac:dyDescent="0.25">
      <c r="A49">
        <v>38</v>
      </c>
      <c r="B49">
        <v>33.906857509079259</v>
      </c>
    </row>
    <row r="50" spans="1:2" x14ac:dyDescent="0.25">
      <c r="A50">
        <v>39</v>
      </c>
      <c r="B50">
        <v>39.717795342875455</v>
      </c>
    </row>
    <row r="51" spans="1:2" x14ac:dyDescent="0.25">
      <c r="A51">
        <v>40</v>
      </c>
      <c r="B51">
        <v>31.01837214270455</v>
      </c>
    </row>
    <row r="52" spans="1:2" x14ac:dyDescent="0.25">
      <c r="A52">
        <v>41</v>
      </c>
      <c r="B52">
        <v>28.281136509292885</v>
      </c>
    </row>
    <row r="53" spans="1:2" x14ac:dyDescent="0.25">
      <c r="A53">
        <v>42</v>
      </c>
      <c r="B53">
        <v>36.402478102969454</v>
      </c>
    </row>
    <row r="54" spans="1:2" x14ac:dyDescent="0.25">
      <c r="A54">
        <v>43</v>
      </c>
      <c r="B54">
        <v>30.588976714377271</v>
      </c>
    </row>
    <row r="55" spans="1:2" x14ac:dyDescent="0.25">
      <c r="A55">
        <v>44</v>
      </c>
      <c r="B55">
        <v>32.031617175817132</v>
      </c>
    </row>
    <row r="56" spans="1:2" x14ac:dyDescent="0.25">
      <c r="A56">
        <v>45</v>
      </c>
      <c r="B56">
        <v>30.24161503952147</v>
      </c>
    </row>
    <row r="57" spans="1:2" x14ac:dyDescent="0.25">
      <c r="A57">
        <v>46</v>
      </c>
      <c r="B57">
        <v>27.8684041871395</v>
      </c>
    </row>
    <row r="58" spans="1:2" x14ac:dyDescent="0.25">
      <c r="A58">
        <v>47</v>
      </c>
      <c r="B58">
        <v>27.116000854518266</v>
      </c>
    </row>
    <row r="59" spans="1:2" x14ac:dyDescent="0.25">
      <c r="A59">
        <v>48</v>
      </c>
      <c r="B59">
        <v>30.787011322367015</v>
      </c>
    </row>
    <row r="60" spans="1:2" x14ac:dyDescent="0.25">
      <c r="A60">
        <v>49</v>
      </c>
      <c r="B60">
        <v>29.634693441572313</v>
      </c>
    </row>
    <row r="61" spans="1:2" x14ac:dyDescent="0.25">
      <c r="A61">
        <v>50</v>
      </c>
      <c r="B61">
        <v>34.712454603717156</v>
      </c>
    </row>
    <row r="62" spans="1:2" x14ac:dyDescent="0.25">
      <c r="A62">
        <v>51</v>
      </c>
      <c r="B62">
        <v>36.506302072206793</v>
      </c>
    </row>
    <row r="63" spans="1:2" x14ac:dyDescent="0.25">
      <c r="A63">
        <v>52</v>
      </c>
      <c r="B63">
        <v>29.868617816705832</v>
      </c>
    </row>
    <row r="64" spans="1:2" x14ac:dyDescent="0.25">
      <c r="A64">
        <v>53</v>
      </c>
      <c r="B64">
        <v>40.579790643024992</v>
      </c>
    </row>
    <row r="65" spans="1:2" x14ac:dyDescent="0.25">
      <c r="A65">
        <v>54</v>
      </c>
      <c r="B65">
        <v>22.466353343302714</v>
      </c>
    </row>
    <row r="66" spans="1:2" x14ac:dyDescent="0.25">
      <c r="A66">
        <v>55</v>
      </c>
      <c r="B66">
        <v>23.005981627857295</v>
      </c>
    </row>
    <row r="67" spans="1:2" x14ac:dyDescent="0.25">
      <c r="A67">
        <v>56</v>
      </c>
      <c r="B67">
        <v>39.505020294808801</v>
      </c>
    </row>
    <row r="68" spans="1:2" x14ac:dyDescent="0.25">
      <c r="A68">
        <v>57</v>
      </c>
      <c r="B68">
        <v>39.989532151249733</v>
      </c>
    </row>
    <row r="69" spans="1:2" x14ac:dyDescent="0.25">
      <c r="A69">
        <v>58</v>
      </c>
      <c r="B69">
        <v>27.092928861354412</v>
      </c>
    </row>
    <row r="70" spans="1:2" x14ac:dyDescent="0.25">
      <c r="A70">
        <v>59</v>
      </c>
      <c r="B70">
        <v>31.114505447553942</v>
      </c>
    </row>
    <row r="71" spans="1:2" x14ac:dyDescent="0.25">
      <c r="A71">
        <v>60</v>
      </c>
      <c r="B71">
        <v>25.550950651570176</v>
      </c>
    </row>
    <row r="72" spans="1:2" x14ac:dyDescent="0.25">
      <c r="A72">
        <v>61</v>
      </c>
      <c r="B72">
        <v>31.748344370860927</v>
      </c>
    </row>
    <row r="73" spans="1:2" x14ac:dyDescent="0.25">
      <c r="A73">
        <v>62</v>
      </c>
      <c r="B73">
        <v>28.092074343089084</v>
      </c>
    </row>
    <row r="74" spans="1:2" x14ac:dyDescent="0.25">
      <c r="A74">
        <v>63</v>
      </c>
      <c r="B74">
        <v>33.374279000213633</v>
      </c>
    </row>
    <row r="75" spans="1:2" x14ac:dyDescent="0.25">
      <c r="A75">
        <v>64</v>
      </c>
      <c r="B75">
        <v>32.735312967314677</v>
      </c>
    </row>
    <row r="76" spans="1:2" x14ac:dyDescent="0.25">
      <c r="A76">
        <v>65</v>
      </c>
      <c r="B76">
        <v>26.100192266609699</v>
      </c>
    </row>
    <row r="77" spans="1:2" x14ac:dyDescent="0.25">
      <c r="A77">
        <v>66</v>
      </c>
      <c r="B77">
        <v>33.954283272804958</v>
      </c>
    </row>
    <row r="78" spans="1:2" x14ac:dyDescent="0.25">
      <c r="A78">
        <v>67</v>
      </c>
      <c r="B78">
        <v>23.153386028626361</v>
      </c>
    </row>
    <row r="79" spans="1:2" x14ac:dyDescent="0.25">
      <c r="A79">
        <v>68</v>
      </c>
      <c r="B79">
        <v>34.940610980559711</v>
      </c>
    </row>
    <row r="80" spans="1:2" x14ac:dyDescent="0.25">
      <c r="A80">
        <v>69</v>
      </c>
      <c r="B80">
        <v>39.919675283059178</v>
      </c>
    </row>
    <row r="81" spans="1:2" x14ac:dyDescent="0.25">
      <c r="A81">
        <v>70</v>
      </c>
      <c r="B81">
        <v>41.973723563341167</v>
      </c>
    </row>
    <row r="82" spans="1:2" x14ac:dyDescent="0.25">
      <c r="A82">
        <v>71</v>
      </c>
      <c r="B82">
        <v>22.32023071993164</v>
      </c>
    </row>
    <row r="83" spans="1:2" x14ac:dyDescent="0.25">
      <c r="A83">
        <v>72</v>
      </c>
      <c r="B83">
        <v>40.81820123905149</v>
      </c>
    </row>
    <row r="84" spans="1:2" x14ac:dyDescent="0.25">
      <c r="A84">
        <v>73</v>
      </c>
      <c r="B84">
        <v>24.010895107882931</v>
      </c>
    </row>
    <row r="85" spans="1:2" x14ac:dyDescent="0.25">
      <c r="A85">
        <v>74</v>
      </c>
      <c r="B85">
        <v>27.967741935483872</v>
      </c>
    </row>
    <row r="86" spans="1:2" x14ac:dyDescent="0.25">
      <c r="A86">
        <v>75</v>
      </c>
      <c r="B86">
        <v>41.209143345439003</v>
      </c>
    </row>
    <row r="87" spans="1:2" x14ac:dyDescent="0.25">
      <c r="A87">
        <v>76</v>
      </c>
      <c r="B87">
        <v>27.491561632129887</v>
      </c>
    </row>
    <row r="88" spans="1:2" x14ac:dyDescent="0.25">
      <c r="A88">
        <v>77</v>
      </c>
      <c r="B88">
        <v>33.106387524033323</v>
      </c>
    </row>
    <row r="89" spans="1:2" x14ac:dyDescent="0.25">
      <c r="A89">
        <v>78</v>
      </c>
      <c r="B89">
        <v>26.928220465712457</v>
      </c>
    </row>
    <row r="90" spans="1:2" x14ac:dyDescent="0.25">
      <c r="A90">
        <v>79</v>
      </c>
      <c r="B90">
        <v>38.800683614612261</v>
      </c>
    </row>
    <row r="91" spans="1:2" x14ac:dyDescent="0.25">
      <c r="A91">
        <v>80</v>
      </c>
      <c r="B91">
        <v>41.659047212134155</v>
      </c>
    </row>
    <row r="92" spans="1:2" x14ac:dyDescent="0.25">
      <c r="A92">
        <v>81</v>
      </c>
      <c r="B92">
        <v>40.697714163640249</v>
      </c>
    </row>
    <row r="93" spans="1:2" x14ac:dyDescent="0.25">
      <c r="A93">
        <v>82</v>
      </c>
      <c r="B93">
        <v>40.131809442426828</v>
      </c>
    </row>
    <row r="94" spans="1:2" x14ac:dyDescent="0.25">
      <c r="A94">
        <v>83</v>
      </c>
      <c r="B94">
        <v>25.508651997436445</v>
      </c>
    </row>
    <row r="95" spans="1:2" x14ac:dyDescent="0.25">
      <c r="A95">
        <v>84</v>
      </c>
      <c r="B95">
        <v>40.84960478530229</v>
      </c>
    </row>
    <row r="96" spans="1:2" x14ac:dyDescent="0.25">
      <c r="A96">
        <v>85</v>
      </c>
      <c r="B96">
        <v>29.377056184575945</v>
      </c>
    </row>
    <row r="97" spans="1:2" x14ac:dyDescent="0.25">
      <c r="A97">
        <v>86</v>
      </c>
      <c r="B97">
        <v>39.74535355693228</v>
      </c>
    </row>
    <row r="98" spans="1:2" x14ac:dyDescent="0.25">
      <c r="A98">
        <v>87</v>
      </c>
      <c r="B98">
        <v>41.486007263405256</v>
      </c>
    </row>
    <row r="99" spans="1:2" x14ac:dyDescent="0.25">
      <c r="A99">
        <v>88</v>
      </c>
      <c r="B99">
        <v>24.136509292886135</v>
      </c>
    </row>
    <row r="100" spans="1:2" x14ac:dyDescent="0.25">
      <c r="A100">
        <v>89</v>
      </c>
      <c r="B100">
        <v>31.836787011322365</v>
      </c>
    </row>
    <row r="101" spans="1:2" x14ac:dyDescent="0.25">
      <c r="A101">
        <v>90</v>
      </c>
      <c r="B101">
        <v>37.461867122409743</v>
      </c>
    </row>
    <row r="102" spans="1:2" x14ac:dyDescent="0.25">
      <c r="A102">
        <v>91</v>
      </c>
      <c r="B102">
        <v>26.851313821832942</v>
      </c>
    </row>
    <row r="103" spans="1:2" x14ac:dyDescent="0.25">
      <c r="A103">
        <v>92</v>
      </c>
      <c r="B103">
        <v>25.073488570818203</v>
      </c>
    </row>
    <row r="104" spans="1:2" x14ac:dyDescent="0.25">
      <c r="A104">
        <v>93</v>
      </c>
      <c r="B104">
        <v>39.181371501815853</v>
      </c>
    </row>
    <row r="105" spans="1:2" x14ac:dyDescent="0.25">
      <c r="A105">
        <v>94</v>
      </c>
      <c r="B105">
        <v>26.184789574877165</v>
      </c>
    </row>
    <row r="106" spans="1:2" x14ac:dyDescent="0.25">
      <c r="A106">
        <v>95</v>
      </c>
      <c r="B106">
        <v>30.753044221320231</v>
      </c>
    </row>
    <row r="107" spans="1:2" x14ac:dyDescent="0.25">
      <c r="A107">
        <v>96</v>
      </c>
      <c r="B107">
        <v>33.141636402478099</v>
      </c>
    </row>
    <row r="108" spans="1:2" x14ac:dyDescent="0.25">
      <c r="A108">
        <v>97</v>
      </c>
      <c r="B108">
        <v>39.705618457594532</v>
      </c>
    </row>
    <row r="109" spans="1:2" x14ac:dyDescent="0.25">
      <c r="A109">
        <v>98</v>
      </c>
      <c r="B109">
        <v>34.30869472334971</v>
      </c>
    </row>
    <row r="110" spans="1:2" x14ac:dyDescent="0.25">
      <c r="A110">
        <v>99</v>
      </c>
      <c r="B110">
        <v>40.658619953001498</v>
      </c>
    </row>
    <row r="111" spans="1:2" x14ac:dyDescent="0.25">
      <c r="A111">
        <v>100</v>
      </c>
      <c r="B111">
        <v>25.485580004272592</v>
      </c>
    </row>
    <row r="112" spans="1:2" x14ac:dyDescent="0.25">
      <c r="A112">
        <v>101</v>
      </c>
      <c r="B112">
        <v>41.811578722495199</v>
      </c>
    </row>
    <row r="113" spans="1:2" x14ac:dyDescent="0.25">
      <c r="A113">
        <v>102</v>
      </c>
      <c r="B113">
        <v>38.610980559709461</v>
      </c>
    </row>
    <row r="114" spans="1:2" x14ac:dyDescent="0.25">
      <c r="A114">
        <v>103</v>
      </c>
      <c r="B114">
        <v>25.797692800683613</v>
      </c>
    </row>
    <row r="115" spans="1:2" x14ac:dyDescent="0.25">
      <c r="A115">
        <v>104</v>
      </c>
      <c r="B115">
        <v>28.229865413373211</v>
      </c>
    </row>
    <row r="116" spans="1:2" x14ac:dyDescent="0.25">
      <c r="A116">
        <v>105</v>
      </c>
      <c r="B116">
        <v>29.194402905362104</v>
      </c>
    </row>
    <row r="117" spans="1:2" x14ac:dyDescent="0.25">
      <c r="A117">
        <v>106</v>
      </c>
      <c r="B117">
        <v>38.300149540696431</v>
      </c>
    </row>
    <row r="118" spans="1:2" x14ac:dyDescent="0.25">
      <c r="A118">
        <v>107</v>
      </c>
      <c r="B118">
        <v>22.146549882503738</v>
      </c>
    </row>
    <row r="119" spans="1:2" x14ac:dyDescent="0.25">
      <c r="A119">
        <v>108</v>
      </c>
      <c r="B119">
        <v>32.139286477248447</v>
      </c>
    </row>
    <row r="120" spans="1:2" x14ac:dyDescent="0.25">
      <c r="A120">
        <v>109</v>
      </c>
      <c r="B120">
        <v>37.98162785729545</v>
      </c>
    </row>
    <row r="121" spans="1:2" x14ac:dyDescent="0.25">
      <c r="A121">
        <v>110</v>
      </c>
      <c r="B121">
        <v>36.242255928220466</v>
      </c>
    </row>
    <row r="122" spans="1:2" x14ac:dyDescent="0.25">
      <c r="A122">
        <v>111</v>
      </c>
      <c r="B122">
        <v>33.872249519333479</v>
      </c>
    </row>
    <row r="123" spans="1:2" x14ac:dyDescent="0.25">
      <c r="A123">
        <v>112</v>
      </c>
      <c r="B123">
        <v>38.91668446913053</v>
      </c>
    </row>
    <row r="124" spans="1:2" x14ac:dyDescent="0.25">
      <c r="A124">
        <v>113</v>
      </c>
      <c r="B124">
        <v>30.954924161503953</v>
      </c>
    </row>
    <row r="125" spans="1:2" x14ac:dyDescent="0.25">
      <c r="A125">
        <v>114</v>
      </c>
      <c r="B125">
        <v>40.904080324716944</v>
      </c>
    </row>
    <row r="126" spans="1:2" x14ac:dyDescent="0.25">
      <c r="A126">
        <v>115</v>
      </c>
      <c r="B126">
        <v>40.632343516342658</v>
      </c>
    </row>
    <row r="127" spans="1:2" x14ac:dyDescent="0.25">
      <c r="A127">
        <v>116</v>
      </c>
      <c r="B127">
        <v>41.921811578722497</v>
      </c>
    </row>
    <row r="128" spans="1:2" x14ac:dyDescent="0.25">
      <c r="A128">
        <v>117</v>
      </c>
      <c r="B128">
        <v>31.53621021149327</v>
      </c>
    </row>
    <row r="129" spans="1:2" x14ac:dyDescent="0.25">
      <c r="A129">
        <v>118</v>
      </c>
      <c r="B129">
        <v>24.033326212347788</v>
      </c>
    </row>
    <row r="130" spans="1:2" x14ac:dyDescent="0.25">
      <c r="A130">
        <v>119</v>
      </c>
      <c r="B130">
        <v>32.64879299295022</v>
      </c>
    </row>
    <row r="131" spans="1:2" x14ac:dyDescent="0.25">
      <c r="A131">
        <v>120</v>
      </c>
      <c r="B131">
        <v>28.578508865627004</v>
      </c>
    </row>
    <row r="132" spans="1:2" x14ac:dyDescent="0.25">
      <c r="A132">
        <v>121</v>
      </c>
      <c r="B132">
        <v>24.670369579149753</v>
      </c>
    </row>
    <row r="133" spans="1:2" x14ac:dyDescent="0.25">
      <c r="A133">
        <v>122</v>
      </c>
      <c r="B133">
        <v>31.624011963255718</v>
      </c>
    </row>
  </sheetData>
  <mergeCells count="7">
    <mergeCell ref="O45:R45"/>
    <mergeCell ref="O46:R46"/>
    <mergeCell ref="O47:R47"/>
    <mergeCell ref="O48:R48"/>
    <mergeCell ref="F27:L27"/>
    <mergeCell ref="P43:T43"/>
    <mergeCell ref="O44:R4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B9D7-43B0-41F4-AAC5-D8BB13D50F37}">
  <dimension ref="A1:T130"/>
  <sheetViews>
    <sheetView workbookViewId="0">
      <selection activeCell="I29" sqref="I29"/>
    </sheetView>
  </sheetViews>
  <sheetFormatPr defaultRowHeight="15" x14ac:dyDescent="0.25"/>
  <cols>
    <col min="2" max="2" width="11" customWidth="1"/>
    <col min="3" max="3" width="8.7109375" customWidth="1"/>
  </cols>
  <sheetData>
    <row r="1" spans="1:7" x14ac:dyDescent="0.25">
      <c r="A1" t="s">
        <v>36</v>
      </c>
    </row>
    <row r="4" spans="1:7" x14ac:dyDescent="0.25">
      <c r="A4" s="3">
        <v>1</v>
      </c>
      <c r="B4" s="9" t="s">
        <v>0</v>
      </c>
      <c r="C4" s="9"/>
    </row>
    <row r="5" spans="1:7" x14ac:dyDescent="0.25">
      <c r="A5" t="s">
        <v>29</v>
      </c>
      <c r="C5" s="6">
        <v>22</v>
      </c>
      <c r="F5" s="1">
        <v>3</v>
      </c>
      <c r="G5" s="18"/>
    </row>
    <row r="6" spans="1:7" x14ac:dyDescent="0.25">
      <c r="A6" t="s">
        <v>28</v>
      </c>
      <c r="C6" s="6">
        <f>C5*0.01</f>
        <v>0.22</v>
      </c>
      <c r="F6" t="s">
        <v>21</v>
      </c>
      <c r="G6">
        <f>MIN(B12:B130)</f>
        <v>21.510638735955581</v>
      </c>
    </row>
    <row r="7" spans="1:7" x14ac:dyDescent="0.25">
      <c r="A7" t="s">
        <v>20</v>
      </c>
      <c r="C7" s="20">
        <v>118.57051301614429</v>
      </c>
      <c r="F7" t="s">
        <v>22</v>
      </c>
      <c r="G7">
        <f>MAX(B12:B130)</f>
        <v>22.668392749503255</v>
      </c>
    </row>
    <row r="8" spans="1:7" x14ac:dyDescent="0.25">
      <c r="F8" t="s">
        <v>23</v>
      </c>
      <c r="G8">
        <v>7.9000000000000001E-2</v>
      </c>
    </row>
    <row r="9" spans="1:7" x14ac:dyDescent="0.25">
      <c r="F9" t="s">
        <v>24</v>
      </c>
      <c r="G9">
        <v>12</v>
      </c>
    </row>
    <row r="10" spans="1:7" x14ac:dyDescent="0.25">
      <c r="A10" s="1">
        <v>2</v>
      </c>
      <c r="B10" s="16" t="s">
        <v>1</v>
      </c>
    </row>
    <row r="11" spans="1:7" x14ac:dyDescent="0.25">
      <c r="A11" s="15" t="s">
        <v>2</v>
      </c>
      <c r="B11" s="15" t="s">
        <v>3</v>
      </c>
    </row>
    <row r="12" spans="1:7" x14ac:dyDescent="0.25">
      <c r="A12">
        <v>1</v>
      </c>
      <c r="B12">
        <v>22.114868248601852</v>
      </c>
    </row>
    <row r="13" spans="1:7" x14ac:dyDescent="0.25">
      <c r="A13">
        <v>2</v>
      </c>
      <c r="B13">
        <v>21.757463820060366</v>
      </c>
    </row>
    <row r="14" spans="1:7" x14ac:dyDescent="0.25">
      <c r="A14">
        <v>3</v>
      </c>
      <c r="B14">
        <v>21.912331827545131</v>
      </c>
    </row>
    <row r="15" spans="1:7" x14ac:dyDescent="0.25">
      <c r="A15">
        <v>4</v>
      </c>
      <c r="B15">
        <v>21.787485148772248</v>
      </c>
    </row>
    <row r="16" spans="1:7" x14ac:dyDescent="0.25">
      <c r="A16">
        <v>5</v>
      </c>
      <c r="B16">
        <v>22.209555537367123</v>
      </c>
    </row>
    <row r="17" spans="1:17" x14ac:dyDescent="0.25">
      <c r="A17">
        <v>6</v>
      </c>
      <c r="B17">
        <v>22.003004333848367</v>
      </c>
    </row>
    <row r="18" spans="1:17" x14ac:dyDescent="0.25">
      <c r="A18">
        <v>7</v>
      </c>
      <c r="B18">
        <v>22.220936090045143</v>
      </c>
    </row>
    <row r="19" spans="1:17" x14ac:dyDescent="0.25">
      <c r="A19">
        <v>8</v>
      </c>
      <c r="B19">
        <v>21.792658945807489</v>
      </c>
    </row>
    <row r="20" spans="1:17" x14ac:dyDescent="0.25">
      <c r="A20">
        <v>9</v>
      </c>
      <c r="B20">
        <v>21.916344108896737</v>
      </c>
    </row>
    <row r="21" spans="1:17" x14ac:dyDescent="0.25">
      <c r="A21">
        <v>10</v>
      </c>
      <c r="B21">
        <v>21.828942054591607</v>
      </c>
    </row>
    <row r="22" spans="1:17" x14ac:dyDescent="0.25">
      <c r="A22">
        <v>11</v>
      </c>
      <c r="B22">
        <v>21.783478369863587</v>
      </c>
    </row>
    <row r="23" spans="1:17" x14ac:dyDescent="0.25">
      <c r="A23">
        <v>12</v>
      </c>
      <c r="B23">
        <v>22.34009199225693</v>
      </c>
    </row>
    <row r="24" spans="1:17" x14ac:dyDescent="0.25">
      <c r="A24">
        <v>13</v>
      </c>
      <c r="B24">
        <v>22.035725861380342</v>
      </c>
      <c r="Q24" s="10"/>
    </row>
    <row r="25" spans="1:17" x14ac:dyDescent="0.25">
      <c r="A25">
        <v>14</v>
      </c>
      <c r="B25">
        <v>22.45698689064011</v>
      </c>
      <c r="Q25" s="10"/>
    </row>
    <row r="26" spans="1:17" x14ac:dyDescent="0.25">
      <c r="A26">
        <v>15</v>
      </c>
      <c r="B26">
        <v>22.256661451203399</v>
      </c>
    </row>
    <row r="27" spans="1:17" ht="15.75" thickBot="1" x14ac:dyDescent="0.3">
      <c r="A27">
        <v>16</v>
      </c>
      <c r="B27">
        <v>21.785706859256607</v>
      </c>
      <c r="E27" s="3">
        <v>4</v>
      </c>
      <c r="F27" s="40" t="s">
        <v>4</v>
      </c>
      <c r="G27" s="40"/>
      <c r="H27" s="40"/>
      <c r="I27" s="40"/>
      <c r="J27" s="40"/>
      <c r="K27" s="40"/>
      <c r="L27" s="40"/>
    </row>
    <row r="28" spans="1:17" x14ac:dyDescent="0.25">
      <c r="A28">
        <v>17</v>
      </c>
      <c r="B28">
        <v>22.062275398704514</v>
      </c>
      <c r="D28" t="s">
        <v>25</v>
      </c>
      <c r="E28" t="s">
        <v>5</v>
      </c>
      <c r="F28" s="14" t="s">
        <v>6</v>
      </c>
      <c r="G28" s="14" t="s">
        <v>7</v>
      </c>
      <c r="H28" t="s">
        <v>9</v>
      </c>
      <c r="I28" t="s">
        <v>32</v>
      </c>
      <c r="J28" t="s">
        <v>11</v>
      </c>
      <c r="K28" t="s">
        <v>27</v>
      </c>
    </row>
    <row r="29" spans="1:17" x14ac:dyDescent="0.25">
      <c r="A29">
        <v>18</v>
      </c>
      <c r="B29">
        <v>21.749357721157139</v>
      </c>
      <c r="D29">
        <v>1</v>
      </c>
      <c r="E29">
        <f>G6</f>
        <v>21.510638735955581</v>
      </c>
      <c r="F29" s="11">
        <v>21.510638735955581</v>
      </c>
      <c r="G29" s="12">
        <v>1</v>
      </c>
      <c r="H29">
        <f t="shared" ref="H29:H40" si="0">G29/$G$42</f>
        <v>8.4033613445378148E-3</v>
      </c>
      <c r="I29">
        <f>_xlfn.NORM.DIST(F29,$C$5,$C$6,FALSE)</f>
        <v>0.15278548894312932</v>
      </c>
      <c r="J29">
        <f>H29</f>
        <v>8.4033613445378148E-3</v>
      </c>
      <c r="K29">
        <f>I29/$I$42</f>
        <v>1.2514855952375134E-2</v>
      </c>
    </row>
    <row r="30" spans="1:17" x14ac:dyDescent="0.25">
      <c r="A30">
        <v>19</v>
      </c>
      <c r="B30">
        <v>21.806696177984122</v>
      </c>
      <c r="D30">
        <v>2</v>
      </c>
      <c r="E30">
        <f>E29+$G$8</f>
        <v>21.589638735955582</v>
      </c>
      <c r="F30" s="11">
        <v>21.589638735955582</v>
      </c>
      <c r="G30" s="12">
        <v>1</v>
      </c>
      <c r="H30">
        <f t="shared" si="0"/>
        <v>8.4033613445378148E-3</v>
      </c>
      <c r="I30">
        <f t="shared" ref="I30:I40" si="1">_xlfn.NORM.DIST(F30,$C$5,$C$6,FALSE)</f>
        <v>0.31840131615704459</v>
      </c>
      <c r="J30">
        <f>J29+H30</f>
        <v>1.680672268907563E-2</v>
      </c>
      <c r="K30">
        <f t="shared" ref="K29:K40" si="2">I30/$I$42</f>
        <v>2.6080661418279659E-2</v>
      </c>
    </row>
    <row r="31" spans="1:17" x14ac:dyDescent="0.25">
      <c r="A31">
        <v>20</v>
      </c>
      <c r="B31">
        <v>21.7683231413248</v>
      </c>
      <c r="D31">
        <v>3</v>
      </c>
      <c r="E31">
        <f t="shared" ref="E31:E40" si="3">E30+$G$8</f>
        <v>21.668638735955582</v>
      </c>
      <c r="F31" s="11">
        <v>21.668638735955582</v>
      </c>
      <c r="G31" s="12">
        <v>2</v>
      </c>
      <c r="H31">
        <f t="shared" si="0"/>
        <v>1.680672268907563E-2</v>
      </c>
      <c r="I31">
        <f t="shared" si="1"/>
        <v>0.58326637717554863</v>
      </c>
      <c r="J31">
        <f t="shared" ref="J31:J40" si="4">J30+H31</f>
        <v>3.3613445378151259E-2</v>
      </c>
      <c r="K31">
        <f t="shared" si="2"/>
        <v>4.7776099305692266E-2</v>
      </c>
    </row>
    <row r="32" spans="1:17" x14ac:dyDescent="0.25">
      <c r="A32">
        <v>21</v>
      </c>
      <c r="B32">
        <v>21.957331556288409</v>
      </c>
      <c r="D32">
        <v>4</v>
      </c>
      <c r="E32">
        <f t="shared" si="3"/>
        <v>21.747638735955583</v>
      </c>
      <c r="F32" s="11">
        <v>21.747638735955583</v>
      </c>
      <c r="G32" s="12">
        <v>3</v>
      </c>
      <c r="H32">
        <f t="shared" si="0"/>
        <v>2.5210084033613446E-2</v>
      </c>
      <c r="I32">
        <f t="shared" si="1"/>
        <v>0.93920062143797134</v>
      </c>
      <c r="J32">
        <f t="shared" si="4"/>
        <v>5.8823529411764705E-2</v>
      </c>
      <c r="K32">
        <f t="shared" si="2"/>
        <v>7.6931131149847259E-2</v>
      </c>
    </row>
    <row r="33" spans="1:20" x14ac:dyDescent="0.25">
      <c r="A33">
        <v>22</v>
      </c>
      <c r="B33">
        <v>22.310811992676463</v>
      </c>
      <c r="D33">
        <v>5</v>
      </c>
      <c r="E33">
        <f t="shared" si="3"/>
        <v>21.826638735955584</v>
      </c>
      <c r="F33" s="11">
        <v>21.826638735955584</v>
      </c>
      <c r="G33" s="12">
        <v>15</v>
      </c>
      <c r="H33">
        <f t="shared" si="0"/>
        <v>0.12605042016806722</v>
      </c>
      <c r="I33">
        <f t="shared" si="1"/>
        <v>1.3293800049187994</v>
      </c>
      <c r="J33">
        <f t="shared" si="4"/>
        <v>0.18487394957983194</v>
      </c>
      <c r="K33">
        <f t="shared" si="2"/>
        <v>0.10889122640252333</v>
      </c>
    </row>
    <row r="34" spans="1:20" x14ac:dyDescent="0.25">
      <c r="A34">
        <v>23</v>
      </c>
      <c r="B34">
        <v>22.078450329965563</v>
      </c>
      <c r="D34">
        <v>6</v>
      </c>
      <c r="E34">
        <f t="shared" si="3"/>
        <v>21.905638735955584</v>
      </c>
      <c r="F34" s="11">
        <v>21.905638735955584</v>
      </c>
      <c r="G34" s="12">
        <v>12</v>
      </c>
      <c r="H34">
        <f t="shared" si="0"/>
        <v>0.10084033613445378</v>
      </c>
      <c r="I34">
        <f t="shared" si="1"/>
        <v>1.6540142812113652</v>
      </c>
      <c r="J34">
        <f t="shared" si="4"/>
        <v>0.2857142857142857</v>
      </c>
      <c r="K34">
        <f t="shared" si="2"/>
        <v>0.13548243760398285</v>
      </c>
    </row>
    <row r="35" spans="1:20" x14ac:dyDescent="0.25">
      <c r="A35">
        <v>24</v>
      </c>
      <c r="B35">
        <v>22.149758488987572</v>
      </c>
      <c r="D35">
        <v>7</v>
      </c>
      <c r="E35">
        <f t="shared" si="3"/>
        <v>21.984638735955585</v>
      </c>
      <c r="F35" s="11">
        <v>21.984638735955585</v>
      </c>
      <c r="G35" s="12">
        <v>20</v>
      </c>
      <c r="H35">
        <f t="shared" si="0"/>
        <v>0.16806722689075632</v>
      </c>
      <c r="I35">
        <f t="shared" si="1"/>
        <v>1.8089589408475799</v>
      </c>
      <c r="J35">
        <f t="shared" si="4"/>
        <v>0.45378151260504201</v>
      </c>
      <c r="K35">
        <f t="shared" si="2"/>
        <v>0.14817415400552414</v>
      </c>
    </row>
    <row r="36" spans="1:20" x14ac:dyDescent="0.25">
      <c r="A36">
        <v>25</v>
      </c>
      <c r="B36">
        <v>21.944770979709574</v>
      </c>
      <c r="D36">
        <v>8</v>
      </c>
      <c r="E36">
        <f t="shared" si="3"/>
        <v>22.063638735955585</v>
      </c>
      <c r="F36" s="11">
        <v>22.063638735955585</v>
      </c>
      <c r="G36" s="12">
        <v>16</v>
      </c>
      <c r="H36">
        <f t="shared" si="0"/>
        <v>0.13445378151260504</v>
      </c>
      <c r="I36">
        <f t="shared" si="1"/>
        <v>1.7390717712739738</v>
      </c>
      <c r="J36">
        <f t="shared" si="4"/>
        <v>0.58823529411764708</v>
      </c>
      <c r="K36">
        <f t="shared" si="2"/>
        <v>0.1424496060384168</v>
      </c>
    </row>
    <row r="37" spans="1:20" x14ac:dyDescent="0.25">
      <c r="A37">
        <v>26</v>
      </c>
      <c r="B37">
        <v>22.071671820478514</v>
      </c>
      <c r="D37">
        <v>9</v>
      </c>
      <c r="E37">
        <f t="shared" si="3"/>
        <v>22.142638735955586</v>
      </c>
      <c r="F37" s="11">
        <v>22.142638735955586</v>
      </c>
      <c r="G37" s="12">
        <v>20</v>
      </c>
      <c r="H37">
        <f t="shared" si="0"/>
        <v>0.16806722689075632</v>
      </c>
      <c r="I37">
        <f t="shared" si="1"/>
        <v>1.4696219960869008</v>
      </c>
      <c r="J37">
        <f t="shared" si="4"/>
        <v>0.75630252100840334</v>
      </c>
      <c r="K37">
        <f t="shared" si="2"/>
        <v>0.12037862831538661</v>
      </c>
    </row>
    <row r="38" spans="1:20" x14ac:dyDescent="0.25">
      <c r="A38">
        <v>27</v>
      </c>
      <c r="B38">
        <v>22.013059047887509</v>
      </c>
      <c r="D38">
        <v>10</v>
      </c>
      <c r="E38">
        <f t="shared" si="3"/>
        <v>22.221638735955587</v>
      </c>
      <c r="F38" s="11">
        <v>22.221638735955587</v>
      </c>
      <c r="G38" s="12">
        <v>14</v>
      </c>
      <c r="H38">
        <f t="shared" si="0"/>
        <v>0.11764705882352941</v>
      </c>
      <c r="I38">
        <f t="shared" si="1"/>
        <v>1.0916743923083736</v>
      </c>
      <c r="J38" s="7">
        <f t="shared" si="4"/>
        <v>0.87394957983193278</v>
      </c>
      <c r="K38">
        <f t="shared" si="2"/>
        <v>8.9420453873871208E-2</v>
      </c>
    </row>
    <row r="39" spans="1:20" x14ac:dyDescent="0.25">
      <c r="A39">
        <v>28</v>
      </c>
      <c r="B39">
        <v>21.894102984399069</v>
      </c>
      <c r="D39">
        <v>11</v>
      </c>
      <c r="E39">
        <f t="shared" si="3"/>
        <v>22.300638735955587</v>
      </c>
      <c r="F39" s="11">
        <v>22.300638735955587</v>
      </c>
      <c r="G39" s="12">
        <v>6</v>
      </c>
      <c r="H39">
        <f t="shared" si="0"/>
        <v>5.0420168067226892E-2</v>
      </c>
      <c r="I39">
        <f t="shared" si="1"/>
        <v>0.71282011141207491</v>
      </c>
      <c r="J39">
        <f t="shared" si="4"/>
        <v>0.92436974789915971</v>
      </c>
      <c r="K39">
        <f t="shared" si="2"/>
        <v>5.8388012343231606E-2</v>
      </c>
    </row>
    <row r="40" spans="1:20" x14ac:dyDescent="0.25">
      <c r="A40">
        <v>29</v>
      </c>
      <c r="B40">
        <v>21.931161937638535</v>
      </c>
      <c r="D40">
        <v>12</v>
      </c>
      <c r="E40">
        <f t="shared" si="3"/>
        <v>22.379638735955588</v>
      </c>
      <c r="F40" s="11">
        <v>22.379638735955599</v>
      </c>
      <c r="G40" s="12">
        <v>4</v>
      </c>
      <c r="H40">
        <f t="shared" si="0"/>
        <v>3.3613445378151259E-2</v>
      </c>
      <c r="I40">
        <f t="shared" si="1"/>
        <v>0.40913450438317095</v>
      </c>
      <c r="J40">
        <f t="shared" si="4"/>
        <v>0.95798319327731096</v>
      </c>
      <c r="K40">
        <f t="shared" si="2"/>
        <v>3.3512733590869148E-2</v>
      </c>
    </row>
    <row r="41" spans="1:20" ht="15.75" thickBot="1" x14ac:dyDescent="0.3">
      <c r="A41">
        <v>30</v>
      </c>
      <c r="B41">
        <v>22.1540303856018</v>
      </c>
      <c r="F41" s="13" t="s">
        <v>8</v>
      </c>
      <c r="G41" s="13">
        <v>5</v>
      </c>
    </row>
    <row r="42" spans="1:20" x14ac:dyDescent="0.25">
      <c r="A42">
        <v>31</v>
      </c>
      <c r="B42">
        <v>22.173551052284893</v>
      </c>
      <c r="F42" t="s">
        <v>26</v>
      </c>
      <c r="G42">
        <f>SUM(G29:G41)</f>
        <v>119</v>
      </c>
      <c r="H42">
        <f>SUM(H29:H41)</f>
        <v>0.95798319327731096</v>
      </c>
      <c r="I42">
        <f>SUM(I29:I41)</f>
        <v>12.208329806155932</v>
      </c>
      <c r="J42">
        <f>SUM(J29:J41)</f>
        <v>5.1428571428571432</v>
      </c>
      <c r="K42">
        <f>SUM(K29:K41)</f>
        <v>1</v>
      </c>
    </row>
    <row r="43" spans="1:20" x14ac:dyDescent="0.25">
      <c r="A43">
        <v>32</v>
      </c>
      <c r="B43">
        <v>21.696980466978857</v>
      </c>
      <c r="F43" s="11"/>
      <c r="G43" s="12"/>
      <c r="O43" s="3">
        <v>4</v>
      </c>
      <c r="P43" s="40" t="s">
        <v>12</v>
      </c>
      <c r="Q43" s="40"/>
      <c r="R43" s="40"/>
      <c r="S43" s="40"/>
      <c r="T43" s="40"/>
    </row>
    <row r="44" spans="1:20" x14ac:dyDescent="0.25">
      <c r="A44">
        <v>33</v>
      </c>
      <c r="B44">
        <v>22.260964861809043</v>
      </c>
      <c r="O44" s="39" t="s">
        <v>13</v>
      </c>
      <c r="P44" s="39"/>
      <c r="Q44" s="39"/>
      <c r="R44" s="39"/>
      <c r="S44">
        <f>AVERAGE(B12:B130)</f>
        <v>22.01321148741555</v>
      </c>
    </row>
    <row r="45" spans="1:20" x14ac:dyDescent="0.25">
      <c r="A45">
        <v>34</v>
      </c>
      <c r="B45">
        <v>21.940784209684352</v>
      </c>
      <c r="O45" s="39" t="s">
        <v>14</v>
      </c>
      <c r="P45" s="39"/>
      <c r="Q45" s="39"/>
      <c r="R45" s="39"/>
      <c r="S45">
        <f>_xlfn.STDEV.S(B12:B130)</f>
        <v>0.20212218721371478</v>
      </c>
    </row>
    <row r="46" spans="1:20" x14ac:dyDescent="0.25">
      <c r="A46">
        <v>35</v>
      </c>
      <c r="B46">
        <v>22.091233005150571</v>
      </c>
      <c r="O46" s="39" t="s">
        <v>15</v>
      </c>
      <c r="P46" s="39"/>
      <c r="Q46" s="39"/>
      <c r="R46" s="39"/>
      <c r="S46">
        <f>_xlfn.VAR.S(B12:B130)</f>
        <v>4.0853378564055964E-2</v>
      </c>
    </row>
    <row r="47" spans="1:20" x14ac:dyDescent="0.25">
      <c r="A47">
        <v>36</v>
      </c>
      <c r="B47">
        <v>21.942597014523926</v>
      </c>
      <c r="O47" s="39" t="s">
        <v>16</v>
      </c>
      <c r="P47" s="39"/>
      <c r="Q47" s="39"/>
      <c r="R47" s="39"/>
      <c r="S47">
        <f>SKEW(B12:B130)</f>
        <v>0.29708228855157764</v>
      </c>
    </row>
    <row r="48" spans="1:20" x14ac:dyDescent="0.25">
      <c r="A48">
        <v>37</v>
      </c>
      <c r="B48">
        <v>21.850665449230291</v>
      </c>
      <c r="O48" s="39" t="s">
        <v>17</v>
      </c>
      <c r="P48" s="39"/>
      <c r="Q48" s="39"/>
      <c r="R48" s="39"/>
      <c r="S48">
        <f>KURT(B12:B130)</f>
        <v>0.68261960186976989</v>
      </c>
    </row>
    <row r="49" spans="1:2" x14ac:dyDescent="0.25">
      <c r="A49">
        <v>38</v>
      </c>
      <c r="B49">
        <v>22.668392749503255</v>
      </c>
    </row>
    <row r="50" spans="1:2" x14ac:dyDescent="0.25">
      <c r="A50">
        <v>39</v>
      </c>
      <c r="B50">
        <v>22.254710585068096</v>
      </c>
    </row>
    <row r="51" spans="1:2" x14ac:dyDescent="0.25">
      <c r="A51">
        <v>40</v>
      </c>
      <c r="B51">
        <v>21.83839400101715</v>
      </c>
    </row>
    <row r="52" spans="1:2" x14ac:dyDescent="0.25">
      <c r="A52">
        <v>41</v>
      </c>
      <c r="B52">
        <v>22.047343019105028</v>
      </c>
    </row>
    <row r="53" spans="1:2" x14ac:dyDescent="0.25">
      <c r="A53">
        <v>42</v>
      </c>
      <c r="B53">
        <v>22.068255053520261</v>
      </c>
    </row>
    <row r="54" spans="1:2" x14ac:dyDescent="0.25">
      <c r="A54">
        <v>43</v>
      </c>
      <c r="B54">
        <v>22.089639547695697</v>
      </c>
    </row>
    <row r="55" spans="1:2" x14ac:dyDescent="0.25">
      <c r="A55">
        <v>44</v>
      </c>
      <c r="B55">
        <v>21.876832316658692</v>
      </c>
    </row>
    <row r="56" spans="1:2" x14ac:dyDescent="0.25">
      <c r="A56">
        <v>45</v>
      </c>
      <c r="B56">
        <v>21.772931187180802</v>
      </c>
    </row>
    <row r="57" spans="1:2" x14ac:dyDescent="0.25">
      <c r="A57">
        <v>46</v>
      </c>
      <c r="B57">
        <v>22.282274322671583</v>
      </c>
    </row>
    <row r="58" spans="1:2" x14ac:dyDescent="0.25">
      <c r="A58">
        <v>47</v>
      </c>
      <c r="B58">
        <v>21.915402440819889</v>
      </c>
    </row>
    <row r="59" spans="1:2" x14ac:dyDescent="0.25">
      <c r="A59">
        <v>48</v>
      </c>
      <c r="B59">
        <v>21.86105381140078</v>
      </c>
    </row>
    <row r="60" spans="1:2" x14ac:dyDescent="0.25">
      <c r="A60">
        <v>49</v>
      </c>
      <c r="B60">
        <v>21.782355371280573</v>
      </c>
    </row>
    <row r="61" spans="1:2" x14ac:dyDescent="0.25">
      <c r="A61">
        <v>50</v>
      </c>
      <c r="B61">
        <v>22.160484000844008</v>
      </c>
    </row>
    <row r="62" spans="1:2" x14ac:dyDescent="0.25">
      <c r="A62">
        <v>51</v>
      </c>
      <c r="B62">
        <v>22.306090396406944</v>
      </c>
    </row>
    <row r="63" spans="1:2" x14ac:dyDescent="0.25">
      <c r="A63">
        <v>52</v>
      </c>
      <c r="B63">
        <v>21.984529131324962</v>
      </c>
    </row>
    <row r="64" spans="1:2" x14ac:dyDescent="0.25">
      <c r="A64">
        <v>53</v>
      </c>
      <c r="B64">
        <v>22.030925230021239</v>
      </c>
    </row>
    <row r="65" spans="1:2" x14ac:dyDescent="0.25">
      <c r="A65">
        <v>54</v>
      </c>
      <c r="B65">
        <v>21.865402742216247</v>
      </c>
    </row>
    <row r="66" spans="1:2" x14ac:dyDescent="0.25">
      <c r="A66">
        <v>55</v>
      </c>
      <c r="B66">
        <v>21.735429037173162</v>
      </c>
    </row>
    <row r="67" spans="1:2" x14ac:dyDescent="0.25">
      <c r="A67">
        <v>56</v>
      </c>
      <c r="B67">
        <v>21.978212076712225</v>
      </c>
    </row>
    <row r="68" spans="1:2" x14ac:dyDescent="0.25">
      <c r="A68">
        <v>57</v>
      </c>
      <c r="B68">
        <v>22.157164276970434</v>
      </c>
    </row>
    <row r="69" spans="1:2" x14ac:dyDescent="0.25">
      <c r="A69">
        <v>58</v>
      </c>
      <c r="B69">
        <v>21.949309994917712</v>
      </c>
    </row>
    <row r="70" spans="1:2" x14ac:dyDescent="0.25">
      <c r="A70">
        <v>59</v>
      </c>
      <c r="B70">
        <v>22.054482688938151</v>
      </c>
    </row>
    <row r="71" spans="1:2" x14ac:dyDescent="0.25">
      <c r="A71">
        <v>60</v>
      </c>
      <c r="B71">
        <v>22.179612993633782</v>
      </c>
    </row>
    <row r="72" spans="1:2" x14ac:dyDescent="0.25">
      <c r="A72">
        <v>61</v>
      </c>
      <c r="B72">
        <v>22.473850377602503</v>
      </c>
    </row>
    <row r="73" spans="1:2" x14ac:dyDescent="0.25">
      <c r="A73">
        <v>62</v>
      </c>
      <c r="B73">
        <v>21.940609632176347</v>
      </c>
    </row>
    <row r="74" spans="1:2" x14ac:dyDescent="0.25">
      <c r="A74">
        <v>63</v>
      </c>
      <c r="B74">
        <v>22.1645520569582</v>
      </c>
    </row>
    <row r="75" spans="1:2" x14ac:dyDescent="0.25">
      <c r="A75">
        <v>64</v>
      </c>
      <c r="B75">
        <v>22.079060600910452</v>
      </c>
    </row>
    <row r="76" spans="1:2" x14ac:dyDescent="0.25">
      <c r="A76">
        <v>65</v>
      </c>
      <c r="B76">
        <v>21.628104887960944</v>
      </c>
    </row>
    <row r="77" spans="1:2" x14ac:dyDescent="0.25">
      <c r="A77">
        <v>66</v>
      </c>
      <c r="B77">
        <v>21.842770694158389</v>
      </c>
    </row>
    <row r="78" spans="1:2" x14ac:dyDescent="0.25">
      <c r="A78">
        <v>67</v>
      </c>
      <c r="B78">
        <v>22.08248111953435</v>
      </c>
    </row>
    <row r="79" spans="1:2" x14ac:dyDescent="0.25">
      <c r="A79">
        <v>68</v>
      </c>
      <c r="B79">
        <v>21.913314763944072</v>
      </c>
    </row>
    <row r="80" spans="1:2" x14ac:dyDescent="0.25">
      <c r="A80">
        <v>69</v>
      </c>
      <c r="B80">
        <v>21.899083945820166</v>
      </c>
    </row>
    <row r="81" spans="1:2" x14ac:dyDescent="0.25">
      <c r="A81">
        <v>70</v>
      </c>
      <c r="B81">
        <v>21.693954123358708</v>
      </c>
    </row>
    <row r="82" spans="1:2" x14ac:dyDescent="0.25">
      <c r="A82">
        <v>71</v>
      </c>
      <c r="B82">
        <v>21.983837324180058</v>
      </c>
    </row>
    <row r="83" spans="1:2" x14ac:dyDescent="0.25">
      <c r="A83">
        <v>72</v>
      </c>
      <c r="B83">
        <v>22.066808411247621</v>
      </c>
    </row>
    <row r="84" spans="1:2" x14ac:dyDescent="0.25">
      <c r="A84">
        <v>73</v>
      </c>
      <c r="B84">
        <v>22.185358294402249</v>
      </c>
    </row>
    <row r="85" spans="1:2" x14ac:dyDescent="0.25">
      <c r="A85">
        <v>74</v>
      </c>
      <c r="B85">
        <v>21.788181457915925</v>
      </c>
    </row>
    <row r="86" spans="1:2" x14ac:dyDescent="0.25">
      <c r="A86">
        <v>75</v>
      </c>
      <c r="B86">
        <v>21.97910822457925</v>
      </c>
    </row>
    <row r="87" spans="1:2" x14ac:dyDescent="0.25">
      <c r="A87">
        <v>76</v>
      </c>
      <c r="B87">
        <v>22.001438888830307</v>
      </c>
    </row>
    <row r="88" spans="1:2" x14ac:dyDescent="0.25">
      <c r="A88">
        <v>77</v>
      </c>
      <c r="B88">
        <v>22.160154604600393</v>
      </c>
    </row>
    <row r="89" spans="1:2" x14ac:dyDescent="0.25">
      <c r="A89">
        <v>78</v>
      </c>
      <c r="B89">
        <v>22.229084707825677</v>
      </c>
    </row>
    <row r="90" spans="1:2" x14ac:dyDescent="0.25">
      <c r="A90">
        <v>79</v>
      </c>
      <c r="B90">
        <v>21.926800501270918</v>
      </c>
    </row>
    <row r="91" spans="1:2" x14ac:dyDescent="0.25">
      <c r="A91">
        <v>80</v>
      </c>
      <c r="B91">
        <v>22.179495691554621</v>
      </c>
    </row>
    <row r="92" spans="1:2" x14ac:dyDescent="0.25">
      <c r="A92">
        <v>81</v>
      </c>
      <c r="B92">
        <v>21.818051719557843</v>
      </c>
    </row>
    <row r="93" spans="1:2" x14ac:dyDescent="0.25">
      <c r="A93">
        <v>82</v>
      </c>
      <c r="B93">
        <v>22.043457544052217</v>
      </c>
    </row>
    <row r="94" spans="1:2" x14ac:dyDescent="0.25">
      <c r="A94">
        <v>83</v>
      </c>
      <c r="B94">
        <v>21.799460965732578</v>
      </c>
    </row>
    <row r="95" spans="1:2" x14ac:dyDescent="0.25">
      <c r="A95">
        <v>84</v>
      </c>
      <c r="B95">
        <v>21.630056754540419</v>
      </c>
    </row>
    <row r="96" spans="1:2" x14ac:dyDescent="0.25">
      <c r="A96">
        <v>85</v>
      </c>
      <c r="B96">
        <v>21.934195284367888</v>
      </c>
    </row>
    <row r="97" spans="1:2" x14ac:dyDescent="0.25">
      <c r="A97">
        <v>86</v>
      </c>
      <c r="B97">
        <v>21.830055548954988</v>
      </c>
    </row>
    <row r="98" spans="1:2" x14ac:dyDescent="0.25">
      <c r="A98">
        <v>87</v>
      </c>
      <c r="B98">
        <v>22.144100476973108</v>
      </c>
    </row>
    <row r="99" spans="1:2" x14ac:dyDescent="0.25">
      <c r="A99">
        <v>88</v>
      </c>
      <c r="B99">
        <v>22.220769015868427</v>
      </c>
    </row>
    <row r="100" spans="1:2" x14ac:dyDescent="0.25">
      <c r="A100">
        <v>89</v>
      </c>
      <c r="B100">
        <v>22.115814418677473</v>
      </c>
    </row>
    <row r="101" spans="1:2" x14ac:dyDescent="0.25">
      <c r="A101">
        <v>90</v>
      </c>
      <c r="B101">
        <v>22.0987148268905</v>
      </c>
    </row>
    <row r="102" spans="1:2" x14ac:dyDescent="0.25">
      <c r="A102">
        <v>91</v>
      </c>
      <c r="B102">
        <v>22.046619697968708</v>
      </c>
    </row>
    <row r="103" spans="1:2" x14ac:dyDescent="0.25">
      <c r="A103">
        <v>92</v>
      </c>
      <c r="B103">
        <v>21.972691375660361</v>
      </c>
    </row>
    <row r="104" spans="1:2" x14ac:dyDescent="0.25">
      <c r="A104">
        <v>93</v>
      </c>
      <c r="B104">
        <v>21.886767977841373</v>
      </c>
    </row>
    <row r="105" spans="1:2" x14ac:dyDescent="0.25">
      <c r="A105">
        <v>94</v>
      </c>
      <c r="B105">
        <v>21.759981938041165</v>
      </c>
    </row>
    <row r="106" spans="1:2" x14ac:dyDescent="0.25">
      <c r="A106">
        <v>95</v>
      </c>
      <c r="B106">
        <v>22.117053468784434</v>
      </c>
    </row>
    <row r="107" spans="1:2" x14ac:dyDescent="0.25">
      <c r="A107">
        <v>96</v>
      </c>
      <c r="B107">
        <v>22.037432369026646</v>
      </c>
    </row>
    <row r="108" spans="1:2" x14ac:dyDescent="0.25">
      <c r="A108">
        <v>97</v>
      </c>
      <c r="B108">
        <v>22.002011142896663</v>
      </c>
    </row>
    <row r="109" spans="1:2" x14ac:dyDescent="0.25">
      <c r="A109">
        <v>98</v>
      </c>
      <c r="B109">
        <v>22.418919989897404</v>
      </c>
    </row>
    <row r="110" spans="1:2" x14ac:dyDescent="0.25">
      <c r="A110">
        <v>99</v>
      </c>
      <c r="B110">
        <v>22.074980789577239</v>
      </c>
    </row>
    <row r="111" spans="1:2" x14ac:dyDescent="0.25">
      <c r="A111">
        <v>100</v>
      </c>
      <c r="B111">
        <v>21.864691676521034</v>
      </c>
    </row>
    <row r="112" spans="1:2" x14ac:dyDescent="0.25">
      <c r="A112">
        <v>101</v>
      </c>
      <c r="B112">
        <v>22.024241762730526</v>
      </c>
    </row>
    <row r="113" spans="1:2" x14ac:dyDescent="0.25">
      <c r="A113">
        <v>102</v>
      </c>
      <c r="B113">
        <v>22.018779337551678</v>
      </c>
    </row>
    <row r="114" spans="1:2" x14ac:dyDescent="0.25">
      <c r="A114">
        <v>103</v>
      </c>
      <c r="B114">
        <v>22.021686378204322</v>
      </c>
    </row>
    <row r="115" spans="1:2" x14ac:dyDescent="0.25">
      <c r="A115">
        <v>104</v>
      </c>
      <c r="B115">
        <v>22.222445760300616</v>
      </c>
    </row>
    <row r="116" spans="1:2" x14ac:dyDescent="0.25">
      <c r="A116">
        <v>105</v>
      </c>
      <c r="B116">
        <v>22.132049376588839</v>
      </c>
    </row>
    <row r="117" spans="1:2" x14ac:dyDescent="0.25">
      <c r="A117">
        <v>106</v>
      </c>
      <c r="B117">
        <v>22.309493407257833</v>
      </c>
    </row>
    <row r="118" spans="1:2" x14ac:dyDescent="0.25">
      <c r="A118">
        <v>107</v>
      </c>
      <c r="B118">
        <v>22.074980789577239</v>
      </c>
    </row>
    <row r="119" spans="1:2" x14ac:dyDescent="0.25">
      <c r="A119">
        <v>108</v>
      </c>
      <c r="B119">
        <v>22.088853948909673</v>
      </c>
    </row>
    <row r="120" spans="1:2" x14ac:dyDescent="0.25">
      <c r="A120">
        <v>109</v>
      </c>
      <c r="B120">
        <v>21.967357257446565</v>
      </c>
    </row>
    <row r="121" spans="1:2" x14ac:dyDescent="0.25">
      <c r="A121">
        <v>110</v>
      </c>
      <c r="B121">
        <v>22.568484392715618</v>
      </c>
    </row>
    <row r="122" spans="1:2" x14ac:dyDescent="0.25">
      <c r="A122">
        <v>111</v>
      </c>
      <c r="B122">
        <v>22.116859632726118</v>
      </c>
    </row>
    <row r="123" spans="1:2" x14ac:dyDescent="0.25">
      <c r="A123">
        <v>112</v>
      </c>
      <c r="B123">
        <v>22.117926856546546</v>
      </c>
    </row>
    <row r="124" spans="1:2" x14ac:dyDescent="0.25">
      <c r="A124">
        <v>113</v>
      </c>
      <c r="B124">
        <v>21.755101271148305</v>
      </c>
    </row>
    <row r="125" spans="1:2" x14ac:dyDescent="0.25">
      <c r="A125">
        <v>114</v>
      </c>
      <c r="B125">
        <v>22.074303488872829</v>
      </c>
    </row>
    <row r="126" spans="1:2" x14ac:dyDescent="0.25">
      <c r="A126">
        <v>115</v>
      </c>
      <c r="B126">
        <v>21.519426637561992</v>
      </c>
    </row>
    <row r="127" spans="1:2" x14ac:dyDescent="0.25">
      <c r="A127">
        <v>116</v>
      </c>
      <c r="B127">
        <v>21.510638735955581</v>
      </c>
    </row>
    <row r="128" spans="1:2" x14ac:dyDescent="0.25">
      <c r="A128">
        <v>117</v>
      </c>
      <c r="B128">
        <v>22.129098816614714</v>
      </c>
    </row>
    <row r="129" spans="1:2" x14ac:dyDescent="0.25">
      <c r="A129">
        <v>118</v>
      </c>
      <c r="B129">
        <v>22.035504262996255</v>
      </c>
    </row>
    <row r="130" spans="1:2" x14ac:dyDescent="0.25">
      <c r="A130">
        <v>119</v>
      </c>
      <c r="B130">
        <v>21.941011060400342</v>
      </c>
    </row>
  </sheetData>
  <sortState xmlns:xlrd2="http://schemas.microsoft.com/office/spreadsheetml/2017/richdata2" ref="F29:F40">
    <sortCondition ref="F29"/>
  </sortState>
  <mergeCells count="7">
    <mergeCell ref="F27:L27"/>
    <mergeCell ref="O48:R48"/>
    <mergeCell ref="P43:T43"/>
    <mergeCell ref="O44:R44"/>
    <mergeCell ref="O45:R45"/>
    <mergeCell ref="O46:R46"/>
    <mergeCell ref="O47:R4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64E1-0082-4CFB-882B-4BFDCF5BB586}">
  <dimension ref="A1:T129"/>
  <sheetViews>
    <sheetView workbookViewId="0">
      <selection activeCell="C12" sqref="C12"/>
    </sheetView>
  </sheetViews>
  <sheetFormatPr defaultRowHeight="15" x14ac:dyDescent="0.25"/>
  <cols>
    <col min="2" max="2" width="11" customWidth="1"/>
    <col min="3" max="3" width="8.7109375" customWidth="1"/>
    <col min="9" max="9" width="12" bestFit="1" customWidth="1"/>
  </cols>
  <sheetData>
    <row r="1" spans="1:7" x14ac:dyDescent="0.25">
      <c r="A1" t="s">
        <v>56</v>
      </c>
    </row>
    <row r="4" spans="1:7" x14ac:dyDescent="0.25">
      <c r="A4" s="3">
        <v>1</v>
      </c>
      <c r="B4" s="9" t="s">
        <v>0</v>
      </c>
      <c r="C4" s="9"/>
    </row>
    <row r="5" spans="1:7" x14ac:dyDescent="0.25">
      <c r="A5" t="s">
        <v>30</v>
      </c>
      <c r="C5" s="20">
        <v>6.789574877163</v>
      </c>
      <c r="F5" s="1">
        <v>3</v>
      </c>
      <c r="G5" s="18"/>
    </row>
    <row r="6" spans="1:7" x14ac:dyDescent="0.25">
      <c r="A6" t="s">
        <v>31</v>
      </c>
      <c r="C6" s="20">
        <v>6.2287972655415507</v>
      </c>
      <c r="F6" t="s">
        <v>21</v>
      </c>
      <c r="G6">
        <f>MIN(B12:B130)</f>
        <v>9.9724318665520695</v>
      </c>
    </row>
    <row r="7" spans="1:7" x14ac:dyDescent="0.25">
      <c r="A7" t="s">
        <v>20</v>
      </c>
      <c r="C7" s="20">
        <v>118.24091311380351</v>
      </c>
      <c r="F7" t="s">
        <v>22</v>
      </c>
      <c r="G7">
        <f>MAX(B12:B130)</f>
        <v>82.533290133568002</v>
      </c>
    </row>
    <row r="8" spans="1:7" x14ac:dyDescent="0.25">
      <c r="F8" t="s">
        <v>23</v>
      </c>
      <c r="G8">
        <v>6.16</v>
      </c>
    </row>
    <row r="9" spans="1:7" x14ac:dyDescent="0.25">
      <c r="F9" t="s">
        <v>24</v>
      </c>
      <c r="G9">
        <v>12</v>
      </c>
    </row>
    <row r="10" spans="1:7" x14ac:dyDescent="0.25">
      <c r="A10" s="1">
        <v>2</v>
      </c>
      <c r="B10" s="16" t="s">
        <v>1</v>
      </c>
    </row>
    <row r="11" spans="1:7" x14ac:dyDescent="0.25">
      <c r="A11" s="15" t="s">
        <v>2</v>
      </c>
      <c r="B11" s="15" t="s">
        <v>3</v>
      </c>
      <c r="C11" t="s">
        <v>34</v>
      </c>
    </row>
    <row r="12" spans="1:7" x14ac:dyDescent="0.25">
      <c r="A12">
        <v>1</v>
      </c>
      <c r="B12">
        <f>_xlfn.GAMMA.INV(C12,$C$5,$C$6)</f>
        <v>36.592289333477012</v>
      </c>
      <c r="C12">
        <v>0.40577410199285902</v>
      </c>
    </row>
    <row r="13" spans="1:7" x14ac:dyDescent="0.25">
      <c r="A13">
        <v>2</v>
      </c>
      <c r="B13">
        <f t="shared" ref="B13:B76" si="0">_xlfn.GAMMA.INV(C13,$C$5,$C$6)</f>
        <v>38.169121481200591</v>
      </c>
      <c r="C13">
        <v>0.44697408978545489</v>
      </c>
    </row>
    <row r="14" spans="1:7" x14ac:dyDescent="0.25">
      <c r="A14">
        <v>3</v>
      </c>
      <c r="B14">
        <f t="shared" si="0"/>
        <v>36.367717882942749</v>
      </c>
      <c r="C14">
        <v>0.39988402966399123</v>
      </c>
    </row>
    <row r="15" spans="1:7" x14ac:dyDescent="0.25">
      <c r="A15">
        <v>4</v>
      </c>
      <c r="B15">
        <f t="shared" si="0"/>
        <v>27.311275244821402</v>
      </c>
      <c r="C15">
        <v>0.17630542924283579</v>
      </c>
    </row>
    <row r="16" spans="1:7" x14ac:dyDescent="0.25">
      <c r="A16">
        <v>5</v>
      </c>
      <c r="B16">
        <f t="shared" si="0"/>
        <v>58.644913511655623</v>
      </c>
      <c r="C16">
        <v>0.84746848963896604</v>
      </c>
    </row>
    <row r="17" spans="1:17" x14ac:dyDescent="0.25">
      <c r="A17">
        <v>6</v>
      </c>
      <c r="B17">
        <f t="shared" si="0"/>
        <v>45.050733464903274</v>
      </c>
      <c r="C17">
        <v>0.6156804101687674</v>
      </c>
    </row>
    <row r="18" spans="1:17" x14ac:dyDescent="0.25">
      <c r="A18">
        <v>7</v>
      </c>
      <c r="B18">
        <f t="shared" si="0"/>
        <v>24.324529508466345</v>
      </c>
      <c r="C18">
        <v>0.11777092806787316</v>
      </c>
    </row>
    <row r="19" spans="1:17" x14ac:dyDescent="0.25">
      <c r="A19">
        <v>8</v>
      </c>
      <c r="B19">
        <f t="shared" si="0"/>
        <v>29.920049029301168</v>
      </c>
      <c r="C19">
        <v>0.23551133762627033</v>
      </c>
    </row>
    <row r="20" spans="1:17" x14ac:dyDescent="0.25">
      <c r="A20">
        <v>9</v>
      </c>
      <c r="B20">
        <f t="shared" si="0"/>
        <v>35.494054218185894</v>
      </c>
      <c r="C20">
        <v>0.37696462904751732</v>
      </c>
    </row>
    <row r="21" spans="1:17" x14ac:dyDescent="0.25">
      <c r="A21">
        <v>10</v>
      </c>
      <c r="B21">
        <f t="shared" si="0"/>
        <v>60.548595934560659</v>
      </c>
      <c r="C21">
        <v>0.86840418713950007</v>
      </c>
    </row>
    <row r="22" spans="1:17" x14ac:dyDescent="0.25">
      <c r="A22">
        <v>11</v>
      </c>
      <c r="B22">
        <f t="shared" si="0"/>
        <v>71.43754392427735</v>
      </c>
      <c r="C22">
        <v>0.9472640156254768</v>
      </c>
    </row>
    <row r="23" spans="1:17" x14ac:dyDescent="0.25">
      <c r="A23">
        <v>12</v>
      </c>
      <c r="B23">
        <f t="shared" si="0"/>
        <v>46.644301814864534</v>
      </c>
      <c r="C23">
        <v>0.6505630664998322</v>
      </c>
    </row>
    <row r="24" spans="1:17" x14ac:dyDescent="0.25">
      <c r="A24">
        <v>13</v>
      </c>
      <c r="B24">
        <f t="shared" si="0"/>
        <v>37.273904045440332</v>
      </c>
      <c r="C24">
        <v>0.42362743003631703</v>
      </c>
      <c r="Q24" s="10"/>
    </row>
    <row r="25" spans="1:17" x14ac:dyDescent="0.25">
      <c r="A25">
        <v>14</v>
      </c>
      <c r="B25">
        <f t="shared" si="0"/>
        <v>58.63968349447763</v>
      </c>
      <c r="C25">
        <v>0.84740745262001405</v>
      </c>
      <c r="Q25" s="10"/>
    </row>
    <row r="26" spans="1:17" x14ac:dyDescent="0.25">
      <c r="A26">
        <v>15</v>
      </c>
      <c r="B26">
        <f t="shared" si="0"/>
        <v>47.609176196982808</v>
      </c>
      <c r="C26">
        <v>0.67073580126346632</v>
      </c>
    </row>
    <row r="27" spans="1:17" ht="15.75" thickBot="1" x14ac:dyDescent="0.3">
      <c r="A27">
        <v>16</v>
      </c>
      <c r="B27">
        <f t="shared" si="0"/>
        <v>38.117466595661142</v>
      </c>
      <c r="C27">
        <v>0.44563127536851099</v>
      </c>
      <c r="E27" s="3">
        <v>4</v>
      </c>
      <c r="F27" s="40" t="s">
        <v>4</v>
      </c>
      <c r="G27" s="40"/>
      <c r="H27" s="40"/>
      <c r="I27" s="40"/>
      <c r="J27" s="40"/>
      <c r="K27" s="40"/>
      <c r="L27" s="40"/>
    </row>
    <row r="28" spans="1:17" x14ac:dyDescent="0.25">
      <c r="A28">
        <v>17</v>
      </c>
      <c r="B28">
        <f t="shared" si="0"/>
        <v>32.518211650431958</v>
      </c>
      <c r="C28">
        <v>0.29978331858272039</v>
      </c>
      <c r="D28" t="s">
        <v>25</v>
      </c>
      <c r="E28" t="s">
        <v>5</v>
      </c>
      <c r="F28" s="14" t="s">
        <v>6</v>
      </c>
      <c r="G28" s="14" t="s">
        <v>7</v>
      </c>
      <c r="H28" t="s">
        <v>9</v>
      </c>
      <c r="I28" t="s">
        <v>33</v>
      </c>
      <c r="J28" t="s">
        <v>11</v>
      </c>
      <c r="K28" t="s">
        <v>27</v>
      </c>
    </row>
    <row r="29" spans="1:17" x14ac:dyDescent="0.25">
      <c r="A29">
        <v>18</v>
      </c>
      <c r="B29">
        <f t="shared" si="0"/>
        <v>74.474344765388679</v>
      </c>
      <c r="C29">
        <v>0.95989867854853972</v>
      </c>
      <c r="D29">
        <v>1</v>
      </c>
      <c r="E29">
        <f>G6+$G$8</f>
        <v>16.132431866552068</v>
      </c>
      <c r="F29" s="11">
        <v>16.132431866552068</v>
      </c>
      <c r="G29" s="12">
        <v>1</v>
      </c>
      <c r="H29">
        <f t="shared" ref="H29:H40" si="1">G29/$G$42</f>
        <v>8.4745762711864406E-3</v>
      </c>
      <c r="I29" s="19">
        <f>_xlfn.GAMMA.DIST(F29,$C$5,$C$6,FALSE)</f>
        <v>6.1081828496234447E-3</v>
      </c>
      <c r="J29">
        <f>H29</f>
        <v>8.4745762711864406E-3</v>
      </c>
      <c r="K29">
        <f>I29/$I$42</f>
        <v>3.832457038812586E-2</v>
      </c>
    </row>
    <row r="30" spans="1:17" x14ac:dyDescent="0.25">
      <c r="A30">
        <v>19</v>
      </c>
      <c r="B30">
        <f t="shared" si="0"/>
        <v>41.600453600059105</v>
      </c>
      <c r="C30">
        <v>0.53416547135837888</v>
      </c>
      <c r="D30">
        <v>2</v>
      </c>
      <c r="E30">
        <f>E29+$G$8</f>
        <v>22.292431866552068</v>
      </c>
      <c r="F30" s="11">
        <v>22.292431866552068</v>
      </c>
      <c r="G30" s="12">
        <v>6</v>
      </c>
      <c r="H30">
        <f t="shared" si="1"/>
        <v>5.0847457627118647E-2</v>
      </c>
      <c r="I30" s="19">
        <f t="shared" ref="I30:I40" si="2">_xlfn.GAMMA.DIST(F30,$C$5,$C$6,FALSE)</f>
        <v>1.4777609448054096E-2</v>
      </c>
      <c r="J30">
        <f>J29+H30</f>
        <v>5.9322033898305086E-2</v>
      </c>
      <c r="K30">
        <f t="shared" ref="K29:K40" si="3">I30/$I$42</f>
        <v>9.2719151898849411E-2</v>
      </c>
    </row>
    <row r="31" spans="1:17" x14ac:dyDescent="0.25">
      <c r="A31">
        <v>20</v>
      </c>
      <c r="B31">
        <f t="shared" si="0"/>
        <v>82.533290133568002</v>
      </c>
      <c r="C31">
        <v>0.9812616351817377</v>
      </c>
      <c r="D31">
        <v>3</v>
      </c>
      <c r="E31">
        <f t="shared" ref="E31:E40" si="4">E30+$G$8</f>
        <v>28.452431866552068</v>
      </c>
      <c r="F31" s="11">
        <v>28.452431866552068</v>
      </c>
      <c r="G31" s="12">
        <v>11</v>
      </c>
      <c r="H31">
        <f t="shared" si="1"/>
        <v>9.3220338983050849E-2</v>
      </c>
      <c r="I31" s="19">
        <f t="shared" si="2"/>
        <v>2.2572575197460365E-2</v>
      </c>
      <c r="J31">
        <f t="shared" ref="J31:J40" si="5">J30+H31</f>
        <v>0.15254237288135594</v>
      </c>
      <c r="K31">
        <f t="shared" si="3"/>
        <v>0.14162710388567759</v>
      </c>
    </row>
    <row r="32" spans="1:17" x14ac:dyDescent="0.25">
      <c r="A32">
        <v>21</v>
      </c>
      <c r="B32">
        <f t="shared" si="0"/>
        <v>24.98646329178408</v>
      </c>
      <c r="C32">
        <v>0.12976470229194007</v>
      </c>
      <c r="D32">
        <v>4</v>
      </c>
      <c r="E32">
        <f t="shared" si="4"/>
        <v>34.612431866552072</v>
      </c>
      <c r="F32" s="11">
        <v>34.612431866552072</v>
      </c>
      <c r="G32" s="12">
        <v>17</v>
      </c>
      <c r="H32">
        <f t="shared" si="1"/>
        <v>0.1440677966101695</v>
      </c>
      <c r="I32" s="19">
        <f t="shared" si="2"/>
        <v>2.611258694778942E-2</v>
      </c>
      <c r="J32">
        <f t="shared" si="5"/>
        <v>0.29661016949152541</v>
      </c>
      <c r="K32">
        <f t="shared" si="3"/>
        <v>0.163838198877479</v>
      </c>
    </row>
    <row r="33" spans="1:20" x14ac:dyDescent="0.25">
      <c r="A33">
        <v>22</v>
      </c>
      <c r="B33">
        <f t="shared" si="0"/>
        <v>49.933026811822309</v>
      </c>
      <c r="C33">
        <v>0.71623889889217807</v>
      </c>
      <c r="D33">
        <v>5</v>
      </c>
      <c r="E33">
        <f t="shared" si="4"/>
        <v>40.772431866552068</v>
      </c>
      <c r="F33" s="11">
        <v>40.772431866552068</v>
      </c>
      <c r="G33" s="12">
        <v>22</v>
      </c>
      <c r="H33">
        <f t="shared" si="1"/>
        <v>0.1864406779661017</v>
      </c>
      <c r="I33" s="19">
        <f t="shared" si="2"/>
        <v>2.5072101552078636E-2</v>
      </c>
      <c r="J33">
        <f t="shared" si="5"/>
        <v>0.48305084745762711</v>
      </c>
      <c r="K33">
        <f t="shared" si="3"/>
        <v>0.15730988157469994</v>
      </c>
    </row>
    <row r="34" spans="1:20" x14ac:dyDescent="0.25">
      <c r="A34">
        <v>23</v>
      </c>
      <c r="B34">
        <f t="shared" si="0"/>
        <v>59.430118425095237</v>
      </c>
      <c r="C34">
        <v>0.85641041291543318</v>
      </c>
      <c r="D34">
        <v>6</v>
      </c>
      <c r="E34">
        <f t="shared" si="4"/>
        <v>46.932431866552065</v>
      </c>
      <c r="F34" s="11">
        <v>46.932431866552065</v>
      </c>
      <c r="G34" s="12">
        <v>18</v>
      </c>
      <c r="H34">
        <f t="shared" si="1"/>
        <v>0.15254237288135594</v>
      </c>
      <c r="I34" s="19">
        <f t="shared" si="2"/>
        <v>2.1060727946672644E-2</v>
      </c>
      <c r="J34">
        <f t="shared" si="5"/>
        <v>0.63559322033898302</v>
      </c>
      <c r="K34">
        <f t="shared" si="3"/>
        <v>0.13214132099322856</v>
      </c>
    </row>
    <row r="35" spans="1:20" x14ac:dyDescent="0.25">
      <c r="A35">
        <v>24</v>
      </c>
      <c r="B35">
        <f t="shared" si="0"/>
        <v>30.538087994032544</v>
      </c>
      <c r="C35">
        <v>0.25040437025055695</v>
      </c>
      <c r="D35">
        <v>7</v>
      </c>
      <c r="E35">
        <f t="shared" si="4"/>
        <v>53.092431866552062</v>
      </c>
      <c r="F35" s="11">
        <v>53.092431866552062</v>
      </c>
      <c r="G35" s="12">
        <v>7</v>
      </c>
      <c r="H35">
        <f t="shared" si="1"/>
        <v>5.9322033898305086E-2</v>
      </c>
      <c r="I35" s="19">
        <f t="shared" si="2"/>
        <v>1.5997892567757181E-2</v>
      </c>
      <c r="J35">
        <f t="shared" si="5"/>
        <v>0.69491525423728806</v>
      </c>
      <c r="K35">
        <f t="shared" si="3"/>
        <v>0.10037557402402952</v>
      </c>
    </row>
    <row r="36" spans="1:20" x14ac:dyDescent="0.25">
      <c r="A36">
        <v>25</v>
      </c>
      <c r="B36">
        <f t="shared" si="0"/>
        <v>43.724593642514279</v>
      </c>
      <c r="C36">
        <v>0.58525345622119818</v>
      </c>
      <c r="D36">
        <v>8</v>
      </c>
      <c r="E36">
        <f t="shared" si="4"/>
        <v>59.252431866552058</v>
      </c>
      <c r="F36" s="11">
        <v>59.252431866552058</v>
      </c>
      <c r="G36" s="12">
        <v>12</v>
      </c>
      <c r="H36">
        <f t="shared" si="1"/>
        <v>0.10169491525423729</v>
      </c>
      <c r="I36" s="19">
        <f t="shared" si="2"/>
        <v>1.1235043096714626E-2</v>
      </c>
      <c r="J36">
        <f t="shared" si="5"/>
        <v>0.7966101694915253</v>
      </c>
      <c r="K36">
        <f t="shared" si="3"/>
        <v>7.0492028574457521E-2</v>
      </c>
    </row>
    <row r="37" spans="1:20" x14ac:dyDescent="0.25">
      <c r="A37">
        <v>26</v>
      </c>
      <c r="B37">
        <f t="shared" si="0"/>
        <v>46.558408845630879</v>
      </c>
      <c r="C37">
        <v>0.64873195593127231</v>
      </c>
      <c r="D37">
        <v>9</v>
      </c>
      <c r="E37">
        <f t="shared" si="4"/>
        <v>65.412431866552055</v>
      </c>
      <c r="F37" s="11">
        <v>65.412431866552055</v>
      </c>
      <c r="G37" s="12">
        <v>9</v>
      </c>
      <c r="H37">
        <f t="shared" si="1"/>
        <v>7.6271186440677971E-2</v>
      </c>
      <c r="I37" s="19">
        <f t="shared" si="2"/>
        <v>7.4090602605116785E-3</v>
      </c>
      <c r="J37">
        <f t="shared" si="5"/>
        <v>0.87288135593220328</v>
      </c>
      <c r="K37">
        <f t="shared" si="3"/>
        <v>4.6486665257794428E-2</v>
      </c>
    </row>
    <row r="38" spans="1:20" x14ac:dyDescent="0.25">
      <c r="A38">
        <v>27</v>
      </c>
      <c r="B38">
        <f t="shared" si="0"/>
        <v>63.793516902548994</v>
      </c>
      <c r="C38">
        <v>0.89858699301126133</v>
      </c>
      <c r="D38">
        <v>10</v>
      </c>
      <c r="E38">
        <f t="shared" si="4"/>
        <v>71.572431866552051</v>
      </c>
      <c r="F38" s="11">
        <v>71.572431866552051</v>
      </c>
      <c r="G38" s="12">
        <v>7</v>
      </c>
      <c r="H38">
        <f t="shared" si="1"/>
        <v>5.9322033898305086E-2</v>
      </c>
      <c r="I38" s="19">
        <f t="shared" si="2"/>
        <v>4.6403821279464826E-3</v>
      </c>
      <c r="J38" s="7">
        <f t="shared" si="5"/>
        <v>0.93220338983050832</v>
      </c>
      <c r="K38">
        <f t="shared" si="3"/>
        <v>2.911514862415255E-2</v>
      </c>
    </row>
    <row r="39" spans="1:20" x14ac:dyDescent="0.25">
      <c r="A39">
        <v>28</v>
      </c>
      <c r="B39">
        <f t="shared" si="0"/>
        <v>36.222309435035434</v>
      </c>
      <c r="C39">
        <v>0.39606921597949157</v>
      </c>
      <c r="D39">
        <v>11</v>
      </c>
      <c r="E39">
        <f t="shared" si="4"/>
        <v>77.732431866552048</v>
      </c>
      <c r="F39" s="11">
        <v>77.732431866552048</v>
      </c>
      <c r="G39" s="12">
        <v>6</v>
      </c>
      <c r="H39">
        <f t="shared" si="1"/>
        <v>5.0847457627118647E-2</v>
      </c>
      <c r="I39" s="19">
        <f t="shared" si="2"/>
        <v>2.7838757122366276E-3</v>
      </c>
      <c r="J39">
        <f t="shared" si="5"/>
        <v>0.98305084745762694</v>
      </c>
      <c r="K39">
        <f t="shared" si="3"/>
        <v>1.7466870804626271E-2</v>
      </c>
    </row>
    <row r="40" spans="1:20" x14ac:dyDescent="0.25">
      <c r="A40">
        <v>29</v>
      </c>
      <c r="B40">
        <f t="shared" si="0"/>
        <v>74.153934394871314</v>
      </c>
      <c r="C40">
        <v>0.95870845667897575</v>
      </c>
      <c r="D40">
        <v>12</v>
      </c>
      <c r="E40">
        <f t="shared" si="4"/>
        <v>83.892431866552045</v>
      </c>
      <c r="F40" s="11">
        <v>83.892431866552045</v>
      </c>
      <c r="G40" s="12">
        <v>2</v>
      </c>
      <c r="H40">
        <f t="shared" si="1"/>
        <v>1.6949152542372881E-2</v>
      </c>
      <c r="I40" s="19">
        <f t="shared" si="2"/>
        <v>1.6102968347769021E-3</v>
      </c>
      <c r="J40">
        <f t="shared" si="5"/>
        <v>0.99999999999999978</v>
      </c>
      <c r="K40">
        <f t="shared" si="3"/>
        <v>1.0103485096879212E-2</v>
      </c>
    </row>
    <row r="41" spans="1:20" ht="15.75" thickBot="1" x14ac:dyDescent="0.3">
      <c r="A41">
        <v>30</v>
      </c>
      <c r="B41">
        <f t="shared" si="0"/>
        <v>29.10546182906522</v>
      </c>
      <c r="C41">
        <v>0.21634571367534411</v>
      </c>
      <c r="F41" s="13" t="s">
        <v>8</v>
      </c>
      <c r="G41" s="13">
        <v>0</v>
      </c>
    </row>
    <row r="42" spans="1:20" x14ac:dyDescent="0.25">
      <c r="A42">
        <v>31</v>
      </c>
      <c r="B42">
        <f t="shared" si="0"/>
        <v>53.307393072205876</v>
      </c>
      <c r="C42">
        <v>0.77434614093447673</v>
      </c>
      <c r="F42" t="s">
        <v>26</v>
      </c>
      <c r="G42">
        <f>SUM(G29:G41)</f>
        <v>118</v>
      </c>
      <c r="H42">
        <f>SUM(H29:H41)</f>
        <v>0.99999999999999978</v>
      </c>
      <c r="I42">
        <f>SUM(I29:I41)</f>
        <v>0.15938033454162212</v>
      </c>
      <c r="J42">
        <f>SUM(J29:J41)</f>
        <v>6.9152542372881358</v>
      </c>
      <c r="K42">
        <f>SUM(K29:K41)</f>
        <v>0.99999999999999978</v>
      </c>
    </row>
    <row r="43" spans="1:20" x14ac:dyDescent="0.25">
      <c r="A43">
        <v>32</v>
      </c>
      <c r="B43">
        <f t="shared" si="0"/>
        <v>23.58648023295526</v>
      </c>
      <c r="C43">
        <v>0.10510574663533433</v>
      </c>
      <c r="F43" s="11"/>
      <c r="G43" s="12"/>
      <c r="O43" s="3">
        <v>4</v>
      </c>
      <c r="P43" s="40" t="s">
        <v>12</v>
      </c>
      <c r="Q43" s="40"/>
      <c r="R43" s="40"/>
      <c r="S43" s="40"/>
      <c r="T43" s="40"/>
    </row>
    <row r="44" spans="1:20" x14ac:dyDescent="0.25">
      <c r="A44">
        <v>33</v>
      </c>
      <c r="B44">
        <f t="shared" si="0"/>
        <v>44.616572852659495</v>
      </c>
      <c r="C44">
        <v>0.60585345011749625</v>
      </c>
      <c r="O44" s="39" t="s">
        <v>13</v>
      </c>
      <c r="P44" s="39"/>
      <c r="Q44" s="39"/>
      <c r="R44" s="39"/>
      <c r="S44">
        <f>AVERAGE(B12:B130)</f>
        <v>44.132590915211857</v>
      </c>
    </row>
    <row r="45" spans="1:20" x14ac:dyDescent="0.25">
      <c r="A45">
        <v>34</v>
      </c>
      <c r="B45">
        <f t="shared" si="0"/>
        <v>44.46558914586015</v>
      </c>
      <c r="C45">
        <v>0.60240485854670855</v>
      </c>
      <c r="O45" s="39" t="s">
        <v>14</v>
      </c>
      <c r="P45" s="39"/>
      <c r="Q45" s="39"/>
      <c r="R45" s="39"/>
      <c r="S45">
        <f>_xlfn.STDEV.S(B12:B130)</f>
        <v>16.022594755275037</v>
      </c>
    </row>
    <row r="46" spans="1:20" x14ac:dyDescent="0.25">
      <c r="A46">
        <v>35</v>
      </c>
      <c r="B46">
        <f t="shared" si="0"/>
        <v>48.182101441271485</v>
      </c>
      <c r="C46">
        <v>0.68236335337382126</v>
      </c>
      <c r="O46" s="39" t="s">
        <v>15</v>
      </c>
      <c r="P46" s="39"/>
      <c r="Q46" s="39"/>
      <c r="R46" s="39"/>
      <c r="S46">
        <f>_xlfn.VAR.S(B12:B130)</f>
        <v>256.72354269176714</v>
      </c>
    </row>
    <row r="47" spans="1:20" x14ac:dyDescent="0.25">
      <c r="A47">
        <v>36</v>
      </c>
      <c r="B47">
        <f t="shared" si="0"/>
        <v>18.114082028620725</v>
      </c>
      <c r="C47">
        <v>3.5859248634296702E-2</v>
      </c>
      <c r="O47" s="39" t="s">
        <v>16</v>
      </c>
      <c r="P47" s="39"/>
      <c r="Q47" s="39"/>
      <c r="R47" s="39"/>
      <c r="S47">
        <f>SKEW(B12:B130)</f>
        <v>0.40420667414007883</v>
      </c>
    </row>
    <row r="48" spans="1:20" x14ac:dyDescent="0.25">
      <c r="A48">
        <v>37</v>
      </c>
      <c r="B48">
        <f t="shared" si="0"/>
        <v>32.077802510842275</v>
      </c>
      <c r="C48">
        <v>0.28861354411450546</v>
      </c>
      <c r="O48" s="39" t="s">
        <v>17</v>
      </c>
      <c r="P48" s="39"/>
      <c r="Q48" s="39"/>
      <c r="R48" s="39"/>
      <c r="S48">
        <f>KURT(B12:B130)</f>
        <v>-0.6534758654740318</v>
      </c>
    </row>
    <row r="49" spans="1:3" x14ac:dyDescent="0.25">
      <c r="A49">
        <v>38</v>
      </c>
      <c r="B49">
        <f t="shared" si="0"/>
        <v>55.765517209878205</v>
      </c>
      <c r="C49">
        <v>0.81078524124881746</v>
      </c>
    </row>
    <row r="50" spans="1:3" x14ac:dyDescent="0.25">
      <c r="A50">
        <v>39</v>
      </c>
      <c r="B50">
        <f t="shared" si="0"/>
        <v>30.210280275398066</v>
      </c>
      <c r="C50">
        <v>0.24246955778679768</v>
      </c>
    </row>
    <row r="51" spans="1:3" x14ac:dyDescent="0.25">
      <c r="A51">
        <v>40</v>
      </c>
      <c r="B51">
        <f t="shared" si="0"/>
        <v>69.031767613407766</v>
      </c>
      <c r="C51">
        <v>0.93484298226874596</v>
      </c>
    </row>
    <row r="52" spans="1:3" x14ac:dyDescent="0.25">
      <c r="A52">
        <v>41</v>
      </c>
      <c r="B52">
        <f t="shared" si="0"/>
        <v>38.270152136176698</v>
      </c>
      <c r="C52">
        <v>0.44959868160039063</v>
      </c>
    </row>
    <row r="53" spans="1:3" x14ac:dyDescent="0.25">
      <c r="A53">
        <v>42</v>
      </c>
      <c r="B53">
        <f t="shared" si="0"/>
        <v>76.660470139878385</v>
      </c>
      <c r="C53">
        <v>0.96722312082277906</v>
      </c>
    </row>
    <row r="54" spans="1:3" x14ac:dyDescent="0.25">
      <c r="A54">
        <v>43</v>
      </c>
      <c r="B54">
        <f t="shared" si="0"/>
        <v>29.108094915079803</v>
      </c>
      <c r="C54">
        <v>0.2164067506942961</v>
      </c>
    </row>
    <row r="55" spans="1:3" x14ac:dyDescent="0.25">
      <c r="A55">
        <v>44</v>
      </c>
      <c r="B55">
        <f t="shared" si="0"/>
        <v>44.327239510754396</v>
      </c>
      <c r="C55">
        <v>0.59923093356120483</v>
      </c>
    </row>
    <row r="56" spans="1:3" x14ac:dyDescent="0.25">
      <c r="A56">
        <v>45</v>
      </c>
      <c r="B56">
        <f t="shared" si="0"/>
        <v>71.928505141095016</v>
      </c>
      <c r="C56">
        <v>0.94952238532670064</v>
      </c>
    </row>
    <row r="57" spans="1:3" x14ac:dyDescent="0.25">
      <c r="A57">
        <v>46</v>
      </c>
      <c r="B57">
        <f t="shared" si="0"/>
        <v>29.780320879549709</v>
      </c>
      <c r="C57">
        <v>0.23218482009338665</v>
      </c>
    </row>
    <row r="58" spans="1:3" x14ac:dyDescent="0.25">
      <c r="A58">
        <v>47</v>
      </c>
      <c r="B58">
        <f t="shared" si="0"/>
        <v>36.173456238677822</v>
      </c>
      <c r="C58">
        <v>0.39478743858149967</v>
      </c>
    </row>
    <row r="59" spans="1:3" x14ac:dyDescent="0.25">
      <c r="A59">
        <v>48</v>
      </c>
      <c r="B59">
        <f t="shared" si="0"/>
        <v>34.137218329289666</v>
      </c>
      <c r="C59">
        <v>0.34150212103640859</v>
      </c>
    </row>
    <row r="60" spans="1:3" x14ac:dyDescent="0.25">
      <c r="A60">
        <v>49</v>
      </c>
      <c r="B60">
        <f t="shared" si="0"/>
        <v>32.479847804015456</v>
      </c>
      <c r="C60">
        <v>0.29880672627948851</v>
      </c>
    </row>
    <row r="61" spans="1:3" x14ac:dyDescent="0.25">
      <c r="A61">
        <v>50</v>
      </c>
      <c r="B61">
        <f t="shared" si="0"/>
        <v>29.736601157525339</v>
      </c>
      <c r="C61">
        <v>0.23114719077120274</v>
      </c>
    </row>
    <row r="62" spans="1:3" x14ac:dyDescent="0.25">
      <c r="A62">
        <v>51</v>
      </c>
      <c r="B62">
        <f t="shared" si="0"/>
        <v>68.364306756419694</v>
      </c>
      <c r="C62">
        <v>0.93096713156529431</v>
      </c>
    </row>
    <row r="63" spans="1:3" x14ac:dyDescent="0.25">
      <c r="A63">
        <v>52</v>
      </c>
      <c r="B63">
        <f t="shared" si="0"/>
        <v>23.993867239647372</v>
      </c>
      <c r="C63">
        <v>0.11200292977690969</v>
      </c>
    </row>
    <row r="64" spans="1:3" x14ac:dyDescent="0.25">
      <c r="A64">
        <v>53</v>
      </c>
      <c r="B64">
        <f t="shared" si="0"/>
        <v>65.862015985337777</v>
      </c>
      <c r="C64">
        <v>0.91457869197668384</v>
      </c>
    </row>
    <row r="65" spans="1:3" x14ac:dyDescent="0.25">
      <c r="A65">
        <v>54</v>
      </c>
      <c r="B65">
        <f t="shared" si="0"/>
        <v>36.704033901775261</v>
      </c>
      <c r="C65">
        <v>0.40870387890255439</v>
      </c>
    </row>
    <row r="66" spans="1:3" x14ac:dyDescent="0.25">
      <c r="A66">
        <v>55</v>
      </c>
      <c r="B66">
        <f t="shared" si="0"/>
        <v>64.454937667642881</v>
      </c>
      <c r="C66">
        <v>0.90395825067903679</v>
      </c>
    </row>
    <row r="67" spans="1:3" x14ac:dyDescent="0.25">
      <c r="A67">
        <v>56</v>
      </c>
      <c r="B67">
        <f t="shared" si="0"/>
        <v>69.254733374413391</v>
      </c>
      <c r="C67">
        <v>0.93609424115726192</v>
      </c>
    </row>
    <row r="68" spans="1:3" x14ac:dyDescent="0.25">
      <c r="A68">
        <v>57</v>
      </c>
      <c r="B68">
        <f t="shared" si="0"/>
        <v>37.675765705178826</v>
      </c>
      <c r="C68">
        <v>0.43412579729606005</v>
      </c>
    </row>
    <row r="69" spans="1:3" x14ac:dyDescent="0.25">
      <c r="A69">
        <v>58</v>
      </c>
      <c r="B69">
        <f t="shared" si="0"/>
        <v>28.945658477381496</v>
      </c>
      <c r="C69">
        <v>0.21265297402874844</v>
      </c>
    </row>
    <row r="70" spans="1:3" x14ac:dyDescent="0.25">
      <c r="A70">
        <v>59</v>
      </c>
      <c r="B70">
        <f t="shared" si="0"/>
        <v>36.011780995110129</v>
      </c>
      <c r="C70">
        <v>0.39054536576433607</v>
      </c>
    </row>
    <row r="71" spans="1:3" x14ac:dyDescent="0.25">
      <c r="A71">
        <v>60</v>
      </c>
      <c r="B71">
        <f t="shared" si="0"/>
        <v>56.589388429561275</v>
      </c>
      <c r="C71">
        <v>0.82192449720755634</v>
      </c>
    </row>
    <row r="72" spans="1:3" x14ac:dyDescent="0.25">
      <c r="A72">
        <v>61</v>
      </c>
      <c r="B72">
        <f t="shared" si="0"/>
        <v>45.0901293647131</v>
      </c>
      <c r="C72">
        <v>0.61656544694357129</v>
      </c>
    </row>
    <row r="73" spans="1:3" x14ac:dyDescent="0.25">
      <c r="A73">
        <v>62</v>
      </c>
      <c r="B73">
        <f t="shared" si="0"/>
        <v>40.817231474909747</v>
      </c>
      <c r="C73">
        <v>0.51469466231269267</v>
      </c>
    </row>
    <row r="74" spans="1:3" x14ac:dyDescent="0.25">
      <c r="A74">
        <v>63</v>
      </c>
      <c r="B74">
        <f t="shared" si="0"/>
        <v>57.131924812639845</v>
      </c>
      <c r="C74">
        <v>0.82897427289651171</v>
      </c>
    </row>
    <row r="75" spans="1:3" x14ac:dyDescent="0.25">
      <c r="A75">
        <v>64</v>
      </c>
      <c r="B75">
        <f t="shared" si="0"/>
        <v>54.685454513016005</v>
      </c>
      <c r="C75">
        <v>0.79537339396343887</v>
      </c>
    </row>
    <row r="76" spans="1:3" x14ac:dyDescent="0.25">
      <c r="A76">
        <v>65</v>
      </c>
      <c r="B76">
        <f t="shared" si="0"/>
        <v>60.069208782579082</v>
      </c>
      <c r="C76">
        <v>0.86336863307596057</v>
      </c>
    </row>
    <row r="77" spans="1:3" x14ac:dyDescent="0.25">
      <c r="A77">
        <v>66</v>
      </c>
      <c r="B77">
        <f t="shared" ref="B77:B129" si="6">_xlfn.GAMMA.INV(C77,$C$5,$C$6)</f>
        <v>27.176695187605368</v>
      </c>
      <c r="C77">
        <v>0.17343668935209205</v>
      </c>
    </row>
    <row r="78" spans="1:3" x14ac:dyDescent="0.25">
      <c r="A78">
        <v>67</v>
      </c>
      <c r="B78">
        <f t="shared" si="6"/>
        <v>73.046401584367985</v>
      </c>
      <c r="C78">
        <v>0.95434430982390817</v>
      </c>
    </row>
    <row r="79" spans="1:3" x14ac:dyDescent="0.25">
      <c r="A79">
        <v>68</v>
      </c>
      <c r="B79">
        <f t="shared" si="6"/>
        <v>29.172522899650893</v>
      </c>
      <c r="C79">
        <v>0.21790215765861995</v>
      </c>
    </row>
    <row r="80" spans="1:3" x14ac:dyDescent="0.25">
      <c r="A80">
        <v>69</v>
      </c>
      <c r="B80">
        <f t="shared" si="6"/>
        <v>62.718206433056224</v>
      </c>
      <c r="C80">
        <v>0.88930936613055822</v>
      </c>
    </row>
    <row r="81" spans="1:3" x14ac:dyDescent="0.25">
      <c r="A81">
        <v>70</v>
      </c>
      <c r="B81">
        <f t="shared" si="6"/>
        <v>25.857643061898859</v>
      </c>
      <c r="C81">
        <v>0.14642780846583453</v>
      </c>
    </row>
    <row r="82" spans="1:3" x14ac:dyDescent="0.25">
      <c r="A82">
        <v>71</v>
      </c>
      <c r="B82">
        <f t="shared" si="6"/>
        <v>22.501753409672663</v>
      </c>
      <c r="C82">
        <v>8.7893307290871914E-2</v>
      </c>
    </row>
    <row r="83" spans="1:3" x14ac:dyDescent="0.25">
      <c r="A83">
        <v>72</v>
      </c>
      <c r="B83">
        <f t="shared" si="6"/>
        <v>19.002171762334129</v>
      </c>
      <c r="C83">
        <v>4.4129764702291942E-2</v>
      </c>
    </row>
    <row r="84" spans="1:3" x14ac:dyDescent="0.25">
      <c r="A84">
        <v>73</v>
      </c>
      <c r="B84">
        <f t="shared" si="6"/>
        <v>43.301815008993238</v>
      </c>
      <c r="C84">
        <v>0.57530442213202304</v>
      </c>
    </row>
    <row r="85" spans="1:3" x14ac:dyDescent="0.25">
      <c r="A85">
        <v>74</v>
      </c>
      <c r="B85">
        <f t="shared" si="6"/>
        <v>20.201859417424014</v>
      </c>
      <c r="C85">
        <v>5.7100131229590748E-2</v>
      </c>
    </row>
    <row r="86" spans="1:3" x14ac:dyDescent="0.25">
      <c r="A86">
        <v>75</v>
      </c>
      <c r="B86">
        <f t="shared" si="6"/>
        <v>20.536810488797684</v>
      </c>
      <c r="C86">
        <v>6.1098055970946377E-2</v>
      </c>
    </row>
    <row r="87" spans="1:3" x14ac:dyDescent="0.25">
      <c r="A87">
        <v>76</v>
      </c>
      <c r="B87">
        <f t="shared" si="6"/>
        <v>27.244102859960623</v>
      </c>
      <c r="C87">
        <v>0.17487105929746391</v>
      </c>
    </row>
    <row r="88" spans="1:3" x14ac:dyDescent="0.25">
      <c r="A88">
        <v>77</v>
      </c>
      <c r="B88">
        <f t="shared" si="6"/>
        <v>41.589317202044612</v>
      </c>
      <c r="C88">
        <v>0.53389080477309492</v>
      </c>
    </row>
    <row r="89" spans="1:3" x14ac:dyDescent="0.25">
      <c r="A89">
        <v>78</v>
      </c>
      <c r="B89">
        <f t="shared" si="6"/>
        <v>45.38240832081685</v>
      </c>
      <c r="C89">
        <v>0.62309640797143473</v>
      </c>
    </row>
    <row r="90" spans="1:3" x14ac:dyDescent="0.25">
      <c r="A90">
        <v>79</v>
      </c>
      <c r="B90">
        <f t="shared" si="6"/>
        <v>42.471424611915594</v>
      </c>
      <c r="C90">
        <v>0.55543687246314888</v>
      </c>
    </row>
    <row r="91" spans="1:3" x14ac:dyDescent="0.25">
      <c r="A91">
        <v>80</v>
      </c>
      <c r="B91">
        <f t="shared" si="6"/>
        <v>42.755177802444067</v>
      </c>
      <c r="C91">
        <v>0.56227301858577228</v>
      </c>
    </row>
    <row r="92" spans="1:3" x14ac:dyDescent="0.25">
      <c r="A92">
        <v>81</v>
      </c>
      <c r="B92">
        <f t="shared" si="6"/>
        <v>37.091957968136882</v>
      </c>
      <c r="C92">
        <v>0.41886654255806144</v>
      </c>
    </row>
    <row r="93" spans="1:3" x14ac:dyDescent="0.25">
      <c r="A93">
        <v>82</v>
      </c>
      <c r="B93">
        <f t="shared" si="6"/>
        <v>59.060858348079911</v>
      </c>
      <c r="C93">
        <v>0.85225989562669757</v>
      </c>
    </row>
    <row r="94" spans="1:3" x14ac:dyDescent="0.25">
      <c r="A94">
        <v>83</v>
      </c>
      <c r="B94">
        <f t="shared" si="6"/>
        <v>25.509532490528219</v>
      </c>
      <c r="C94">
        <v>0.13965269936216315</v>
      </c>
    </row>
    <row r="95" spans="1:3" x14ac:dyDescent="0.25">
      <c r="A95">
        <v>84</v>
      </c>
      <c r="B95">
        <f t="shared" si="6"/>
        <v>29.394847527620659</v>
      </c>
      <c r="C95">
        <v>0.22309030426953946</v>
      </c>
    </row>
    <row r="96" spans="1:3" x14ac:dyDescent="0.25">
      <c r="A96">
        <v>85</v>
      </c>
      <c r="B96">
        <f t="shared" si="6"/>
        <v>40.645731215005128</v>
      </c>
      <c r="C96">
        <v>0.51039155247657708</v>
      </c>
    </row>
    <row r="97" spans="1:3" x14ac:dyDescent="0.25">
      <c r="A97">
        <v>86</v>
      </c>
      <c r="B97">
        <f t="shared" si="6"/>
        <v>36.842599952925404</v>
      </c>
      <c r="C97">
        <v>0.41233558153019806</v>
      </c>
    </row>
    <row r="98" spans="1:3" x14ac:dyDescent="0.25">
      <c r="A98">
        <v>87</v>
      </c>
      <c r="B98">
        <f t="shared" si="6"/>
        <v>54.034813111912541</v>
      </c>
      <c r="C98">
        <v>0.78563798944059571</v>
      </c>
    </row>
    <row r="99" spans="1:3" x14ac:dyDescent="0.25">
      <c r="A99">
        <v>88</v>
      </c>
      <c r="B99">
        <f t="shared" si="6"/>
        <v>56.187250675778046</v>
      </c>
      <c r="C99">
        <v>0.81655323953978087</v>
      </c>
    </row>
    <row r="100" spans="1:3" x14ac:dyDescent="0.25">
      <c r="A100">
        <v>89</v>
      </c>
      <c r="B100">
        <f t="shared" si="6"/>
        <v>44.65677476416198</v>
      </c>
      <c r="C100">
        <v>0.60676900540177614</v>
      </c>
    </row>
    <row r="101" spans="1:3" x14ac:dyDescent="0.25">
      <c r="A101">
        <v>90</v>
      </c>
      <c r="B101">
        <f t="shared" si="6"/>
        <v>22.019022417319661</v>
      </c>
      <c r="C101">
        <v>8.0782494582964562E-2</v>
      </c>
    </row>
    <row r="102" spans="1:3" x14ac:dyDescent="0.25">
      <c r="A102">
        <v>91</v>
      </c>
      <c r="B102">
        <f t="shared" si="6"/>
        <v>25.717461871591709</v>
      </c>
      <c r="C102">
        <v>0.14368114261299478</v>
      </c>
    </row>
    <row r="103" spans="1:3" x14ac:dyDescent="0.25">
      <c r="A103">
        <v>92</v>
      </c>
      <c r="B103">
        <f t="shared" si="6"/>
        <v>70.503467341762516</v>
      </c>
      <c r="C103">
        <v>0.94271675771355323</v>
      </c>
    </row>
    <row r="104" spans="1:3" x14ac:dyDescent="0.25">
      <c r="A104">
        <v>93</v>
      </c>
      <c r="B104">
        <f t="shared" si="6"/>
        <v>52.061271583859721</v>
      </c>
      <c r="C104">
        <v>0.75399029511398663</v>
      </c>
    </row>
    <row r="105" spans="1:3" x14ac:dyDescent="0.25">
      <c r="A105">
        <v>94</v>
      </c>
      <c r="B105">
        <f t="shared" si="6"/>
        <v>48.119816200735592</v>
      </c>
      <c r="C105">
        <v>0.6811120944853053</v>
      </c>
    </row>
    <row r="106" spans="1:3" x14ac:dyDescent="0.25">
      <c r="A106">
        <v>95</v>
      </c>
      <c r="B106">
        <f t="shared" si="6"/>
        <v>34.82396395980409</v>
      </c>
      <c r="C106">
        <v>0.35941648609881893</v>
      </c>
    </row>
    <row r="107" spans="1:3" x14ac:dyDescent="0.25">
      <c r="A107">
        <v>96</v>
      </c>
      <c r="B107">
        <f t="shared" si="6"/>
        <v>56.289183781887502</v>
      </c>
      <c r="C107">
        <v>0.81792657246620071</v>
      </c>
    </row>
    <row r="108" spans="1:3" x14ac:dyDescent="0.25">
      <c r="A108">
        <v>97</v>
      </c>
      <c r="B108">
        <f t="shared" si="6"/>
        <v>58.395756524739511</v>
      </c>
      <c r="C108">
        <v>0.84453871272927028</v>
      </c>
    </row>
    <row r="109" spans="1:3" x14ac:dyDescent="0.25">
      <c r="A109">
        <v>98</v>
      </c>
      <c r="B109">
        <f t="shared" si="6"/>
        <v>36.803003485844265</v>
      </c>
      <c r="C109">
        <v>0.41129795220801418</v>
      </c>
    </row>
    <row r="110" spans="1:3" x14ac:dyDescent="0.25">
      <c r="A110">
        <v>99</v>
      </c>
      <c r="B110">
        <f t="shared" si="6"/>
        <v>49.714516494396122</v>
      </c>
      <c r="C110">
        <v>0.71214941862239445</v>
      </c>
    </row>
    <row r="111" spans="1:3" x14ac:dyDescent="0.25">
      <c r="A111">
        <v>100</v>
      </c>
      <c r="B111">
        <f t="shared" si="6"/>
        <v>39.581786107451059</v>
      </c>
      <c r="C111">
        <v>0.48341319009979555</v>
      </c>
    </row>
    <row r="112" spans="1:3" x14ac:dyDescent="0.25">
      <c r="A112">
        <v>101</v>
      </c>
      <c r="B112">
        <f t="shared" si="6"/>
        <v>45.087410805829862</v>
      </c>
      <c r="C112">
        <v>0.6165044099246193</v>
      </c>
    </row>
    <row r="113" spans="1:3" x14ac:dyDescent="0.25">
      <c r="A113">
        <v>102</v>
      </c>
      <c r="B113">
        <f t="shared" si="6"/>
        <v>78.208908712964032</v>
      </c>
      <c r="C113">
        <v>0.97164830469679864</v>
      </c>
    </row>
    <row r="114" spans="1:3" x14ac:dyDescent="0.25">
      <c r="A114">
        <v>103</v>
      </c>
      <c r="B114">
        <f t="shared" si="6"/>
        <v>59.52655439847625</v>
      </c>
      <c r="C114">
        <v>0.85747856074709317</v>
      </c>
    </row>
    <row r="115" spans="1:3" x14ac:dyDescent="0.25">
      <c r="A115">
        <v>104</v>
      </c>
      <c r="B115">
        <f t="shared" si="6"/>
        <v>28.539598572088103</v>
      </c>
      <c r="C115">
        <v>0.20337534714804528</v>
      </c>
    </row>
    <row r="116" spans="1:3" x14ac:dyDescent="0.25">
      <c r="A116">
        <v>105</v>
      </c>
      <c r="B116">
        <f t="shared" si="6"/>
        <v>22.268463343187104</v>
      </c>
      <c r="C116">
        <v>8.4414197210608236E-2</v>
      </c>
    </row>
    <row r="117" spans="1:3" x14ac:dyDescent="0.25">
      <c r="A117">
        <v>106</v>
      </c>
      <c r="B117">
        <f t="shared" si="6"/>
        <v>36.26418493275083</v>
      </c>
      <c r="C117">
        <v>0.39716788232062744</v>
      </c>
    </row>
    <row r="118" spans="1:3" x14ac:dyDescent="0.25">
      <c r="A118">
        <v>107</v>
      </c>
      <c r="B118">
        <f t="shared" si="6"/>
        <v>73.024206633784104</v>
      </c>
      <c r="C118">
        <v>0.95425275429548018</v>
      </c>
    </row>
    <row r="119" spans="1:3" x14ac:dyDescent="0.25">
      <c r="A119">
        <v>108</v>
      </c>
      <c r="B119">
        <f t="shared" si="6"/>
        <v>28.778172884743682</v>
      </c>
      <c r="C119">
        <v>0.20880764183477279</v>
      </c>
    </row>
    <row r="120" spans="1:3" x14ac:dyDescent="0.25">
      <c r="A120">
        <v>109</v>
      </c>
      <c r="B120">
        <f t="shared" si="6"/>
        <v>68.69116363374215</v>
      </c>
      <c r="C120">
        <v>0.93288979766228219</v>
      </c>
    </row>
    <row r="121" spans="1:3" x14ac:dyDescent="0.25">
      <c r="A121">
        <v>110</v>
      </c>
      <c r="B121">
        <f t="shared" si="6"/>
        <v>9.9724318665520695</v>
      </c>
      <c r="C121">
        <v>1.8616290780358287E-3</v>
      </c>
    </row>
    <row r="122" spans="1:3" x14ac:dyDescent="0.25">
      <c r="A122">
        <v>111</v>
      </c>
      <c r="B122">
        <f t="shared" si="6"/>
        <v>38.582081220685474</v>
      </c>
      <c r="C122">
        <v>0.45768608661152987</v>
      </c>
    </row>
    <row r="123" spans="1:3" x14ac:dyDescent="0.25">
      <c r="A123">
        <v>112</v>
      </c>
      <c r="B123">
        <f t="shared" si="6"/>
        <v>38.020089094643538</v>
      </c>
      <c r="C123">
        <v>0.44309823908200324</v>
      </c>
    </row>
    <row r="124" spans="1:3" x14ac:dyDescent="0.25">
      <c r="A124">
        <v>113</v>
      </c>
      <c r="B124">
        <f t="shared" si="6"/>
        <v>64.501176684108088</v>
      </c>
      <c r="C124">
        <v>0.90432447279274886</v>
      </c>
    </row>
    <row r="125" spans="1:3" x14ac:dyDescent="0.25">
      <c r="A125">
        <v>114</v>
      </c>
      <c r="B125">
        <f t="shared" si="6"/>
        <v>34.079720612071625</v>
      </c>
      <c r="C125">
        <v>0.34000671407208471</v>
      </c>
    </row>
    <row r="126" spans="1:3" x14ac:dyDescent="0.25">
      <c r="A126">
        <v>115</v>
      </c>
      <c r="B126">
        <f t="shared" si="6"/>
        <v>59.732407916855685</v>
      </c>
      <c r="C126">
        <v>0.85973693044831689</v>
      </c>
    </row>
    <row r="127" spans="1:3" x14ac:dyDescent="0.25">
      <c r="A127">
        <v>116</v>
      </c>
      <c r="B127">
        <f t="shared" si="6"/>
        <v>38.90686512110846</v>
      </c>
      <c r="C127">
        <v>0.46607867671742914</v>
      </c>
    </row>
    <row r="128" spans="1:3" x14ac:dyDescent="0.25">
      <c r="A128">
        <v>117</v>
      </c>
      <c r="B128">
        <f t="shared" si="6"/>
        <v>49.725879040828801</v>
      </c>
      <c r="C128">
        <v>0.71236304818872642</v>
      </c>
    </row>
    <row r="129" spans="1:3" x14ac:dyDescent="0.25">
      <c r="A129">
        <v>118</v>
      </c>
      <c r="B129">
        <f t="shared" si="6"/>
        <v>43.99697912752076</v>
      </c>
      <c r="C129">
        <v>0.59160130619220552</v>
      </c>
    </row>
  </sheetData>
  <sortState xmlns:xlrd2="http://schemas.microsoft.com/office/spreadsheetml/2017/richdata2" ref="F29:F40">
    <sortCondition ref="F29"/>
  </sortState>
  <mergeCells count="7">
    <mergeCell ref="F27:L27"/>
    <mergeCell ref="O48:R48"/>
    <mergeCell ref="P43:T43"/>
    <mergeCell ref="O44:R44"/>
    <mergeCell ref="O45:R45"/>
    <mergeCell ref="O46:R46"/>
    <mergeCell ref="O47:R4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B17C-A85E-4685-93E0-1565484902CA}">
  <dimension ref="A1:BL1425"/>
  <sheetViews>
    <sheetView workbookViewId="0">
      <selection activeCell="K8" sqref="K8"/>
    </sheetView>
  </sheetViews>
  <sheetFormatPr defaultRowHeight="15" x14ac:dyDescent="0.25"/>
  <cols>
    <col min="10" max="10" width="10" bestFit="1" customWidth="1"/>
    <col min="18" max="18" width="9.140625" style="22"/>
    <col min="34" max="34" width="9.140625" style="22"/>
    <col min="50" max="50" width="9.140625" style="22"/>
  </cols>
  <sheetData>
    <row r="1" spans="1:64" x14ac:dyDescent="0.25">
      <c r="A1" s="39" t="s">
        <v>37</v>
      </c>
      <c r="B1" s="39"/>
      <c r="C1" s="39"/>
      <c r="D1" s="21" t="s">
        <v>38</v>
      </c>
      <c r="E1" s="17">
        <v>2276</v>
      </c>
    </row>
    <row r="4" spans="1:64" x14ac:dyDescent="0.25">
      <c r="A4" s="1">
        <v>1</v>
      </c>
      <c r="B4" s="40" t="s">
        <v>0</v>
      </c>
      <c r="C4" s="40"/>
      <c r="D4" s="40"/>
      <c r="H4" s="1">
        <v>3</v>
      </c>
      <c r="I4" s="40"/>
      <c r="J4" s="40"/>
      <c r="K4" s="40"/>
      <c r="S4" s="1">
        <v>1</v>
      </c>
      <c r="T4" s="40" t="s">
        <v>0</v>
      </c>
      <c r="U4" s="40"/>
      <c r="V4" s="40"/>
      <c r="Z4" s="1">
        <v>3</v>
      </c>
      <c r="AA4" s="40"/>
      <c r="AB4" s="40"/>
      <c r="AC4" s="40"/>
      <c r="AI4" s="1">
        <v>1</v>
      </c>
      <c r="AJ4" s="40" t="s">
        <v>0</v>
      </c>
      <c r="AK4" s="40"/>
      <c r="AL4" s="40"/>
      <c r="AO4" s="1">
        <v>3</v>
      </c>
      <c r="AP4" s="40"/>
      <c r="AQ4" s="40"/>
      <c r="AR4" s="40"/>
      <c r="AY4" s="1">
        <v>1</v>
      </c>
      <c r="AZ4" s="40" t="s">
        <v>0</v>
      </c>
      <c r="BA4" s="40"/>
      <c r="BB4" s="40"/>
      <c r="BF4" s="1">
        <v>3</v>
      </c>
      <c r="BG4" s="40"/>
      <c r="BH4" s="40"/>
      <c r="BI4" s="40"/>
    </row>
    <row r="5" spans="1:64" x14ac:dyDescent="0.25">
      <c r="A5" s="46" t="s">
        <v>39</v>
      </c>
      <c r="B5" s="46"/>
      <c r="C5" s="46"/>
      <c r="D5" s="7">
        <v>3.39259010589923</v>
      </c>
      <c r="E5" s="23" t="s">
        <v>40</v>
      </c>
      <c r="H5" s="45" t="s">
        <v>21</v>
      </c>
      <c r="I5" s="45"/>
      <c r="J5" s="24">
        <f>MIN(C12:C152)</f>
        <v>0.16692467504551231</v>
      </c>
      <c r="K5" s="25"/>
      <c r="S5" s="46" t="s">
        <v>39</v>
      </c>
      <c r="T5" s="46"/>
      <c r="U5" s="46"/>
      <c r="V5" s="7">
        <v>3.3925901058992278</v>
      </c>
      <c r="W5" s="23" t="s">
        <v>40</v>
      </c>
      <c r="Z5" s="45" t="s">
        <v>21</v>
      </c>
      <c r="AA5" s="45"/>
      <c r="AB5" s="24">
        <f>MIN(U12:U1425)</f>
        <v>2.8799220027676622E-2</v>
      </c>
      <c r="AC5" s="25"/>
      <c r="AI5" s="46" t="s">
        <v>39</v>
      </c>
      <c r="AJ5" s="46"/>
      <c r="AK5" s="46"/>
      <c r="AL5" s="7">
        <v>3.3925901058992278</v>
      </c>
      <c r="AM5" s="23"/>
      <c r="AO5" s="45" t="s">
        <v>21</v>
      </c>
      <c r="AP5" s="45"/>
      <c r="AQ5" s="24">
        <f>MIN(AK12:AK1425)</f>
        <v>1.7687146209676048E-2</v>
      </c>
      <c r="AR5" s="25"/>
      <c r="AY5" s="46" t="s">
        <v>39</v>
      </c>
      <c r="AZ5" s="46"/>
      <c r="BA5" s="46"/>
      <c r="BB5" s="7">
        <v>1</v>
      </c>
      <c r="BC5" s="23" t="s">
        <v>41</v>
      </c>
      <c r="BF5" s="45" t="s">
        <v>21</v>
      </c>
      <c r="BG5" s="45"/>
      <c r="BH5" s="24">
        <f>MIN(BA12:BA1425)</f>
        <v>1.9531846064638212E-3</v>
      </c>
      <c r="BI5" s="25"/>
    </row>
    <row r="6" spans="1:64" x14ac:dyDescent="0.25">
      <c r="A6" s="46" t="s">
        <v>42</v>
      </c>
      <c r="B6" s="46"/>
      <c r="C6" s="46"/>
      <c r="D6" s="7">
        <f>D5</f>
        <v>3.39259010589923</v>
      </c>
      <c r="E6" s="26" t="s">
        <v>43</v>
      </c>
      <c r="H6" s="45" t="s">
        <v>22</v>
      </c>
      <c r="I6" s="45"/>
      <c r="J6" s="24">
        <f>MAX(C12:C152)</f>
        <v>0.87122748219581958</v>
      </c>
      <c r="K6" s="25"/>
      <c r="S6" s="46" t="s">
        <v>42</v>
      </c>
      <c r="T6" s="46"/>
      <c r="U6" s="46"/>
      <c r="V6" s="7">
        <f>V5</f>
        <v>3.3925901058992278</v>
      </c>
      <c r="W6" s="26" t="s">
        <v>43</v>
      </c>
      <c r="Z6" s="45" t="s">
        <v>22</v>
      </c>
      <c r="AA6" s="45"/>
      <c r="AB6" s="24">
        <f>MAX(U12:U1425)</f>
        <v>0.95523180851121015</v>
      </c>
      <c r="AC6" s="25"/>
      <c r="AI6" s="46" t="s">
        <v>42</v>
      </c>
      <c r="AJ6" s="46"/>
      <c r="AK6" s="46"/>
      <c r="AL6" s="7">
        <f>ROUND(AL5,0)*4</f>
        <v>12</v>
      </c>
      <c r="AM6" s="26" t="s">
        <v>44</v>
      </c>
      <c r="AO6" s="45" t="s">
        <v>22</v>
      </c>
      <c r="AP6" s="45"/>
      <c r="AQ6" s="24">
        <f>MAX(AK12:AK1425)</f>
        <v>0.54518216218464921</v>
      </c>
      <c r="AR6" s="25"/>
      <c r="AY6" s="46" t="s">
        <v>42</v>
      </c>
      <c r="AZ6" s="46"/>
      <c r="BA6" s="46"/>
      <c r="BB6" s="7">
        <f>1</f>
        <v>1</v>
      </c>
      <c r="BC6" s="26" t="s">
        <v>45</v>
      </c>
      <c r="BF6" s="45" t="s">
        <v>22</v>
      </c>
      <c r="BG6" s="45"/>
      <c r="BH6" s="24">
        <f>MAX(BA12:BA1425)</f>
        <v>0.99957274086733605</v>
      </c>
      <c r="BI6" s="25"/>
    </row>
    <row r="7" spans="1:64" x14ac:dyDescent="0.25">
      <c r="A7" s="27"/>
      <c r="B7" s="27"/>
      <c r="C7" s="27"/>
      <c r="D7" s="7"/>
      <c r="E7" s="25"/>
      <c r="H7" s="45" t="s">
        <v>46</v>
      </c>
      <c r="I7" s="45"/>
      <c r="J7" s="24">
        <f>(J6 - J5)/J8</f>
        <v>5.0307343367879086E-2</v>
      </c>
      <c r="S7" s="27"/>
      <c r="T7" s="27"/>
      <c r="U7" s="27"/>
      <c r="V7" s="7"/>
      <c r="W7" s="25"/>
      <c r="Z7" s="45" t="s">
        <v>46</v>
      </c>
      <c r="AA7" s="45"/>
      <c r="AB7" s="24">
        <f>(AB6 - AB5)/AB8</f>
        <v>6.1762172565568901E-2</v>
      </c>
      <c r="AO7" s="45" t="s">
        <v>46</v>
      </c>
      <c r="AP7" s="45"/>
      <c r="AQ7" s="24">
        <f>(AQ6 - AQ5)/AQ8</f>
        <v>3.5166334398331542E-2</v>
      </c>
      <c r="BF7" s="45" t="s">
        <v>46</v>
      </c>
      <c r="BG7" s="45"/>
      <c r="BH7" s="24">
        <f>(BH6 - BH5)/BH8</f>
        <v>6.2351222266304511E-2</v>
      </c>
    </row>
    <row r="8" spans="1:64" x14ac:dyDescent="0.25">
      <c r="H8" s="45" t="s">
        <v>47</v>
      </c>
      <c r="I8" s="45"/>
      <c r="J8" s="28">
        <v>14</v>
      </c>
      <c r="K8" s="29"/>
      <c r="Z8" s="45" t="s">
        <v>47</v>
      </c>
      <c r="AA8" s="45"/>
      <c r="AB8" s="28">
        <v>15</v>
      </c>
      <c r="AC8" s="29"/>
      <c r="AO8" s="45" t="s">
        <v>47</v>
      </c>
      <c r="AP8" s="45"/>
      <c r="AQ8" s="28">
        <v>15</v>
      </c>
      <c r="AR8" s="29"/>
      <c r="BF8" s="45" t="s">
        <v>47</v>
      </c>
      <c r="BG8" s="45"/>
      <c r="BH8" s="28">
        <v>16</v>
      </c>
      <c r="BI8" s="29"/>
    </row>
    <row r="9" spans="1:64" x14ac:dyDescent="0.25">
      <c r="H9" s="45" t="s">
        <v>48</v>
      </c>
      <c r="I9" s="45"/>
      <c r="J9" s="8">
        <v>104.92568742942601</v>
      </c>
      <c r="K9" s="25" t="s">
        <v>49</v>
      </c>
      <c r="Z9" s="45" t="s">
        <v>48</v>
      </c>
      <c r="AA9" s="45"/>
      <c r="AB9" s="37">
        <f>ROUND(J9,0)*10</f>
        <v>1050</v>
      </c>
      <c r="AC9" s="25"/>
      <c r="AO9" s="45" t="s">
        <v>48</v>
      </c>
      <c r="AP9" s="45"/>
      <c r="AQ9" s="37">
        <f>AB9</f>
        <v>1050</v>
      </c>
      <c r="AR9" s="25"/>
      <c r="BF9" s="45" t="s">
        <v>48</v>
      </c>
      <c r="BG9" s="45"/>
      <c r="BH9" s="37">
        <f>AQ9</f>
        <v>1050</v>
      </c>
      <c r="BI9" s="25"/>
    </row>
    <row r="10" spans="1:64" x14ac:dyDescent="0.25">
      <c r="A10" s="1">
        <v>2</v>
      </c>
      <c r="B10" s="40" t="s">
        <v>1</v>
      </c>
      <c r="C10" s="40"/>
      <c r="S10" s="1">
        <v>2</v>
      </c>
      <c r="T10" s="40" t="s">
        <v>1</v>
      </c>
      <c r="U10" s="40"/>
      <c r="AI10" s="1">
        <v>2</v>
      </c>
      <c r="AJ10" s="40" t="s">
        <v>1</v>
      </c>
      <c r="AK10" s="40"/>
      <c r="AY10" s="1">
        <v>2</v>
      </c>
      <c r="AZ10" s="40" t="s">
        <v>1</v>
      </c>
      <c r="BA10" s="40"/>
    </row>
    <row r="11" spans="1:64" x14ac:dyDescent="0.25">
      <c r="A11" s="30" t="s">
        <v>2</v>
      </c>
      <c r="B11" s="30" t="s">
        <v>50</v>
      </c>
      <c r="C11" s="30" t="s">
        <v>3</v>
      </c>
      <c r="S11" s="31" t="s">
        <v>2</v>
      </c>
      <c r="T11" s="31" t="s">
        <v>50</v>
      </c>
      <c r="U11" s="31" t="s">
        <v>3</v>
      </c>
      <c r="AI11" s="31" t="s">
        <v>2</v>
      </c>
      <c r="AJ11" s="31" t="s">
        <v>50</v>
      </c>
      <c r="AK11" s="31" t="s">
        <v>3</v>
      </c>
      <c r="AY11" s="31" t="s">
        <v>2</v>
      </c>
      <c r="AZ11" s="31" t="s">
        <v>50</v>
      </c>
      <c r="BA11" s="31" t="s">
        <v>3</v>
      </c>
    </row>
    <row r="12" spans="1:64" x14ac:dyDescent="0.25">
      <c r="A12" s="32">
        <v>0</v>
      </c>
      <c r="B12">
        <v>0.88381603442487866</v>
      </c>
      <c r="C12" s="32">
        <f>_xlfn.BETA.INV(B12,$D$5,$D$6,0,1)</f>
        <v>0.72483128545416098</v>
      </c>
      <c r="S12" s="28">
        <v>0</v>
      </c>
      <c r="T12">
        <v>0.62395092623676263</v>
      </c>
      <c r="U12" s="28">
        <f>_xlfn.BETA.INV(T12,$V$5,$V$6,0,1)</f>
        <v>0.5626484044099116</v>
      </c>
      <c r="AI12" s="28">
        <v>0</v>
      </c>
      <c r="AJ12">
        <v>0.21842097231971191</v>
      </c>
      <c r="AK12" s="28">
        <f>_xlfn.BETA.INV(AJ12,$AL$5,$AL$6,0,1)</f>
        <v>0.13511203708338085</v>
      </c>
      <c r="AY12" s="28">
        <v>0</v>
      </c>
      <c r="AZ12">
        <v>0.64827417828913236</v>
      </c>
      <c r="BA12" s="28">
        <f>_xlfn.BETA.INV(AZ12,$BB$5,$BB$6,0,1)</f>
        <v>0.64827417828913236</v>
      </c>
    </row>
    <row r="13" spans="1:64" ht="15.75" thickBot="1" x14ac:dyDescent="0.3">
      <c r="A13" s="32">
        <f>A12+0.01</f>
        <v>0.01</v>
      </c>
      <c r="B13">
        <v>0.44590594195379496</v>
      </c>
      <c r="C13" s="32">
        <f t="shared" ref="C13:C76" si="0">_xlfn.BETA.INV(B13,$D$5,$D$6,0,1)</f>
        <v>0.47293621106592171</v>
      </c>
      <c r="G13" s="1">
        <v>4</v>
      </c>
      <c r="H13" s="40" t="s">
        <v>51</v>
      </c>
      <c r="I13" s="40"/>
      <c r="J13" s="40"/>
      <c r="K13" s="40"/>
      <c r="L13" s="40"/>
      <c r="M13" s="43"/>
      <c r="N13" s="43"/>
      <c r="O13" s="43"/>
      <c r="S13" s="28">
        <f>S12+0.001</f>
        <v>1E-3</v>
      </c>
      <c r="T13">
        <v>0.43205053865169224</v>
      </c>
      <c r="U13" s="28">
        <f t="shared" ref="U13:U76" si="1">_xlfn.BETA.INV(T13,$V$5,$V$6,0,1)</f>
        <v>0.46595794724165657</v>
      </c>
      <c r="X13" s="1">
        <v>4</v>
      </c>
      <c r="Y13" s="40" t="s">
        <v>51</v>
      </c>
      <c r="Z13" s="40"/>
      <c r="AA13" s="40"/>
      <c r="AB13" s="40"/>
      <c r="AC13" s="40"/>
      <c r="AD13" s="43"/>
      <c r="AE13" s="43"/>
      <c r="AF13" s="43"/>
      <c r="AI13" s="28">
        <f>AI12+0.001</f>
        <v>1E-3</v>
      </c>
      <c r="AJ13">
        <v>0.53300576799829091</v>
      </c>
      <c r="AK13" s="28">
        <f t="shared" ref="AK13:AK76" si="2">_xlfn.BETA.INV(AJ13,$AL$5,$AL$6,0,1)</f>
        <v>0.21685980453215403</v>
      </c>
      <c r="AN13" s="1">
        <v>4</v>
      </c>
      <c r="AO13" s="40" t="s">
        <v>51</v>
      </c>
      <c r="AP13" s="40"/>
      <c r="AQ13" s="40"/>
      <c r="AR13" s="40"/>
      <c r="AS13" s="40"/>
      <c r="AT13" s="43"/>
      <c r="AU13" s="43"/>
      <c r="AV13" s="43"/>
      <c r="AY13" s="28">
        <f>AY12+0.001</f>
        <v>1E-3</v>
      </c>
      <c r="AZ13">
        <v>0.66585283974730669</v>
      </c>
      <c r="BA13" s="28">
        <f t="shared" ref="BA13:BA76" si="3">_xlfn.BETA.INV(AZ13,$BB$5,$BB$6,0,1)</f>
        <v>0.66585283974730669</v>
      </c>
      <c r="BD13" s="1">
        <v>4</v>
      </c>
      <c r="BE13" s="40" t="s">
        <v>51</v>
      </c>
      <c r="BF13" s="40"/>
      <c r="BG13" s="40"/>
      <c r="BH13" s="40"/>
      <c r="BI13" s="40"/>
      <c r="BJ13" s="43"/>
      <c r="BK13" s="43"/>
      <c r="BL13" s="43"/>
    </row>
    <row r="14" spans="1:64" x14ac:dyDescent="0.25">
      <c r="A14" s="32">
        <f t="shared" ref="A14:A77" si="4">A13+0.01</f>
        <v>0.02</v>
      </c>
      <c r="B14">
        <v>0.33616138187810907</v>
      </c>
      <c r="C14" s="32">
        <f t="shared" si="0"/>
        <v>0.41637755115788172</v>
      </c>
      <c r="G14" s="31" t="s">
        <v>5</v>
      </c>
      <c r="H14" s="14" t="s">
        <v>6</v>
      </c>
      <c r="I14" s="14" t="s">
        <v>7</v>
      </c>
      <c r="K14" s="44" t="s">
        <v>52</v>
      </c>
      <c r="L14" s="44"/>
      <c r="M14" s="33" t="s">
        <v>10</v>
      </c>
      <c r="N14" s="28" t="s">
        <v>11</v>
      </c>
      <c r="O14" s="34" t="s">
        <v>53</v>
      </c>
      <c r="S14" s="28">
        <f t="shared" ref="S14:S77" si="5">S13+0.001</f>
        <v>2E-3</v>
      </c>
      <c r="T14">
        <v>0.91140476699118012</v>
      </c>
      <c r="U14" s="28">
        <f t="shared" si="1"/>
        <v>0.75022814778496094</v>
      </c>
      <c r="X14" s="31" t="s">
        <v>5</v>
      </c>
      <c r="Y14" s="14" t="s">
        <v>6</v>
      </c>
      <c r="Z14" s="14" t="s">
        <v>7</v>
      </c>
      <c r="AB14" s="44" t="s">
        <v>52</v>
      </c>
      <c r="AC14" s="44"/>
      <c r="AD14" s="33" t="s">
        <v>10</v>
      </c>
      <c r="AE14" s="28" t="s">
        <v>11</v>
      </c>
      <c r="AF14" s="34" t="s">
        <v>53</v>
      </c>
      <c r="AI14" s="28">
        <f t="shared" ref="AI14:AI77" si="6">AI13+0.001</f>
        <v>2E-3</v>
      </c>
      <c r="AJ14">
        <v>0.56022827845088041</v>
      </c>
      <c r="AK14" s="28">
        <f t="shared" si="2"/>
        <v>0.22426418068298215</v>
      </c>
      <c r="AN14" s="31" t="s">
        <v>5</v>
      </c>
      <c r="AO14" s="14" t="s">
        <v>6</v>
      </c>
      <c r="AP14" s="14" t="s">
        <v>7</v>
      </c>
      <c r="AR14" s="44" t="s">
        <v>52</v>
      </c>
      <c r="AS14" s="44"/>
      <c r="AT14" s="33" t="s">
        <v>10</v>
      </c>
      <c r="AU14" s="28" t="s">
        <v>11</v>
      </c>
      <c r="AV14" s="34" t="s">
        <v>53</v>
      </c>
      <c r="AY14" s="28">
        <f t="shared" ref="AY14:AY77" si="7">AY13+0.001</f>
        <v>2E-3</v>
      </c>
      <c r="AZ14">
        <v>0.88485366374706265</v>
      </c>
      <c r="BA14" s="28">
        <f t="shared" si="3"/>
        <v>0.88485366374706265</v>
      </c>
      <c r="BD14" s="31" t="s">
        <v>5</v>
      </c>
      <c r="BE14" s="14" t="s">
        <v>6</v>
      </c>
      <c r="BF14" s="14" t="s">
        <v>7</v>
      </c>
      <c r="BH14" s="44" t="s">
        <v>52</v>
      </c>
      <c r="BI14" s="44"/>
      <c r="BJ14" s="33" t="s">
        <v>10</v>
      </c>
      <c r="BK14" s="28" t="s">
        <v>11</v>
      </c>
      <c r="BL14" s="34" t="s">
        <v>53</v>
      </c>
    </row>
    <row r="15" spans="1:64" x14ac:dyDescent="0.25">
      <c r="A15" s="32">
        <f t="shared" si="4"/>
        <v>0.03</v>
      </c>
      <c r="B15">
        <v>0.37269203772087772</v>
      </c>
      <c r="C15" s="32">
        <f t="shared" si="0"/>
        <v>0.43560943619205172</v>
      </c>
      <c r="G15" s="24">
        <f>J5</f>
        <v>0.16692467504551231</v>
      </c>
      <c r="H15" s="47">
        <v>0.16692467504551231</v>
      </c>
      <c r="I15" s="12">
        <v>1</v>
      </c>
      <c r="K15" s="42">
        <f>I15 / 141</f>
        <v>7.0921985815602835E-3</v>
      </c>
      <c r="L15" s="42"/>
      <c r="M15" s="32">
        <f>_xlfn.BETA.DIST(H15,$D$5,$D$6,FALSE)</f>
        <v>0.49237814228724452</v>
      </c>
      <c r="N15" s="32">
        <f>K15</f>
        <v>7.0921985815602835E-3</v>
      </c>
      <c r="O15" s="32">
        <f>M15 /$M$31</f>
        <v>2.5314716718738809E-2</v>
      </c>
      <c r="S15" s="28">
        <f t="shared" si="5"/>
        <v>3.0000000000000001E-3</v>
      </c>
      <c r="T15">
        <v>0.58610797448652607</v>
      </c>
      <c r="U15" s="28">
        <f t="shared" si="1"/>
        <v>0.54323717902197499</v>
      </c>
      <c r="X15" s="24">
        <f>AB5</f>
        <v>2.8799220027676622E-2</v>
      </c>
      <c r="Y15" s="47">
        <v>2.8799220027676622E-2</v>
      </c>
      <c r="Z15" s="12">
        <v>1</v>
      </c>
      <c r="AB15" s="42">
        <f>Z15 / 1414</f>
        <v>7.0721357850070724E-4</v>
      </c>
      <c r="AC15" s="42"/>
      <c r="AD15" s="32">
        <f>_xlfn.BETA.DIST(Y15,$D$5,$D$6,FALSE)</f>
        <v>1.0612646999186301E-2</v>
      </c>
      <c r="AE15" s="32">
        <f>AB15</f>
        <v>7.0721357850070724E-4</v>
      </c>
      <c r="AF15" s="32">
        <f>AD15 /$AD$32</f>
        <v>6.5545771626515615E-4</v>
      </c>
      <c r="AI15" s="28">
        <f t="shared" si="6"/>
        <v>3.0000000000000001E-3</v>
      </c>
      <c r="AJ15">
        <v>0.4694051942503128</v>
      </c>
      <c r="AK15" s="28">
        <f t="shared" si="2"/>
        <v>0.20013444778921677</v>
      </c>
      <c r="AN15" s="24">
        <f>AQ5</f>
        <v>1.7687146209676048E-2</v>
      </c>
      <c r="AO15" s="47">
        <v>1.7687146209676048E-2</v>
      </c>
      <c r="AP15" s="12">
        <v>1</v>
      </c>
      <c r="AR15" s="42">
        <f>AP15 / 1414</f>
        <v>7.0721357850070724E-4</v>
      </c>
      <c r="AS15" s="42"/>
      <c r="AT15" s="32">
        <f>_xlfn.BETA.DIST(AO15,$AL$5,$AL$6,FALSE)</f>
        <v>0.1118592557366829</v>
      </c>
      <c r="AU15" s="32">
        <f>AR15</f>
        <v>7.0721357850070724E-4</v>
      </c>
      <c r="AV15" s="32">
        <f>AT15 /$AT$32</f>
        <v>3.9437431283252363E-3</v>
      </c>
      <c r="AY15" s="28">
        <f t="shared" si="7"/>
        <v>3.0000000000000001E-3</v>
      </c>
      <c r="AZ15">
        <v>0.35563219092379528</v>
      </c>
      <c r="BA15" s="28">
        <f t="shared" si="3"/>
        <v>0.35563219092379528</v>
      </c>
      <c r="BD15" s="24">
        <f>BH5</f>
        <v>1.9531846064638212E-3</v>
      </c>
      <c r="BE15" s="47">
        <v>1.9531846064638212E-3</v>
      </c>
      <c r="BF15" s="12">
        <v>1</v>
      </c>
      <c r="BH15" s="42">
        <f>BF15 / 1414</f>
        <v>7.0721357850070724E-4</v>
      </c>
      <c r="BI15" s="42"/>
      <c r="BJ15" s="32">
        <f>_xlfn.BETA.DIST(BE15,$BB$5,$BB$6,FALSE)</f>
        <v>1</v>
      </c>
      <c r="BK15" s="32">
        <f>BH15</f>
        <v>7.0721357850070724E-4</v>
      </c>
      <c r="BL15" s="32">
        <f>BJ15 /$BJ$32</f>
        <v>5.8823529411764705E-2</v>
      </c>
    </row>
    <row r="16" spans="1:64" x14ac:dyDescent="0.25">
      <c r="A16" s="32">
        <f t="shared" si="4"/>
        <v>0.04</v>
      </c>
      <c r="B16">
        <v>0.33014923551133762</v>
      </c>
      <c r="C16" s="32">
        <f t="shared" si="0"/>
        <v>0.41315723221471995</v>
      </c>
      <c r="G16" s="24">
        <f>G15+$J$7</f>
        <v>0.2172320184133914</v>
      </c>
      <c r="H16" s="47">
        <v>0.2172320184133914</v>
      </c>
      <c r="I16" s="12">
        <v>2</v>
      </c>
      <c r="K16" s="42">
        <f t="shared" ref="K16:K27" si="8">I16 / 141</f>
        <v>1.4184397163120567E-2</v>
      </c>
      <c r="L16" s="42"/>
      <c r="M16" s="32">
        <f t="shared" ref="M16:M29" si="9">_xlfn.BETA.DIST(H16,$D$5,$D$6,FALSE)</f>
        <v>0.79670306355543363</v>
      </c>
      <c r="N16" s="32">
        <f>N15+K16</f>
        <v>2.1276595744680851E-2</v>
      </c>
      <c r="O16" s="32">
        <f>M16 /$M$31</f>
        <v>4.0961022902375986E-2</v>
      </c>
      <c r="S16" s="28">
        <f t="shared" si="5"/>
        <v>4.0000000000000001E-3</v>
      </c>
      <c r="T16">
        <v>0.25260170293282874</v>
      </c>
      <c r="U16" s="28">
        <f t="shared" si="1"/>
        <v>0.36964637553551627</v>
      </c>
      <c r="X16" s="24">
        <f>X15+$AB$7</f>
        <v>9.0561392593245527E-2</v>
      </c>
      <c r="Y16" s="47">
        <v>9.0561392593245527E-2</v>
      </c>
      <c r="Z16" s="12">
        <v>2</v>
      </c>
      <c r="AB16" s="42">
        <f t="shared" ref="AB16:AB27" si="10">Z16 / 1414</f>
        <v>1.4144271570014145E-3</v>
      </c>
      <c r="AC16" s="42"/>
      <c r="AD16" s="32">
        <f t="shared" ref="AD16:AD30" si="11">_xlfn.BETA.DIST(Y16,$D$5,$D$6,FALSE)</f>
        <v>0.14060877806552996</v>
      </c>
      <c r="AE16" s="32">
        <f>AE15+AB16</f>
        <v>2.1216407355021216E-3</v>
      </c>
      <c r="AF16" s="32">
        <f>AD16 /$AD$32</f>
        <v>8.6842715643639917E-3</v>
      </c>
      <c r="AI16" s="28">
        <f t="shared" si="6"/>
        <v>4.0000000000000001E-3</v>
      </c>
      <c r="AJ16">
        <v>0.55790887173070469</v>
      </c>
      <c r="AK16" s="28">
        <f t="shared" si="2"/>
        <v>0.22362614517876045</v>
      </c>
      <c r="AN16" s="24">
        <f>AN15+$AQ$7</f>
        <v>5.285348060800759E-2</v>
      </c>
      <c r="AO16" s="47">
        <v>5.285348060800759E-2</v>
      </c>
      <c r="AP16" s="12">
        <v>14</v>
      </c>
      <c r="AR16" s="42">
        <f t="shared" ref="AR16:AR27" si="12">AP16 / 1414</f>
        <v>9.9009900990099011E-3</v>
      </c>
      <c r="AS16" s="42"/>
      <c r="AT16" s="32">
        <f t="shared" ref="AT16:AT30" si="13">_xlfn.BETA.DIST(AO16,$AL$5,$AL$6,FALSE)</f>
        <v>1.0279876006678335</v>
      </c>
      <c r="AU16" s="32">
        <f>AU15+AR16</f>
        <v>1.0608203677510608E-2</v>
      </c>
      <c r="AV16" s="32">
        <f>AT16 /$AT$32</f>
        <v>3.6243036031642528E-2</v>
      </c>
      <c r="AY16" s="28">
        <f t="shared" si="7"/>
        <v>4.0000000000000001E-3</v>
      </c>
      <c r="AZ16">
        <v>0.23114719077120274</v>
      </c>
      <c r="BA16" s="28">
        <f t="shared" si="3"/>
        <v>0.23114719077120274</v>
      </c>
      <c r="BD16" s="24">
        <f>BD15+$BH$7</f>
        <v>6.4304406872768338E-2</v>
      </c>
      <c r="BE16" s="47">
        <v>6.4304406872768338E-2</v>
      </c>
      <c r="BF16" s="12">
        <v>58</v>
      </c>
      <c r="BH16" s="42">
        <f t="shared" ref="BH16:BH27" si="14">BF16 / 1414</f>
        <v>4.1018387553041019E-2</v>
      </c>
      <c r="BI16" s="42"/>
      <c r="BJ16" s="32">
        <f t="shared" ref="BJ16:BJ31" si="15">_xlfn.BETA.DIST(BE16,$BB$5,$BB$6,FALSE)</f>
        <v>1</v>
      </c>
      <c r="BK16" s="32">
        <f>BK15+BH16</f>
        <v>4.1725601131541723E-2</v>
      </c>
      <c r="BL16" s="32">
        <f>BJ16 /$BJ$32</f>
        <v>5.8823529411764705E-2</v>
      </c>
    </row>
    <row r="17" spans="1:64" x14ac:dyDescent="0.25">
      <c r="A17" s="32">
        <f t="shared" si="4"/>
        <v>0.05</v>
      </c>
      <c r="B17">
        <v>0.18955046235541856</v>
      </c>
      <c r="C17" s="32">
        <f t="shared" si="0"/>
        <v>0.33015706479029577</v>
      </c>
      <c r="G17" s="24">
        <f t="shared" ref="G17:G29" si="16">G16+$J$7</f>
        <v>0.26753936178127047</v>
      </c>
      <c r="H17" s="47">
        <v>0.26753936178127047</v>
      </c>
      <c r="I17" s="12">
        <v>9</v>
      </c>
      <c r="K17" s="42">
        <f t="shared" si="8"/>
        <v>6.3829787234042548E-2</v>
      </c>
      <c r="L17" s="42"/>
      <c r="M17" s="32">
        <f t="shared" si="9"/>
        <v>1.1187064333513976</v>
      </c>
      <c r="N17" s="32">
        <f t="shared" ref="N17:N29" si="17">N16+K17</f>
        <v>8.5106382978723402E-2</v>
      </c>
      <c r="O17" s="32">
        <f>M17 /$M$31</f>
        <v>5.7516234006992267E-2</v>
      </c>
      <c r="S17" s="28">
        <f t="shared" si="5"/>
        <v>5.0000000000000001E-3</v>
      </c>
      <c r="T17">
        <v>0.59465315713980527</v>
      </c>
      <c r="U17" s="28">
        <f t="shared" si="1"/>
        <v>0.54758788084344656</v>
      </c>
      <c r="X17" s="24">
        <f t="shared" ref="X17:X30" si="18">X16+$AB$7</f>
        <v>0.15232356515881443</v>
      </c>
      <c r="Y17" s="47">
        <v>0.15232356515881443</v>
      </c>
      <c r="Z17" s="12">
        <v>21</v>
      </c>
      <c r="AB17" s="42">
        <f t="shared" si="10"/>
        <v>1.4851485148514851E-2</v>
      </c>
      <c r="AC17" s="42"/>
      <c r="AD17" s="32">
        <f t="shared" si="11"/>
        <v>0.41232452667703318</v>
      </c>
      <c r="AE17" s="32">
        <f t="shared" ref="AE17:AE30" si="19">AE16+AB17</f>
        <v>1.6973125884016973E-2</v>
      </c>
      <c r="AF17" s="32">
        <f>AD17 /$AD$32</f>
        <v>2.546596458325253E-2</v>
      </c>
      <c r="AI17" s="28">
        <f t="shared" si="6"/>
        <v>5.0000000000000001E-3</v>
      </c>
      <c r="AJ17">
        <v>0.97869808038575401</v>
      </c>
      <c r="AK17" s="28">
        <f t="shared" si="2"/>
        <v>0.459347451173442</v>
      </c>
      <c r="AN17" s="24">
        <f t="shared" ref="AN17:AN30" si="20">AN16+$AQ$7</f>
        <v>8.8019815006339125E-2</v>
      </c>
      <c r="AO17" s="47">
        <v>8.8019815006339125E-2</v>
      </c>
      <c r="AP17" s="12">
        <v>72</v>
      </c>
      <c r="AR17" s="42">
        <f t="shared" si="12"/>
        <v>5.0919377652050922E-2</v>
      </c>
      <c r="AS17" s="42"/>
      <c r="AT17" s="32">
        <f t="shared" si="13"/>
        <v>2.2972781225828909</v>
      </c>
      <c r="AU17" s="32">
        <f t="shared" ref="AU17:AU30" si="21">AU16+AR17</f>
        <v>6.1527581329561529E-2</v>
      </c>
      <c r="AV17" s="32">
        <f>AT17 /$AT$32</f>
        <v>8.0993519491271718E-2</v>
      </c>
      <c r="AY17" s="28">
        <f t="shared" si="7"/>
        <v>5.0000000000000001E-3</v>
      </c>
      <c r="AZ17">
        <v>0.22675252540665913</v>
      </c>
      <c r="BA17" s="28">
        <f t="shared" si="3"/>
        <v>0.22675252540665913</v>
      </c>
      <c r="BD17" s="24">
        <f t="shared" ref="BD17:BD31" si="22">BD16+$BH$7</f>
        <v>0.12665562913907286</v>
      </c>
      <c r="BE17" s="47">
        <v>0.12665562913907286</v>
      </c>
      <c r="BF17" s="12">
        <v>83</v>
      </c>
      <c r="BH17" s="42">
        <f t="shared" si="14"/>
        <v>5.8698727015558699E-2</v>
      </c>
      <c r="BI17" s="42"/>
      <c r="BJ17" s="32">
        <f t="shared" si="15"/>
        <v>1</v>
      </c>
      <c r="BK17" s="32">
        <f t="shared" ref="BK17:BK31" si="23">BK16+BH17</f>
        <v>0.10042432814710042</v>
      </c>
      <c r="BL17" s="32">
        <f>BJ17 /$BJ$32</f>
        <v>5.8823529411764705E-2</v>
      </c>
    </row>
    <row r="18" spans="1:64" x14ac:dyDescent="0.25">
      <c r="A18" s="32">
        <f t="shared" si="4"/>
        <v>6.0000000000000005E-2</v>
      </c>
      <c r="B18">
        <v>0.11676381725516526</v>
      </c>
      <c r="C18" s="32">
        <f t="shared" si="0"/>
        <v>0.27566494478864456</v>
      </c>
      <c r="G18" s="24">
        <f t="shared" si="16"/>
        <v>0.31784670514914953</v>
      </c>
      <c r="H18" s="47">
        <v>0.31784670514914953</v>
      </c>
      <c r="I18" s="12">
        <v>6</v>
      </c>
      <c r="K18" s="42">
        <f t="shared" si="8"/>
        <v>4.2553191489361701E-2</v>
      </c>
      <c r="L18" s="42"/>
      <c r="M18" s="32">
        <f t="shared" si="9"/>
        <v>1.4250075230511288</v>
      </c>
      <c r="N18" s="32">
        <f t="shared" si="17"/>
        <v>0.1276595744680851</v>
      </c>
      <c r="O18" s="32">
        <f>M18 /$M$31</f>
        <v>7.3264141256429424E-2</v>
      </c>
      <c r="S18" s="28">
        <f t="shared" si="5"/>
        <v>6.0000000000000001E-3</v>
      </c>
      <c r="T18">
        <v>0.80327768791772214</v>
      </c>
      <c r="U18" s="28">
        <f t="shared" si="1"/>
        <v>0.66508417286020638</v>
      </c>
      <c r="X18" s="24">
        <f t="shared" si="18"/>
        <v>0.21408573772438333</v>
      </c>
      <c r="Y18" s="47">
        <v>0.21408573772438333</v>
      </c>
      <c r="Z18" s="12">
        <v>36</v>
      </c>
      <c r="AB18" s="42">
        <f t="shared" si="10"/>
        <v>2.5459688826025461E-2</v>
      </c>
      <c r="AC18" s="42"/>
      <c r="AD18" s="32">
        <f t="shared" si="11"/>
        <v>0.77679239560307722</v>
      </c>
      <c r="AE18" s="32">
        <f t="shared" si="19"/>
        <v>4.2432814710042434E-2</v>
      </c>
      <c r="AF18" s="32">
        <f>AD18 /$AD$32</f>
        <v>4.7976208920655787E-2</v>
      </c>
      <c r="AI18" s="28">
        <f t="shared" si="6"/>
        <v>6.0000000000000001E-3</v>
      </c>
      <c r="AJ18">
        <v>0.75463118381298255</v>
      </c>
      <c r="AK18" s="28">
        <f t="shared" si="2"/>
        <v>0.28600522839558062</v>
      </c>
      <c r="AN18" s="24">
        <f t="shared" si="20"/>
        <v>0.12318614940467067</v>
      </c>
      <c r="AO18" s="47">
        <v>0.12318614940467067</v>
      </c>
      <c r="AP18" s="12">
        <v>104</v>
      </c>
      <c r="AR18" s="42">
        <f t="shared" si="12"/>
        <v>7.355021216407355E-2</v>
      </c>
      <c r="AS18" s="42"/>
      <c r="AT18" s="32">
        <f t="shared" si="13"/>
        <v>3.3314192422263513</v>
      </c>
      <c r="AU18" s="32">
        <f t="shared" si="21"/>
        <v>0.13507779349363508</v>
      </c>
      <c r="AV18" s="32">
        <f>AT18 /$AT$32</f>
        <v>0.117453505814737</v>
      </c>
      <c r="AY18" s="28">
        <f t="shared" si="7"/>
        <v>6.0000000000000001E-3</v>
      </c>
      <c r="AZ18">
        <v>0.41599780266731773</v>
      </c>
      <c r="BA18" s="28">
        <f t="shared" si="3"/>
        <v>0.41599780266731773</v>
      </c>
      <c r="BD18" s="24">
        <f t="shared" si="22"/>
        <v>0.18900685140537737</v>
      </c>
      <c r="BE18" s="47">
        <v>0.18900685140537737</v>
      </c>
      <c r="BF18" s="12">
        <v>58</v>
      </c>
      <c r="BH18" s="42">
        <f t="shared" si="14"/>
        <v>4.1018387553041019E-2</v>
      </c>
      <c r="BI18" s="42"/>
      <c r="BJ18" s="32">
        <f t="shared" si="15"/>
        <v>1</v>
      </c>
      <c r="BK18" s="32">
        <f t="shared" si="23"/>
        <v>0.14144271570014144</v>
      </c>
      <c r="BL18" s="32">
        <f>BJ18 /$BJ$32</f>
        <v>5.8823529411764705E-2</v>
      </c>
    </row>
    <row r="19" spans="1:64" x14ac:dyDescent="0.25">
      <c r="A19" s="32">
        <f t="shared" si="4"/>
        <v>7.0000000000000007E-2</v>
      </c>
      <c r="B19">
        <v>0.21689504684591204</v>
      </c>
      <c r="C19" s="32">
        <f t="shared" si="0"/>
        <v>0.34789409276290456</v>
      </c>
      <c r="G19" s="24">
        <f t="shared" si="16"/>
        <v>0.3681540485170286</v>
      </c>
      <c r="H19" s="47">
        <v>0.3681540485170286</v>
      </c>
      <c r="I19" s="12">
        <v>12</v>
      </c>
      <c r="K19" s="42">
        <f t="shared" si="8"/>
        <v>8.5106382978723402E-2</v>
      </c>
      <c r="L19" s="42"/>
      <c r="M19" s="32">
        <f t="shared" si="9"/>
        <v>1.6861238585335125</v>
      </c>
      <c r="N19" s="32">
        <f t="shared" si="17"/>
        <v>0.21276595744680848</v>
      </c>
      <c r="O19" s="32">
        <f>M19 /$M$31</f>
        <v>8.6688957461035651E-2</v>
      </c>
      <c r="S19" s="28">
        <f t="shared" si="5"/>
        <v>7.0000000000000001E-3</v>
      </c>
      <c r="T19">
        <v>0.19528794213690603</v>
      </c>
      <c r="U19" s="28">
        <f t="shared" si="1"/>
        <v>0.33397056979505085</v>
      </c>
      <c r="X19" s="24">
        <f t="shared" si="18"/>
        <v>0.27584791028995226</v>
      </c>
      <c r="Y19" s="47">
        <v>0.27584791028995226</v>
      </c>
      <c r="Z19" s="12">
        <v>53</v>
      </c>
      <c r="AB19" s="42">
        <f t="shared" si="10"/>
        <v>3.7482319660537479E-2</v>
      </c>
      <c r="AC19" s="42"/>
      <c r="AD19" s="32">
        <f t="shared" si="11"/>
        <v>1.1712253149330474</v>
      </c>
      <c r="AE19" s="32">
        <f t="shared" si="19"/>
        <v>7.9915134370579913E-2</v>
      </c>
      <c r="AF19" s="32">
        <f>AD19 /$AD$32</f>
        <v>7.2337153041725985E-2</v>
      </c>
      <c r="AI19" s="28">
        <f t="shared" si="6"/>
        <v>7.0000000000000001E-3</v>
      </c>
      <c r="AJ19">
        <v>0.52043214209418009</v>
      </c>
      <c r="AK19" s="28">
        <f t="shared" si="2"/>
        <v>0.21349646225737351</v>
      </c>
      <c r="AN19" s="24">
        <f t="shared" si="20"/>
        <v>0.15835248380300221</v>
      </c>
      <c r="AO19" s="47">
        <v>0.15835248380300221</v>
      </c>
      <c r="AP19" s="12">
        <v>135</v>
      </c>
      <c r="AR19" s="42">
        <f t="shared" si="12"/>
        <v>9.5473833097595467E-2</v>
      </c>
      <c r="AS19" s="42"/>
      <c r="AT19" s="32">
        <f t="shared" si="13"/>
        <v>3.8727871995298648</v>
      </c>
      <c r="AU19" s="32">
        <f t="shared" si="21"/>
        <v>0.23055162659123055</v>
      </c>
      <c r="AV19" s="32">
        <f>AT19 /$AT$32</f>
        <v>0.13654013523534603</v>
      </c>
      <c r="AY19" s="28">
        <f t="shared" si="7"/>
        <v>7.0000000000000001E-3</v>
      </c>
      <c r="AZ19">
        <v>0.69277016510513623</v>
      </c>
      <c r="BA19" s="28">
        <f t="shared" si="3"/>
        <v>0.69277016510513623</v>
      </c>
      <c r="BD19" s="24">
        <f t="shared" si="22"/>
        <v>0.25135807367168189</v>
      </c>
      <c r="BE19" s="47">
        <v>0.25135807367168189</v>
      </c>
      <c r="BF19" s="12">
        <v>63</v>
      </c>
      <c r="BH19" s="42">
        <f t="shared" si="14"/>
        <v>4.4554455445544552E-2</v>
      </c>
      <c r="BI19" s="42"/>
      <c r="BJ19" s="32">
        <f t="shared" si="15"/>
        <v>1</v>
      </c>
      <c r="BK19" s="32">
        <f t="shared" si="23"/>
        <v>0.18599717114568598</v>
      </c>
      <c r="BL19" s="32">
        <f>BJ19 /$BJ$32</f>
        <v>5.8823529411764705E-2</v>
      </c>
    </row>
    <row r="20" spans="1:64" x14ac:dyDescent="0.25">
      <c r="A20" s="32">
        <f t="shared" si="4"/>
        <v>0.08</v>
      </c>
      <c r="B20">
        <v>0.57719656971953492</v>
      </c>
      <c r="C20" s="32">
        <f t="shared" si="0"/>
        <v>0.53871674632937316</v>
      </c>
      <c r="G20" s="24">
        <f t="shared" si="16"/>
        <v>0.41846139188490766</v>
      </c>
      <c r="H20" s="47">
        <v>0.41846139188490766</v>
      </c>
      <c r="I20" s="12">
        <v>12</v>
      </c>
      <c r="K20" s="42">
        <f t="shared" si="8"/>
        <v>8.5106382978723402E-2</v>
      </c>
      <c r="L20" s="42"/>
      <c r="M20" s="32">
        <f t="shared" si="9"/>
        <v>1.8783126124987448</v>
      </c>
      <c r="N20" s="32">
        <f t="shared" si="17"/>
        <v>0.2978723404255319</v>
      </c>
      <c r="O20" s="32">
        <f>M20 /$M$31</f>
        <v>9.6569988817458E-2</v>
      </c>
      <c r="S20" s="28">
        <f t="shared" si="5"/>
        <v>8.0000000000000002E-3</v>
      </c>
      <c r="T20">
        <v>0.29898983733634449</v>
      </c>
      <c r="U20" s="28">
        <f t="shared" si="1"/>
        <v>0.39615947243679195</v>
      </c>
      <c r="X20" s="24">
        <f t="shared" si="18"/>
        <v>0.33761008285552119</v>
      </c>
      <c r="Y20" s="47">
        <v>0.33761008285552119</v>
      </c>
      <c r="Z20" s="12">
        <v>93</v>
      </c>
      <c r="AB20" s="42">
        <f t="shared" si="10"/>
        <v>6.5770862800565766E-2</v>
      </c>
      <c r="AC20" s="42"/>
      <c r="AD20" s="32">
        <f t="shared" si="11"/>
        <v>1.5344342022472539</v>
      </c>
      <c r="AE20" s="32">
        <f t="shared" si="19"/>
        <v>0.14568599717114566</v>
      </c>
      <c r="AF20" s="32">
        <f>AD20 /$AD$32</f>
        <v>9.4769640226537791E-2</v>
      </c>
      <c r="AI20" s="28">
        <f t="shared" si="6"/>
        <v>8.0000000000000002E-3</v>
      </c>
      <c r="AJ20">
        <v>0.81676686910611285</v>
      </c>
      <c r="AK20" s="28">
        <f t="shared" si="2"/>
        <v>0.31222619585441935</v>
      </c>
      <c r="AN20" s="24">
        <f t="shared" si="20"/>
        <v>0.19351881820133376</v>
      </c>
      <c r="AO20" s="47">
        <v>0.19351881820133376</v>
      </c>
      <c r="AP20" s="12">
        <v>154</v>
      </c>
      <c r="AR20" s="42">
        <f t="shared" si="12"/>
        <v>0.10891089108910891</v>
      </c>
      <c r="AS20" s="42"/>
      <c r="AT20" s="32">
        <f t="shared" si="13"/>
        <v>3.9130746525185867</v>
      </c>
      <c r="AU20" s="32">
        <f t="shared" si="21"/>
        <v>0.33946251768033947</v>
      </c>
      <c r="AV20" s="32">
        <f>AT20 /$AT$32</f>
        <v>0.13796052163820222</v>
      </c>
      <c r="AY20" s="28">
        <f t="shared" si="7"/>
        <v>8.0000000000000002E-3</v>
      </c>
      <c r="AZ20">
        <v>0.71138645588549454</v>
      </c>
      <c r="BA20" s="28">
        <f t="shared" si="3"/>
        <v>0.71138645588549454</v>
      </c>
      <c r="BD20" s="24">
        <f t="shared" si="22"/>
        <v>0.31370929593798641</v>
      </c>
      <c r="BE20" s="47">
        <v>0.31370929593798641</v>
      </c>
      <c r="BF20" s="12">
        <v>54</v>
      </c>
      <c r="BH20" s="42">
        <f t="shared" si="14"/>
        <v>3.818953323903819E-2</v>
      </c>
      <c r="BI20" s="42"/>
      <c r="BJ20" s="32">
        <f t="shared" si="15"/>
        <v>1</v>
      </c>
      <c r="BK20" s="32">
        <f t="shared" si="23"/>
        <v>0.22418670438472416</v>
      </c>
      <c r="BL20" s="32">
        <f>BJ20 /$BJ$32</f>
        <v>5.8823529411764705E-2</v>
      </c>
    </row>
    <row r="21" spans="1:64" x14ac:dyDescent="0.25">
      <c r="A21" s="32">
        <f t="shared" si="4"/>
        <v>0.09</v>
      </c>
      <c r="B21">
        <v>9.5980712302011176E-2</v>
      </c>
      <c r="C21" s="32">
        <f t="shared" si="0"/>
        <v>0.25695502927388952</v>
      </c>
      <c r="G21" s="24">
        <f t="shared" si="16"/>
        <v>0.46876873525278673</v>
      </c>
      <c r="H21" s="47">
        <v>0.46876873525278673</v>
      </c>
      <c r="I21" s="12">
        <v>10</v>
      </c>
      <c r="K21" s="42">
        <f t="shared" si="8"/>
        <v>7.0921985815602842E-2</v>
      </c>
      <c r="L21" s="42"/>
      <c r="M21" s="32">
        <f t="shared" si="9"/>
        <v>1.9847859449275174</v>
      </c>
      <c r="N21" s="32">
        <f t="shared" si="17"/>
        <v>0.36879432624113473</v>
      </c>
      <c r="O21" s="32">
        <f>M21 /$M$31</f>
        <v>0.10204411940338086</v>
      </c>
      <c r="S21" s="28">
        <f t="shared" si="5"/>
        <v>9.0000000000000011E-3</v>
      </c>
      <c r="T21">
        <v>0.64815210425122838</v>
      </c>
      <c r="U21" s="28">
        <f t="shared" si="1"/>
        <v>0.57529803587051576</v>
      </c>
      <c r="X21" s="24">
        <f t="shared" si="18"/>
        <v>0.39937225542109012</v>
      </c>
      <c r="Y21" s="47">
        <v>0.39937225542109012</v>
      </c>
      <c r="Z21" s="12">
        <v>108</v>
      </c>
      <c r="AB21" s="42">
        <f t="shared" si="10"/>
        <v>7.6379066478076379E-2</v>
      </c>
      <c r="AC21" s="42"/>
      <c r="AD21" s="32">
        <f t="shared" si="11"/>
        <v>1.8147323852813033</v>
      </c>
      <c r="AE21" s="32">
        <f t="shared" si="19"/>
        <v>0.22206506364922204</v>
      </c>
      <c r="AF21" s="32">
        <f>AD21 /$AD$32</f>
        <v>0.11208140108496052</v>
      </c>
      <c r="AI21" s="28">
        <f t="shared" si="6"/>
        <v>9.0000000000000011E-3</v>
      </c>
      <c r="AJ21">
        <v>2.3133030182805873E-2</v>
      </c>
      <c r="AK21" s="28">
        <f t="shared" si="2"/>
        <v>5.7056183401253791E-2</v>
      </c>
      <c r="AN21" s="24">
        <f t="shared" si="20"/>
        <v>0.22868515259966532</v>
      </c>
      <c r="AO21" s="47">
        <v>0.22868515259966532</v>
      </c>
      <c r="AP21" s="12">
        <v>138</v>
      </c>
      <c r="AR21" s="42">
        <f t="shared" si="12"/>
        <v>9.7595473833097593E-2</v>
      </c>
      <c r="AS21" s="42"/>
      <c r="AT21" s="32">
        <f t="shared" si="13"/>
        <v>3.5729606237689375</v>
      </c>
      <c r="AU21" s="32">
        <f t="shared" si="21"/>
        <v>0.43705799151343705</v>
      </c>
      <c r="AV21" s="32">
        <f>AT21 /$AT$32</f>
        <v>0.12596936046968954</v>
      </c>
      <c r="AY21" s="28">
        <f t="shared" si="7"/>
        <v>9.0000000000000011E-3</v>
      </c>
      <c r="AZ21">
        <v>0.46177556688131349</v>
      </c>
      <c r="BA21" s="28">
        <f t="shared" si="3"/>
        <v>0.46177556688131349</v>
      </c>
      <c r="BD21" s="24">
        <f t="shared" si="22"/>
        <v>0.37606051820429093</v>
      </c>
      <c r="BE21" s="47">
        <v>0.37606051820429093</v>
      </c>
      <c r="BF21" s="12">
        <v>76</v>
      </c>
      <c r="BH21" s="42">
        <f t="shared" si="14"/>
        <v>5.3748231966053751E-2</v>
      </c>
      <c r="BI21" s="42"/>
      <c r="BJ21" s="32">
        <f t="shared" si="15"/>
        <v>1</v>
      </c>
      <c r="BK21" s="32">
        <f t="shared" si="23"/>
        <v>0.27793493635077793</v>
      </c>
      <c r="BL21" s="32">
        <f>BJ21 /$BJ$32</f>
        <v>5.8823529411764705E-2</v>
      </c>
    </row>
    <row r="22" spans="1:64" x14ac:dyDescent="0.25">
      <c r="A22" s="32">
        <f t="shared" si="4"/>
        <v>9.9999999999999992E-2</v>
      </c>
      <c r="B22">
        <v>0.49607837153233436</v>
      </c>
      <c r="C22" s="32">
        <f t="shared" si="0"/>
        <v>0.49804252567075424</v>
      </c>
      <c r="G22" s="24">
        <f t="shared" si="16"/>
        <v>0.51907607862066585</v>
      </c>
      <c r="H22" s="47">
        <v>0.51907607862066585</v>
      </c>
      <c r="I22" s="12">
        <v>10</v>
      </c>
      <c r="K22" s="42">
        <f t="shared" si="8"/>
        <v>7.0921985815602842E-2</v>
      </c>
      <c r="L22" s="42"/>
      <c r="M22" s="32">
        <f t="shared" si="9"/>
        <v>1.9964668062691184</v>
      </c>
      <c r="N22" s="32">
        <f t="shared" si="17"/>
        <v>0.43971631205673756</v>
      </c>
      <c r="O22" s="32">
        <f>M22 /$M$31</f>
        <v>0.10264466940854537</v>
      </c>
      <c r="S22" s="28">
        <f t="shared" si="5"/>
        <v>1.0000000000000002E-2</v>
      </c>
      <c r="T22">
        <v>0.62147892696920681</v>
      </c>
      <c r="U22" s="28">
        <f t="shared" si="1"/>
        <v>0.56136790727317543</v>
      </c>
      <c r="X22" s="24">
        <f t="shared" si="18"/>
        <v>0.46113442798665905</v>
      </c>
      <c r="Y22" s="47">
        <v>0.46113442798665905</v>
      </c>
      <c r="Z22" s="12">
        <v>133</v>
      </c>
      <c r="AB22" s="42">
        <f t="shared" si="10"/>
        <v>9.405940594059406E-2</v>
      </c>
      <c r="AC22" s="42"/>
      <c r="AD22" s="32">
        <f t="shared" si="11"/>
        <v>1.974596333342485</v>
      </c>
      <c r="AE22" s="32">
        <f t="shared" si="19"/>
        <v>0.3161244695898161</v>
      </c>
      <c r="AF22" s="32">
        <f>AD22 /$AD$32</f>
        <v>0.12195490939229871</v>
      </c>
      <c r="AI22" s="28">
        <f t="shared" si="6"/>
        <v>1.0000000000000002E-2</v>
      </c>
      <c r="AJ22">
        <v>0.98846400341807306</v>
      </c>
      <c r="AK22" s="28">
        <f t="shared" si="2"/>
        <v>0.49217606432728123</v>
      </c>
      <c r="AN22" s="24">
        <f t="shared" si="20"/>
        <v>0.26385148699799688</v>
      </c>
      <c r="AO22" s="47">
        <v>0.26385148699799688</v>
      </c>
      <c r="AP22" s="12">
        <v>119</v>
      </c>
      <c r="AR22" s="42">
        <f t="shared" si="12"/>
        <v>8.4158415841584164E-2</v>
      </c>
      <c r="AS22" s="42"/>
      <c r="AT22" s="32">
        <f t="shared" si="13"/>
        <v>3.0111398505828295</v>
      </c>
      <c r="AU22" s="32">
        <f t="shared" si="21"/>
        <v>0.52121640735502117</v>
      </c>
      <c r="AV22" s="32">
        <f>AT22 /$AT$32</f>
        <v>0.10616164050042035</v>
      </c>
      <c r="AY22" s="28">
        <f t="shared" si="7"/>
        <v>1.0000000000000002E-2</v>
      </c>
      <c r="AZ22">
        <v>0.23273415326395458</v>
      </c>
      <c r="BA22" s="28">
        <f t="shared" si="3"/>
        <v>0.23273415326395461</v>
      </c>
      <c r="BD22" s="24">
        <f t="shared" si="22"/>
        <v>0.43841174047059545</v>
      </c>
      <c r="BE22" s="47">
        <v>0.43841174047059545</v>
      </c>
      <c r="BF22" s="12">
        <v>61</v>
      </c>
      <c r="BH22" s="42">
        <f t="shared" si="14"/>
        <v>4.3140028288543138E-2</v>
      </c>
      <c r="BI22" s="42"/>
      <c r="BJ22" s="32">
        <f t="shared" si="15"/>
        <v>1</v>
      </c>
      <c r="BK22" s="32">
        <f t="shared" si="23"/>
        <v>0.32107496463932106</v>
      </c>
      <c r="BL22" s="32">
        <f>BJ22 /$BJ$32</f>
        <v>5.8823529411764705E-2</v>
      </c>
    </row>
    <row r="23" spans="1:64" x14ac:dyDescent="0.25">
      <c r="A23" s="32">
        <f t="shared" si="4"/>
        <v>0.10999999999999999</v>
      </c>
      <c r="B23">
        <v>0.66014587847529527</v>
      </c>
      <c r="C23" s="32">
        <f t="shared" si="0"/>
        <v>0.58165296301080471</v>
      </c>
      <c r="G23" s="24">
        <f t="shared" si="16"/>
        <v>0.56938342198854497</v>
      </c>
      <c r="H23" s="47">
        <v>0.56938342198854497</v>
      </c>
      <c r="I23" s="12">
        <v>6</v>
      </c>
      <c r="K23" s="42">
        <f t="shared" si="8"/>
        <v>4.2553191489361701E-2</v>
      </c>
      <c r="L23" s="42"/>
      <c r="M23" s="32">
        <f t="shared" si="9"/>
        <v>1.9123685115519355</v>
      </c>
      <c r="N23" s="32">
        <f t="shared" si="17"/>
        <v>0.48226950354609927</v>
      </c>
      <c r="O23" s="32">
        <f>M23 /$M$31</f>
        <v>9.8320910239616796E-2</v>
      </c>
      <c r="S23" s="28">
        <f t="shared" si="5"/>
        <v>1.1000000000000003E-2</v>
      </c>
      <c r="T23">
        <v>0.13470870082705161</v>
      </c>
      <c r="U23" s="28">
        <f t="shared" si="1"/>
        <v>0.29042044643327347</v>
      </c>
      <c r="X23" s="24">
        <f t="shared" si="18"/>
        <v>0.52289660055222797</v>
      </c>
      <c r="Y23" s="47">
        <v>0.52289660055222797</v>
      </c>
      <c r="Z23" s="12">
        <v>146</v>
      </c>
      <c r="AB23" s="42">
        <f t="shared" si="10"/>
        <v>0.10325318246110325</v>
      </c>
      <c r="AC23" s="42"/>
      <c r="AD23" s="32">
        <f t="shared" si="11"/>
        <v>1.9933997756340469</v>
      </c>
      <c r="AE23" s="32">
        <f t="shared" si="19"/>
        <v>0.41937765205091937</v>
      </c>
      <c r="AF23" s="32">
        <f>AD23 /$AD$32</f>
        <v>0.12311624655382833</v>
      </c>
      <c r="AI23" s="28">
        <f t="shared" si="6"/>
        <v>1.1000000000000003E-2</v>
      </c>
      <c r="AJ23">
        <v>0.2272408215582751</v>
      </c>
      <c r="AK23" s="28">
        <f t="shared" si="2"/>
        <v>0.13756470096194462</v>
      </c>
      <c r="AN23" s="24">
        <f t="shared" si="20"/>
        <v>0.29901782139632843</v>
      </c>
      <c r="AO23" s="47">
        <v>0.29901782139632843</v>
      </c>
      <c r="AP23" s="12">
        <v>104</v>
      </c>
      <c r="AR23" s="42">
        <f t="shared" si="12"/>
        <v>7.355021216407355E-2</v>
      </c>
      <c r="AS23" s="42"/>
      <c r="AT23" s="32">
        <f t="shared" si="13"/>
        <v>2.3708019189623255</v>
      </c>
      <c r="AU23" s="32">
        <f t="shared" si="21"/>
        <v>0.59476661951909471</v>
      </c>
      <c r="AV23" s="32">
        <f>AT23 /$AT$32</f>
        <v>8.35856962837076E-2</v>
      </c>
      <c r="AY23" s="28">
        <f t="shared" si="7"/>
        <v>1.1000000000000003E-2</v>
      </c>
      <c r="AZ23">
        <v>3.0610065004425185E-2</v>
      </c>
      <c r="BA23" s="28">
        <f t="shared" si="3"/>
        <v>3.0610065004425192E-2</v>
      </c>
      <c r="BD23" s="24">
        <f t="shared" si="22"/>
        <v>0.50076296273689991</v>
      </c>
      <c r="BE23" s="47">
        <v>0.50076296273689991</v>
      </c>
      <c r="BF23" s="12">
        <v>78</v>
      </c>
      <c r="BH23" s="42">
        <f t="shared" si="14"/>
        <v>5.5162659123055166E-2</v>
      </c>
      <c r="BI23" s="42"/>
      <c r="BJ23" s="32">
        <f t="shared" si="15"/>
        <v>1</v>
      </c>
      <c r="BK23" s="32">
        <f t="shared" si="23"/>
        <v>0.37623762376237624</v>
      </c>
      <c r="BL23" s="32">
        <f>BJ23 /$BJ$32</f>
        <v>5.8823529411764705E-2</v>
      </c>
    </row>
    <row r="24" spans="1:64" x14ac:dyDescent="0.25">
      <c r="A24" s="32">
        <f t="shared" si="4"/>
        <v>0.11999999999999998</v>
      </c>
      <c r="B24">
        <v>0.87325663014618371</v>
      </c>
      <c r="C24" s="32">
        <f t="shared" si="0"/>
        <v>0.71599242283204323</v>
      </c>
      <c r="G24" s="24">
        <f>G23+$J$7</f>
        <v>0.61969076535642409</v>
      </c>
      <c r="H24" s="47">
        <v>0.61969076535642409</v>
      </c>
      <c r="I24" s="12">
        <v>6</v>
      </c>
      <c r="K24" s="42">
        <f t="shared" si="8"/>
        <v>4.2553191489361701E-2</v>
      </c>
      <c r="L24" s="42"/>
      <c r="M24" s="32">
        <f t="shared" si="9"/>
        <v>1.7396348911356698</v>
      </c>
      <c r="N24" s="32">
        <f t="shared" si="17"/>
        <v>0.52482269503546097</v>
      </c>
      <c r="O24" s="32">
        <f>M24 /$M$31</f>
        <v>8.9440128797273713E-2</v>
      </c>
      <c r="S24" s="28">
        <f t="shared" si="5"/>
        <v>1.2000000000000004E-2</v>
      </c>
      <c r="T24">
        <v>0.30838953825495163</v>
      </c>
      <c r="U24" s="28">
        <f t="shared" si="1"/>
        <v>0.40134570554674714</v>
      </c>
      <c r="X24" s="24">
        <f t="shared" si="18"/>
        <v>0.5846587731177969</v>
      </c>
      <c r="Y24" s="47">
        <v>0.5846587731177969</v>
      </c>
      <c r="Z24" s="12">
        <v>125</v>
      </c>
      <c r="AB24" s="42">
        <f t="shared" si="10"/>
        <v>8.8401697312588401E-2</v>
      </c>
      <c r="AC24" s="42"/>
      <c r="AD24" s="32">
        <f t="shared" si="11"/>
        <v>1.8687503803448733</v>
      </c>
      <c r="AE24" s="32">
        <f t="shared" si="19"/>
        <v>0.50777934936350777</v>
      </c>
      <c r="AF24" s="32">
        <f>AD24 /$AD$32</f>
        <v>0.11541765750471185</v>
      </c>
      <c r="AI24" s="28">
        <f t="shared" si="6"/>
        <v>1.2000000000000004E-2</v>
      </c>
      <c r="AJ24">
        <v>0.9421674245429853</v>
      </c>
      <c r="AK24" s="28">
        <f t="shared" si="2"/>
        <v>0.39864485582952514</v>
      </c>
      <c r="AN24" s="24">
        <f t="shared" si="20"/>
        <v>0.33418415579465999</v>
      </c>
      <c r="AO24" s="47">
        <v>0.33418415579465999</v>
      </c>
      <c r="AP24" s="12">
        <v>74</v>
      </c>
      <c r="AR24" s="42">
        <f t="shared" si="12"/>
        <v>5.2333804809052337E-2</v>
      </c>
      <c r="AS24" s="42"/>
      <c r="AT24" s="32">
        <f t="shared" si="13"/>
        <v>1.7560997089943819</v>
      </c>
      <c r="AU24" s="32">
        <f t="shared" si="21"/>
        <v>0.64710042432814707</v>
      </c>
      <c r="AV24" s="32">
        <f>AT24 /$AT$32</f>
        <v>6.1913572680149444E-2</v>
      </c>
      <c r="AY24" s="28">
        <f t="shared" si="7"/>
        <v>1.2000000000000004E-2</v>
      </c>
      <c r="AZ24">
        <v>0.27283547471541492</v>
      </c>
      <c r="BA24" s="28">
        <f t="shared" si="3"/>
        <v>0.27283547471541492</v>
      </c>
      <c r="BD24" s="24">
        <f t="shared" si="22"/>
        <v>0.56311418500320443</v>
      </c>
      <c r="BE24" s="47">
        <v>0.56311418500320443</v>
      </c>
      <c r="BF24" s="12">
        <v>57</v>
      </c>
      <c r="BH24" s="42">
        <f t="shared" si="14"/>
        <v>4.0311173974540308E-2</v>
      </c>
      <c r="BI24" s="42"/>
      <c r="BJ24" s="32">
        <f t="shared" si="15"/>
        <v>1</v>
      </c>
      <c r="BK24" s="32">
        <f t="shared" si="23"/>
        <v>0.41654879773691655</v>
      </c>
      <c r="BL24" s="32">
        <f>BJ24 /$BJ$32</f>
        <v>5.8823529411764705E-2</v>
      </c>
    </row>
    <row r="25" spans="1:64" x14ac:dyDescent="0.25">
      <c r="A25" s="32">
        <f t="shared" si="4"/>
        <v>0.12999999999999998</v>
      </c>
      <c r="B25">
        <v>0.22324289681691947</v>
      </c>
      <c r="C25" s="32">
        <f t="shared" si="0"/>
        <v>0.35186616203138454</v>
      </c>
      <c r="G25" s="24">
        <f t="shared" si="16"/>
        <v>0.66999810872430321</v>
      </c>
      <c r="H25" s="47">
        <v>0.66999810872430321</v>
      </c>
      <c r="I25" s="12">
        <v>11</v>
      </c>
      <c r="K25" s="42">
        <f t="shared" si="8"/>
        <v>7.8014184397163122E-2</v>
      </c>
      <c r="L25" s="42"/>
      <c r="M25" s="32">
        <f t="shared" si="9"/>
        <v>1.4932447291229771</v>
      </c>
      <c r="N25" s="32">
        <f t="shared" si="17"/>
        <v>0.6028368794326241</v>
      </c>
      <c r="O25" s="32">
        <f>M25 /$M$31</f>
        <v>7.6772431720670442E-2</v>
      </c>
      <c r="S25" s="28">
        <f t="shared" si="5"/>
        <v>1.3000000000000005E-2</v>
      </c>
      <c r="T25">
        <v>0.10748619037446211</v>
      </c>
      <c r="U25" s="28">
        <f t="shared" si="1"/>
        <v>0.26755861646114748</v>
      </c>
      <c r="X25" s="24">
        <f t="shared" si="18"/>
        <v>0.64642094568336583</v>
      </c>
      <c r="Y25" s="47">
        <v>0.64642094568336583</v>
      </c>
      <c r="Z25" s="12">
        <v>107</v>
      </c>
      <c r="AB25" s="42">
        <f t="shared" si="10"/>
        <v>7.5671852899575676E-2</v>
      </c>
      <c r="AC25" s="42"/>
      <c r="AD25" s="32">
        <f t="shared" si="11"/>
        <v>1.6166383103153872</v>
      </c>
      <c r="AE25" s="32">
        <f t="shared" si="19"/>
        <v>0.58345120226308345</v>
      </c>
      <c r="AF25" s="32">
        <f>AD25 /$AD$32</f>
        <v>9.9846725796809185E-2</v>
      </c>
      <c r="AI25" s="28">
        <f t="shared" si="6"/>
        <v>1.3000000000000005E-2</v>
      </c>
      <c r="AJ25">
        <v>0.4970854823450423</v>
      </c>
      <c r="AK25" s="28">
        <f t="shared" si="2"/>
        <v>0.20733164525202191</v>
      </c>
      <c r="AN25" s="24">
        <f t="shared" si="20"/>
        <v>0.36935049019299154</v>
      </c>
      <c r="AO25" s="47">
        <v>0.36935049019299154</v>
      </c>
      <c r="AP25" s="12">
        <v>53</v>
      </c>
      <c r="AR25" s="42">
        <f t="shared" si="12"/>
        <v>3.7482319660537479E-2</v>
      </c>
      <c r="AS25" s="42"/>
      <c r="AT25" s="32">
        <f t="shared" si="13"/>
        <v>1.2282514148490478</v>
      </c>
      <c r="AU25" s="32">
        <f t="shared" si="21"/>
        <v>0.68458274398868457</v>
      </c>
      <c r="AV25" s="32">
        <f>AT25 /$AT$32</f>
        <v>4.3303596517477803E-2</v>
      </c>
      <c r="AY25" s="28">
        <f t="shared" si="7"/>
        <v>1.3000000000000005E-2</v>
      </c>
      <c r="AZ25">
        <v>0.23374126407666249</v>
      </c>
      <c r="BA25" s="28">
        <f t="shared" si="3"/>
        <v>0.23374126407666249</v>
      </c>
      <c r="BD25" s="24">
        <f t="shared" si="22"/>
        <v>0.62546540726950894</v>
      </c>
      <c r="BE25" s="47">
        <v>0.62546540726950894</v>
      </c>
      <c r="BF25" s="12">
        <v>75</v>
      </c>
      <c r="BH25" s="42">
        <f t="shared" si="14"/>
        <v>5.3041018387553041E-2</v>
      </c>
      <c r="BI25" s="42"/>
      <c r="BJ25" s="32">
        <f t="shared" si="15"/>
        <v>1</v>
      </c>
      <c r="BK25" s="32">
        <f t="shared" si="23"/>
        <v>0.46958981612446959</v>
      </c>
      <c r="BL25" s="32">
        <f>BJ25 /$BJ$32</f>
        <v>5.8823529411764705E-2</v>
      </c>
    </row>
    <row r="26" spans="1:64" x14ac:dyDescent="0.25">
      <c r="A26" s="32">
        <f t="shared" si="4"/>
        <v>0.13999999999999999</v>
      </c>
      <c r="B26">
        <v>0.3903012176885281</v>
      </c>
      <c r="C26" s="32">
        <f t="shared" si="0"/>
        <v>0.44470820769656744</v>
      </c>
      <c r="G26" s="24">
        <f t="shared" si="16"/>
        <v>0.72030545209218233</v>
      </c>
      <c r="H26" s="47">
        <v>0.72030545209218233</v>
      </c>
      <c r="I26" s="12">
        <v>9</v>
      </c>
      <c r="K26" s="42">
        <f t="shared" si="8"/>
        <v>6.3829787234042548E-2</v>
      </c>
      <c r="L26" s="42"/>
      <c r="M26" s="32">
        <f t="shared" si="9"/>
        <v>1.1953523618579325</v>
      </c>
      <c r="N26" s="32">
        <f t="shared" si="17"/>
        <v>0.66666666666666663</v>
      </c>
      <c r="O26" s="32">
        <f>M26 /$M$31</f>
        <v>6.145684347185295E-2</v>
      </c>
      <c r="S26" s="28">
        <f t="shared" si="5"/>
        <v>1.4000000000000005E-2</v>
      </c>
      <c r="T26">
        <v>0.86846522415845206</v>
      </c>
      <c r="U26" s="28">
        <f t="shared" si="1"/>
        <v>0.71211045070191237</v>
      </c>
      <c r="X26" s="24">
        <f t="shared" si="18"/>
        <v>0.70818311824893476</v>
      </c>
      <c r="Y26" s="47">
        <v>0.70818311824893476</v>
      </c>
      <c r="Z26" s="12">
        <v>99</v>
      </c>
      <c r="AB26" s="42">
        <f t="shared" si="10"/>
        <v>7.0014144271570017E-2</v>
      </c>
      <c r="AC26" s="42"/>
      <c r="AD26" s="32">
        <f t="shared" si="11"/>
        <v>1.2704181689880654</v>
      </c>
      <c r="AE26" s="32">
        <f t="shared" si="19"/>
        <v>0.65346534653465349</v>
      </c>
      <c r="AF26" s="32">
        <f>AD26 /$AD$32</f>
        <v>7.8463496600850308E-2</v>
      </c>
      <c r="AI26" s="28">
        <f t="shared" si="6"/>
        <v>1.4000000000000005E-2</v>
      </c>
      <c r="AJ26">
        <v>0.25238807336649677</v>
      </c>
      <c r="AK26" s="28">
        <f t="shared" si="2"/>
        <v>0.14441475261125233</v>
      </c>
      <c r="AN26" s="24">
        <f t="shared" si="20"/>
        <v>0.4045168245913231</v>
      </c>
      <c r="AO26" s="47">
        <v>0.4045168245913231</v>
      </c>
      <c r="AP26" s="12">
        <v>43</v>
      </c>
      <c r="AR26" s="42">
        <f t="shared" si="12"/>
        <v>3.0410183875530409E-2</v>
      </c>
      <c r="AS26" s="42"/>
      <c r="AT26" s="32">
        <f t="shared" si="13"/>
        <v>0.81224181723209266</v>
      </c>
      <c r="AU26" s="32">
        <f t="shared" si="21"/>
        <v>0.71499292786421498</v>
      </c>
      <c r="AV26" s="32">
        <f>AT26 /$AT$32</f>
        <v>2.8636638641579955E-2</v>
      </c>
      <c r="AY26" s="28">
        <f t="shared" si="7"/>
        <v>1.4000000000000005E-2</v>
      </c>
      <c r="AZ26">
        <v>2.8687398907437361E-3</v>
      </c>
      <c r="BA26" s="28">
        <f t="shared" si="3"/>
        <v>2.8687398907437356E-3</v>
      </c>
      <c r="BD26" s="24">
        <f t="shared" si="22"/>
        <v>0.68781662953581346</v>
      </c>
      <c r="BE26" s="47">
        <v>0.68781662953581346</v>
      </c>
      <c r="BF26" s="12">
        <v>62</v>
      </c>
      <c r="BH26" s="42">
        <f t="shared" si="14"/>
        <v>4.3847241867043849E-2</v>
      </c>
      <c r="BI26" s="42"/>
      <c r="BJ26" s="32">
        <f t="shared" si="15"/>
        <v>1</v>
      </c>
      <c r="BK26" s="32">
        <f t="shared" si="23"/>
        <v>0.5134370579915134</v>
      </c>
      <c r="BL26" s="32">
        <f>BJ26 /$BJ$32</f>
        <v>5.8823529411764705E-2</v>
      </c>
    </row>
    <row r="27" spans="1:64" x14ac:dyDescent="0.25">
      <c r="A27" s="32">
        <f t="shared" si="4"/>
        <v>0.15</v>
      </c>
      <c r="B27">
        <v>0.18268379772331919</v>
      </c>
      <c r="C27" s="32">
        <f t="shared" si="0"/>
        <v>0.32552149124231478</v>
      </c>
      <c r="G27" s="24">
        <f t="shared" si="16"/>
        <v>0.77061279546006145</v>
      </c>
      <c r="H27" s="47">
        <v>0.77061279546006145</v>
      </c>
      <c r="I27" s="12">
        <v>6</v>
      </c>
      <c r="K27" s="42">
        <f t="shared" si="8"/>
        <v>4.2553191489361701E-2</v>
      </c>
      <c r="L27" s="42"/>
      <c r="M27" s="32">
        <f t="shared" si="9"/>
        <v>0.87419451210777077</v>
      </c>
      <c r="N27" s="32">
        <f t="shared" si="17"/>
        <v>0.70921985815602828</v>
      </c>
      <c r="O27" s="32">
        <f>M27 /$M$31</f>
        <v>4.4945103225508473E-2</v>
      </c>
      <c r="S27" s="28">
        <f t="shared" si="5"/>
        <v>1.5000000000000006E-2</v>
      </c>
      <c r="T27">
        <v>0.25486007263405253</v>
      </c>
      <c r="U27" s="28">
        <f t="shared" si="1"/>
        <v>0.37097801870564545</v>
      </c>
      <c r="X27" s="24">
        <f t="shared" si="18"/>
        <v>0.76994529081450369</v>
      </c>
      <c r="Y27" s="47">
        <v>0.76994529081450369</v>
      </c>
      <c r="Z27" s="12">
        <v>66</v>
      </c>
      <c r="AB27" s="42">
        <f t="shared" si="10"/>
        <v>4.6676096181046678E-2</v>
      </c>
      <c r="AC27" s="42"/>
      <c r="AD27" s="32">
        <f t="shared" si="11"/>
        <v>0.87846998957483513</v>
      </c>
      <c r="AE27" s="32">
        <f t="shared" si="19"/>
        <v>0.70014144271570022</v>
      </c>
      <c r="AF27" s="32">
        <f>AD27 /$AD$32</f>
        <v>5.4256014848919877E-2</v>
      </c>
      <c r="AI27" s="28">
        <f t="shared" si="6"/>
        <v>1.5000000000000006E-2</v>
      </c>
      <c r="AJ27">
        <v>0.66896572771385843</v>
      </c>
      <c r="AK27" s="28">
        <f t="shared" si="2"/>
        <v>0.2562547653458318</v>
      </c>
      <c r="AN27" s="24">
        <f t="shared" si="20"/>
        <v>0.43968315898965465</v>
      </c>
      <c r="AO27" s="47">
        <v>0.43968315898965465</v>
      </c>
      <c r="AP27" s="12">
        <v>17</v>
      </c>
      <c r="AR27" s="42">
        <f t="shared" si="12"/>
        <v>1.2022630834512023E-2</v>
      </c>
      <c r="AS27" s="42"/>
      <c r="AT27" s="32">
        <f t="shared" si="13"/>
        <v>0.50758741642463368</v>
      </c>
      <c r="AU27" s="32">
        <f t="shared" si="21"/>
        <v>0.72701555869872703</v>
      </c>
      <c r="AV27" s="32">
        <f>AT27 /$AT$32</f>
        <v>1.7895652642828594E-2</v>
      </c>
      <c r="AY27" s="28">
        <f t="shared" si="7"/>
        <v>1.5000000000000006E-2</v>
      </c>
      <c r="AZ27">
        <v>9.6865749076815083E-2</v>
      </c>
      <c r="BA27" s="28">
        <f t="shared" si="3"/>
        <v>9.6865749076815069E-2</v>
      </c>
      <c r="BD27" s="24">
        <f t="shared" si="22"/>
        <v>0.75016785180211798</v>
      </c>
      <c r="BE27" s="47">
        <v>0.75016785180211798</v>
      </c>
      <c r="BF27" s="12">
        <v>56</v>
      </c>
      <c r="BH27" s="42">
        <f t="shared" si="14"/>
        <v>3.9603960396039604E-2</v>
      </c>
      <c r="BI27" s="42"/>
      <c r="BJ27" s="32">
        <f t="shared" si="15"/>
        <v>1</v>
      </c>
      <c r="BK27" s="32">
        <f t="shared" si="23"/>
        <v>0.55304101838755304</v>
      </c>
      <c r="BL27" s="32">
        <f>BJ27 /$BJ$32</f>
        <v>5.8823529411764705E-2</v>
      </c>
    </row>
    <row r="28" spans="1:64" x14ac:dyDescent="0.25">
      <c r="A28" s="32">
        <f t="shared" si="4"/>
        <v>0.16</v>
      </c>
      <c r="B28">
        <v>0.59038056581316567</v>
      </c>
      <c r="C28" s="32">
        <f t="shared" si="0"/>
        <v>0.54541045619453876</v>
      </c>
      <c r="G28" s="24">
        <f t="shared" si="16"/>
        <v>0.82092013882794057</v>
      </c>
      <c r="H28" s="47">
        <v>0.82092013882794057</v>
      </c>
      <c r="I28" s="12">
        <v>4</v>
      </c>
      <c r="K28" s="42">
        <f t="shared" ref="K28:K29" si="24">I28 / 141</f>
        <v>2.8368794326241134E-2</v>
      </c>
      <c r="L28" s="42"/>
      <c r="M28" s="35">
        <f t="shared" si="9"/>
        <v>0.56242252442698648</v>
      </c>
      <c r="N28" s="35">
        <f t="shared" si="17"/>
        <v>0.73758865248226946</v>
      </c>
      <c r="O28" s="35">
        <f t="shared" ref="O28:O29" si="25">M28 /$M$31</f>
        <v>2.8915919817174139E-2</v>
      </c>
      <c r="S28" s="28">
        <f t="shared" si="5"/>
        <v>1.6000000000000007E-2</v>
      </c>
      <c r="T28">
        <v>0.15567491683706167</v>
      </c>
      <c r="U28" s="28">
        <f t="shared" si="1"/>
        <v>0.30641991464274049</v>
      </c>
      <c r="X28" s="24">
        <f t="shared" si="18"/>
        <v>0.83170746338007262</v>
      </c>
      <c r="Y28" s="47">
        <v>0.83170746338007262</v>
      </c>
      <c r="Z28" s="12">
        <v>36</v>
      </c>
      <c r="AB28" s="42">
        <f t="shared" ref="AB28:AB30" si="26">Z28 / 1414</f>
        <v>2.5459688826025461E-2</v>
      </c>
      <c r="AC28" s="42"/>
      <c r="AD28" s="35">
        <f t="shared" si="11"/>
        <v>0.50011667760913936</v>
      </c>
      <c r="AE28" s="35">
        <f t="shared" si="19"/>
        <v>0.72560113154172567</v>
      </c>
      <c r="AF28" s="35">
        <f t="shared" ref="AF28:AF30" si="27">AD28 /$AD$32</f>
        <v>3.0888178547438493E-2</v>
      </c>
      <c r="AI28" s="28">
        <f t="shared" si="6"/>
        <v>1.6000000000000007E-2</v>
      </c>
      <c r="AJ28">
        <v>4.3122653889584035E-2</v>
      </c>
      <c r="AK28" s="28">
        <f t="shared" si="2"/>
        <v>7.1044322617054373E-2</v>
      </c>
      <c r="AN28" s="24">
        <f t="shared" si="20"/>
        <v>0.47484949338798621</v>
      </c>
      <c r="AO28" s="47">
        <v>0.47484949338798621</v>
      </c>
      <c r="AP28" s="12">
        <v>11</v>
      </c>
      <c r="AR28" s="42">
        <f t="shared" ref="AR28:AR30" si="28">AP28 / 1414</f>
        <v>7.7793493635077791E-3</v>
      </c>
      <c r="AS28" s="42"/>
      <c r="AT28" s="35">
        <f t="shared" si="13"/>
        <v>0.29909780977536315</v>
      </c>
      <c r="AU28" s="35">
        <f t="shared" si="21"/>
        <v>0.7347949080622348</v>
      </c>
      <c r="AV28" s="35">
        <f t="shared" ref="AV28:AV30" si="29">AT28 /$AT$32</f>
        <v>1.0545081175717968E-2</v>
      </c>
      <c r="AY28" s="28">
        <f t="shared" si="7"/>
        <v>1.6000000000000007E-2</v>
      </c>
      <c r="AZ28">
        <v>3.9887691885128328E-2</v>
      </c>
      <c r="BA28" s="28">
        <f t="shared" si="3"/>
        <v>3.9887691885128335E-2</v>
      </c>
      <c r="BD28" s="24">
        <f t="shared" si="22"/>
        <v>0.8125190740684225</v>
      </c>
      <c r="BE28" s="47">
        <v>0.8125190740684225</v>
      </c>
      <c r="BF28" s="12">
        <v>59</v>
      </c>
      <c r="BH28" s="42">
        <f t="shared" ref="BH28:BH31" si="30">BF28 / 1414</f>
        <v>4.1725601131541723E-2</v>
      </c>
      <c r="BI28" s="42"/>
      <c r="BJ28" s="35">
        <f t="shared" si="15"/>
        <v>1</v>
      </c>
      <c r="BK28" s="35">
        <f t="shared" si="23"/>
        <v>0.59476661951909482</v>
      </c>
      <c r="BL28" s="35">
        <f t="shared" ref="BL28:BL31" si="31">BJ28 /$BJ$32</f>
        <v>5.8823529411764705E-2</v>
      </c>
    </row>
    <row r="29" spans="1:64" x14ac:dyDescent="0.25">
      <c r="A29" s="32">
        <f t="shared" si="4"/>
        <v>0.17</v>
      </c>
      <c r="B29">
        <v>0.51619006927701649</v>
      </c>
      <c r="C29" s="32">
        <f t="shared" si="0"/>
        <v>0.50808283179896119</v>
      </c>
      <c r="G29" s="24">
        <f t="shared" si="16"/>
        <v>0.87122748219581969</v>
      </c>
      <c r="H29" s="47">
        <v>0.87122748219581969</v>
      </c>
      <c r="I29" s="12">
        <v>1</v>
      </c>
      <c r="K29" s="42">
        <f t="shared" si="24"/>
        <v>7.0921985815602835E-3</v>
      </c>
      <c r="L29" s="42"/>
      <c r="M29" s="35">
        <f t="shared" si="9"/>
        <v>0.2945707373080898</v>
      </c>
      <c r="N29" s="35">
        <f t="shared" si="17"/>
        <v>0.74468085106382975</v>
      </c>
      <c r="O29" s="35">
        <f t="shared" si="25"/>
        <v>1.5144812752947216E-2</v>
      </c>
      <c r="S29" s="28">
        <f t="shared" si="5"/>
        <v>1.7000000000000008E-2</v>
      </c>
      <c r="T29">
        <v>0.56941434980315564</v>
      </c>
      <c r="U29" s="28">
        <f t="shared" si="1"/>
        <v>0.53478159434945605</v>
      </c>
      <c r="X29" s="24">
        <f t="shared" si="18"/>
        <v>0.89346963594564155</v>
      </c>
      <c r="Y29" s="47">
        <v>0.89346963594564155</v>
      </c>
      <c r="Z29" s="12">
        <v>20</v>
      </c>
      <c r="AB29" s="42">
        <f t="shared" si="26"/>
        <v>1.4144271570014143E-2</v>
      </c>
      <c r="AC29" s="42"/>
      <c r="AD29" s="35">
        <f t="shared" si="11"/>
        <v>0.19877189240290069</v>
      </c>
      <c r="AE29" s="35">
        <f t="shared" si="19"/>
        <v>0.73974540311173986</v>
      </c>
      <c r="AF29" s="35">
        <f t="shared" si="27"/>
        <v>1.2276538611158745E-2</v>
      </c>
      <c r="AI29" s="28">
        <f t="shared" si="6"/>
        <v>1.7000000000000008E-2</v>
      </c>
      <c r="AJ29">
        <v>0.53495895260475479</v>
      </c>
      <c r="AK29" s="28">
        <f t="shared" si="2"/>
        <v>0.21738527056861401</v>
      </c>
      <c r="AN29" s="24">
        <f t="shared" si="20"/>
        <v>0.51001582778631771</v>
      </c>
      <c r="AO29" s="47">
        <v>0.51001582778631771</v>
      </c>
      <c r="AP29" s="12">
        <v>8</v>
      </c>
      <c r="AR29" s="42">
        <f t="shared" si="28"/>
        <v>5.6577086280056579E-3</v>
      </c>
      <c r="AS29" s="42"/>
      <c r="AT29" s="35">
        <f t="shared" si="13"/>
        <v>0.16555055083659517</v>
      </c>
      <c r="AU29" s="35">
        <f t="shared" si="21"/>
        <v>0.74045261669024043</v>
      </c>
      <c r="AV29" s="35">
        <f t="shared" si="29"/>
        <v>5.8366993679019518E-3</v>
      </c>
      <c r="AY29" s="28">
        <f t="shared" si="7"/>
        <v>1.7000000000000008E-2</v>
      </c>
      <c r="AZ29">
        <v>0.74816125980407122</v>
      </c>
      <c r="BA29" s="28">
        <f t="shared" si="3"/>
        <v>0.74816125980407122</v>
      </c>
      <c r="BD29" s="24">
        <f t="shared" si="22"/>
        <v>0.87487029633472702</v>
      </c>
      <c r="BE29" s="47">
        <v>0.87487029633472702</v>
      </c>
      <c r="BF29" s="12">
        <v>68</v>
      </c>
      <c r="BH29" s="42">
        <f t="shared" si="30"/>
        <v>4.8090523338048093E-2</v>
      </c>
      <c r="BI29" s="42"/>
      <c r="BJ29" s="35">
        <f t="shared" si="15"/>
        <v>1</v>
      </c>
      <c r="BK29" s="35">
        <f t="shared" si="23"/>
        <v>0.6428571428571429</v>
      </c>
      <c r="BL29" s="35">
        <f t="shared" si="31"/>
        <v>5.8823529411764705E-2</v>
      </c>
    </row>
    <row r="30" spans="1:64" ht="15.75" thickBot="1" x14ac:dyDescent="0.3">
      <c r="A30" s="32">
        <f t="shared" si="4"/>
        <v>0.18000000000000002</v>
      </c>
      <c r="B30">
        <v>0.28174687948240607</v>
      </c>
      <c r="C30" s="32">
        <f t="shared" si="0"/>
        <v>0.3864956741551801</v>
      </c>
      <c r="H30" s="13" t="s">
        <v>8</v>
      </c>
      <c r="I30" s="13">
        <v>0</v>
      </c>
      <c r="S30" s="28">
        <f t="shared" si="5"/>
        <v>1.8000000000000009E-2</v>
      </c>
      <c r="T30">
        <v>0.59065523239844964</v>
      </c>
      <c r="U30" s="28">
        <f t="shared" si="1"/>
        <v>0.54555030642728564</v>
      </c>
      <c r="X30" s="24">
        <f t="shared" si="18"/>
        <v>0.95523180851121048</v>
      </c>
      <c r="Y30" s="47">
        <v>0.95523180851121048</v>
      </c>
      <c r="Z30" s="12">
        <v>4</v>
      </c>
      <c r="AB30" s="42">
        <f t="shared" si="26"/>
        <v>2.828854314002829E-3</v>
      </c>
      <c r="AC30" s="42"/>
      <c r="AD30" s="35">
        <f t="shared" si="11"/>
        <v>2.9308257977912075E-2</v>
      </c>
      <c r="AE30" s="35">
        <f t="shared" si="19"/>
        <v>0.74257425742574268</v>
      </c>
      <c r="AF30" s="35">
        <f t="shared" si="27"/>
        <v>1.8101350062227825E-3</v>
      </c>
      <c r="AI30" s="28">
        <f t="shared" si="6"/>
        <v>1.8000000000000009E-2</v>
      </c>
      <c r="AJ30">
        <v>0.2589190343943602</v>
      </c>
      <c r="AK30" s="28">
        <f t="shared" si="2"/>
        <v>0.1461639702314457</v>
      </c>
      <c r="AN30" s="24">
        <f t="shared" si="20"/>
        <v>0.54518216218464921</v>
      </c>
      <c r="AO30" s="47">
        <v>0.54518216218464921</v>
      </c>
      <c r="AP30" s="12">
        <v>3</v>
      </c>
      <c r="AR30" s="42">
        <f t="shared" si="28"/>
        <v>2.1216407355021216E-3</v>
      </c>
      <c r="AS30" s="42"/>
      <c r="AT30" s="35">
        <f t="shared" si="13"/>
        <v>8.5590395151561111E-2</v>
      </c>
      <c r="AU30" s="35">
        <f t="shared" si="21"/>
        <v>0.74257425742574257</v>
      </c>
      <c r="AV30" s="35">
        <f t="shared" si="29"/>
        <v>3.0176003810019666E-3</v>
      </c>
      <c r="AY30" s="28">
        <f t="shared" si="7"/>
        <v>1.8000000000000009E-2</v>
      </c>
      <c r="AZ30">
        <v>0.87405011139255961</v>
      </c>
      <c r="BA30" s="28">
        <f t="shared" si="3"/>
        <v>0.87405011139255961</v>
      </c>
      <c r="BD30" s="24">
        <f t="shared" si="22"/>
        <v>0.93722151860103153</v>
      </c>
      <c r="BE30" s="47">
        <v>0.93722151860103153</v>
      </c>
      <c r="BF30" s="12">
        <v>75</v>
      </c>
      <c r="BH30" s="42">
        <f t="shared" si="30"/>
        <v>5.3041018387553041E-2</v>
      </c>
      <c r="BI30" s="42"/>
      <c r="BJ30" s="35">
        <f t="shared" si="15"/>
        <v>1</v>
      </c>
      <c r="BK30" s="35">
        <f t="shared" si="23"/>
        <v>0.69589816124469595</v>
      </c>
      <c r="BL30" s="35">
        <f t="shared" si="31"/>
        <v>5.8823529411764705E-2</v>
      </c>
    </row>
    <row r="31" spans="1:64" ht="15.75" thickBot="1" x14ac:dyDescent="0.3">
      <c r="A31" s="32">
        <f t="shared" si="4"/>
        <v>0.19000000000000003</v>
      </c>
      <c r="B31">
        <v>0.8868678853724784</v>
      </c>
      <c r="C31" s="32">
        <f t="shared" si="0"/>
        <v>0.72746525084852531</v>
      </c>
      <c r="G31" t="s">
        <v>54</v>
      </c>
      <c r="I31">
        <f>SUM(I15:I29)</f>
        <v>105</v>
      </c>
      <c r="M31">
        <f>SUM(M15:M29)</f>
        <v>19.450272651985458</v>
      </c>
      <c r="O31">
        <f>SUM(O15:O29)</f>
        <v>1</v>
      </c>
      <c r="S31" s="28">
        <f t="shared" si="5"/>
        <v>1.900000000000001E-2</v>
      </c>
      <c r="T31">
        <v>0.40717795342875451</v>
      </c>
      <c r="U31" s="28">
        <f t="shared" si="1"/>
        <v>0.45334582300255072</v>
      </c>
      <c r="Y31" s="13" t="s">
        <v>8</v>
      </c>
      <c r="Z31" s="13">
        <v>0</v>
      </c>
      <c r="AI31" s="28">
        <f t="shared" si="6"/>
        <v>1.900000000000001E-2</v>
      </c>
      <c r="AJ31">
        <v>0.86123233741264071</v>
      </c>
      <c r="AK31" s="28">
        <f t="shared" si="2"/>
        <v>0.33522771038536792</v>
      </c>
      <c r="AO31" s="13" t="s">
        <v>8</v>
      </c>
      <c r="AP31" s="13">
        <v>0</v>
      </c>
      <c r="AY31" s="28">
        <f t="shared" si="7"/>
        <v>1.900000000000001E-2</v>
      </c>
      <c r="AZ31">
        <v>0.65608691671498764</v>
      </c>
      <c r="BA31" s="28">
        <f t="shared" si="3"/>
        <v>0.65608691671498764</v>
      </c>
      <c r="BD31" s="24">
        <f t="shared" si="22"/>
        <v>0.99957274086733605</v>
      </c>
      <c r="BE31" s="47">
        <v>0.99957274086733605</v>
      </c>
      <c r="BF31" s="12">
        <v>66</v>
      </c>
      <c r="BH31" s="42">
        <f t="shared" si="30"/>
        <v>4.6676096181046678E-2</v>
      </c>
      <c r="BI31" s="42"/>
      <c r="BJ31" s="35">
        <f t="shared" si="15"/>
        <v>1</v>
      </c>
      <c r="BK31" s="35">
        <f t="shared" si="23"/>
        <v>0.74257425742574257</v>
      </c>
      <c r="BL31" s="35">
        <f t="shared" si="31"/>
        <v>5.8823529411764705E-2</v>
      </c>
    </row>
    <row r="32" spans="1:64" ht="15.75" thickBot="1" x14ac:dyDescent="0.3">
      <c r="A32" s="32">
        <f t="shared" si="4"/>
        <v>0.20000000000000004</v>
      </c>
      <c r="B32">
        <v>0.2738120670186468</v>
      </c>
      <c r="C32" s="32">
        <f t="shared" si="0"/>
        <v>0.38197694771009316</v>
      </c>
      <c r="S32" s="28">
        <f t="shared" si="5"/>
        <v>2.0000000000000011E-2</v>
      </c>
      <c r="T32">
        <v>0.81438642536698502</v>
      </c>
      <c r="U32" s="28">
        <f t="shared" si="1"/>
        <v>0.67249082195686671</v>
      </c>
      <c r="X32" t="s">
        <v>54</v>
      </c>
      <c r="Z32">
        <f>SUM(Z15:Z30)</f>
        <v>1050</v>
      </c>
      <c r="AD32">
        <f>SUM(AD15:AD30)</f>
        <v>16.191200035996076</v>
      </c>
      <c r="AF32">
        <f>SUM(AF15:AF30)</f>
        <v>1</v>
      </c>
      <c r="AI32" s="28">
        <f t="shared" si="6"/>
        <v>2.0000000000000011E-2</v>
      </c>
      <c r="AJ32">
        <v>0.1142002624591815</v>
      </c>
      <c r="AK32" s="28">
        <f t="shared" si="2"/>
        <v>0.10265933012208911</v>
      </c>
      <c r="AN32" t="s">
        <v>54</v>
      </c>
      <c r="AP32">
        <f>SUM(AP15:AP30)</f>
        <v>1050</v>
      </c>
      <c r="AT32">
        <f>SUM(AT15:AT30)</f>
        <v>28.363727579839981</v>
      </c>
      <c r="AV32">
        <f>SUM(AV15:AV30)</f>
        <v>0.99999999999999989</v>
      </c>
      <c r="AY32" s="28">
        <f t="shared" si="7"/>
        <v>2.0000000000000011E-2</v>
      </c>
      <c r="AZ32">
        <v>0.5960875270851772</v>
      </c>
      <c r="BA32" s="28">
        <f t="shared" si="3"/>
        <v>0.5960875270851772</v>
      </c>
      <c r="BD32" t="s">
        <v>54</v>
      </c>
      <c r="BE32" s="13" t="s">
        <v>8</v>
      </c>
      <c r="BF32" s="13">
        <v>0</v>
      </c>
      <c r="BJ32">
        <f>SUM(BJ15:BJ31)</f>
        <v>17</v>
      </c>
      <c r="BL32">
        <f>SUM(BL15:BL31)</f>
        <v>1</v>
      </c>
    </row>
    <row r="33" spans="1:53" x14ac:dyDescent="0.25">
      <c r="A33" s="32">
        <f t="shared" si="4"/>
        <v>0.21000000000000005</v>
      </c>
      <c r="B33">
        <v>0.28315073091830195</v>
      </c>
      <c r="C33" s="32">
        <f t="shared" si="0"/>
        <v>0.38729023569385057</v>
      </c>
      <c r="S33" s="28">
        <f t="shared" si="5"/>
        <v>2.1000000000000012E-2</v>
      </c>
      <c r="T33">
        <v>2.9694509720145267E-2</v>
      </c>
      <c r="U33" s="28">
        <f t="shared" si="1"/>
        <v>0.17221751664145446</v>
      </c>
      <c r="AI33" s="28">
        <f t="shared" si="6"/>
        <v>2.1000000000000012E-2</v>
      </c>
      <c r="AJ33">
        <v>0.52867213965269932</v>
      </c>
      <c r="AK33" s="28">
        <f t="shared" si="2"/>
        <v>0.21569687467702481</v>
      </c>
      <c r="AY33" s="28">
        <f t="shared" si="7"/>
        <v>2.1000000000000012E-2</v>
      </c>
      <c r="AZ33">
        <v>0.12216559343241676</v>
      </c>
      <c r="BA33" s="28">
        <f t="shared" si="3"/>
        <v>0.12216559343241676</v>
      </c>
    </row>
    <row r="34" spans="1:53" x14ac:dyDescent="0.25">
      <c r="A34" s="32">
        <f t="shared" si="4"/>
        <v>0.22000000000000006</v>
      </c>
      <c r="B34">
        <v>0.91387676625873593</v>
      </c>
      <c r="C34" s="32">
        <f t="shared" si="0"/>
        <v>0.75270720619613285</v>
      </c>
      <c r="S34" s="28">
        <f t="shared" si="5"/>
        <v>2.2000000000000013E-2</v>
      </c>
      <c r="T34">
        <v>0.55092013306070131</v>
      </c>
      <c r="U34" s="28">
        <f t="shared" si="1"/>
        <v>0.5254690360744072</v>
      </c>
      <c r="AI34" s="28">
        <f t="shared" si="6"/>
        <v>2.2000000000000013E-2</v>
      </c>
      <c r="AJ34">
        <v>0.20581682790612507</v>
      </c>
      <c r="AK34" s="28">
        <f t="shared" si="2"/>
        <v>0.13155349659879431</v>
      </c>
      <c r="AY34" s="28">
        <f t="shared" si="7"/>
        <v>2.2000000000000013E-2</v>
      </c>
      <c r="AZ34">
        <v>0.39176610614337598</v>
      </c>
      <c r="BA34" s="28">
        <f t="shared" si="3"/>
        <v>0.39176610614337598</v>
      </c>
    </row>
    <row r="35" spans="1:53" x14ac:dyDescent="0.25">
      <c r="A35" s="32">
        <f t="shared" si="4"/>
        <v>0.23000000000000007</v>
      </c>
      <c r="B35">
        <v>3.7079989013336589E-2</v>
      </c>
      <c r="C35" s="32">
        <f t="shared" si="0"/>
        <v>0.18538444995248915</v>
      </c>
      <c r="S35" s="28">
        <f t="shared" si="5"/>
        <v>2.3000000000000013E-2</v>
      </c>
      <c r="T35">
        <v>0.55156102175969723</v>
      </c>
      <c r="U35" s="28">
        <f t="shared" si="1"/>
        <v>0.52579095081078464</v>
      </c>
      <c r="AI35" s="28">
        <f t="shared" si="6"/>
        <v>2.3000000000000013E-2</v>
      </c>
      <c r="AJ35">
        <v>0.58986175115207373</v>
      </c>
      <c r="AK35" s="28">
        <f t="shared" si="2"/>
        <v>0.2325504526658847</v>
      </c>
      <c r="AY35" s="28">
        <f t="shared" si="7"/>
        <v>2.3000000000000013E-2</v>
      </c>
      <c r="AZ35">
        <v>0.88073366496780292</v>
      </c>
      <c r="BA35" s="28">
        <f t="shared" si="3"/>
        <v>0.88073366496780292</v>
      </c>
    </row>
    <row r="36" spans="1:53" x14ac:dyDescent="0.25">
      <c r="A36" s="32">
        <f t="shared" si="4"/>
        <v>0.24000000000000007</v>
      </c>
      <c r="B36">
        <v>0.14627521591845455</v>
      </c>
      <c r="C36" s="32">
        <f t="shared" si="0"/>
        <v>0.29939206116103051</v>
      </c>
      <c r="S36" s="28">
        <f t="shared" si="5"/>
        <v>2.4000000000000014E-2</v>
      </c>
      <c r="T36">
        <v>0.15909298989837337</v>
      </c>
      <c r="U36" s="28">
        <f t="shared" si="1"/>
        <v>0.30892250349680228</v>
      </c>
      <c r="AI36" s="28">
        <f t="shared" si="6"/>
        <v>2.4000000000000014E-2</v>
      </c>
      <c r="AJ36">
        <v>0.15958128604998931</v>
      </c>
      <c r="AK36" s="28">
        <f t="shared" si="2"/>
        <v>0.11780034596657975</v>
      </c>
      <c r="AY36" s="28">
        <f t="shared" si="7"/>
        <v>2.4000000000000014E-2</v>
      </c>
      <c r="AZ36">
        <v>0.49687185277871027</v>
      </c>
      <c r="BA36" s="28">
        <f t="shared" si="3"/>
        <v>0.49687185277871027</v>
      </c>
    </row>
    <row r="37" spans="1:53" x14ac:dyDescent="0.25">
      <c r="A37" s="32">
        <f t="shared" si="4"/>
        <v>0.25000000000000006</v>
      </c>
      <c r="B37">
        <v>0.30747398297067169</v>
      </c>
      <c r="C37" s="32">
        <f t="shared" si="0"/>
        <v>0.40084291779857867</v>
      </c>
      <c r="S37" s="28">
        <f t="shared" si="5"/>
        <v>2.5000000000000015E-2</v>
      </c>
      <c r="T37">
        <v>0.10138248847926268</v>
      </c>
      <c r="U37" s="28">
        <f t="shared" si="1"/>
        <v>0.26201583972868298</v>
      </c>
      <c r="AI37" s="28">
        <f t="shared" si="6"/>
        <v>2.5000000000000015E-2</v>
      </c>
      <c r="AJ37">
        <v>0.88015381328775899</v>
      </c>
      <c r="AK37" s="28">
        <f t="shared" si="2"/>
        <v>0.34671865203032015</v>
      </c>
      <c r="AY37" s="28">
        <f t="shared" si="7"/>
        <v>2.5000000000000015E-2</v>
      </c>
      <c r="AZ37">
        <v>0.9711600085451827</v>
      </c>
      <c r="BA37" s="28">
        <f t="shared" si="3"/>
        <v>0.9711600085451827</v>
      </c>
    </row>
    <row r="38" spans="1:53" x14ac:dyDescent="0.25">
      <c r="A38" s="32">
        <f t="shared" si="4"/>
        <v>0.26000000000000006</v>
      </c>
      <c r="B38">
        <v>8.1698049867244479E-2</v>
      </c>
      <c r="C38" s="32">
        <f t="shared" si="0"/>
        <v>0.24275226297295088</v>
      </c>
      <c r="S38" s="28">
        <f t="shared" si="5"/>
        <v>2.6000000000000016E-2</v>
      </c>
      <c r="T38">
        <v>0.69991149632251959</v>
      </c>
      <c r="U38" s="28">
        <f t="shared" si="1"/>
        <v>0.60323151169267797</v>
      </c>
      <c r="AI38" s="28">
        <f t="shared" si="6"/>
        <v>2.6000000000000016E-2</v>
      </c>
      <c r="AJ38">
        <v>0.14371166112247077</v>
      </c>
      <c r="AK38" s="28">
        <f t="shared" si="2"/>
        <v>0.11274127169425051</v>
      </c>
      <c r="AY38" s="28">
        <f t="shared" si="7"/>
        <v>2.6000000000000016E-2</v>
      </c>
      <c r="AZ38">
        <v>0.36490981780449844</v>
      </c>
      <c r="BA38" s="28">
        <f t="shared" si="3"/>
        <v>0.36490981780449844</v>
      </c>
    </row>
    <row r="39" spans="1:53" x14ac:dyDescent="0.25">
      <c r="A39" s="32">
        <f t="shared" si="4"/>
        <v>0.27000000000000007</v>
      </c>
      <c r="B39">
        <v>0.31302835169530319</v>
      </c>
      <c r="C39" s="32">
        <f t="shared" si="0"/>
        <v>0.40388561403964907</v>
      </c>
      <c r="S39" s="28">
        <f t="shared" si="5"/>
        <v>2.7000000000000017E-2</v>
      </c>
      <c r="T39">
        <v>0.96752830591753902</v>
      </c>
      <c r="U39" s="28">
        <f t="shared" si="1"/>
        <v>0.82261532363646106</v>
      </c>
      <c r="AI39" s="28">
        <f t="shared" si="6"/>
        <v>2.7000000000000017E-2</v>
      </c>
      <c r="AJ39">
        <v>0.43409527878658405</v>
      </c>
      <c r="AK39" s="28">
        <f t="shared" si="2"/>
        <v>0.19108280115608872</v>
      </c>
      <c r="AY39" s="28">
        <f t="shared" si="7"/>
        <v>2.7000000000000017E-2</v>
      </c>
      <c r="AZ39">
        <v>0.87994018372142702</v>
      </c>
      <c r="BA39" s="28">
        <f t="shared" si="3"/>
        <v>0.87994018372142702</v>
      </c>
    </row>
    <row r="40" spans="1:53" x14ac:dyDescent="0.25">
      <c r="A40" s="32">
        <f t="shared" si="4"/>
        <v>0.28000000000000008</v>
      </c>
      <c r="B40">
        <v>0.4740440076906644</v>
      </c>
      <c r="C40" s="32">
        <f t="shared" si="0"/>
        <v>0.48703732140900879</v>
      </c>
      <c r="S40" s="28">
        <f t="shared" si="5"/>
        <v>2.8000000000000018E-2</v>
      </c>
      <c r="T40">
        <v>0.45735038300729391</v>
      </c>
      <c r="U40" s="28">
        <f t="shared" si="1"/>
        <v>0.47868088718729473</v>
      </c>
      <c r="AI40" s="28">
        <f t="shared" si="6"/>
        <v>2.8000000000000018E-2</v>
      </c>
      <c r="AJ40">
        <v>0.74895474105044713</v>
      </c>
      <c r="AK40" s="28">
        <f t="shared" si="2"/>
        <v>0.2838462075435465</v>
      </c>
      <c r="AY40" s="28">
        <f t="shared" si="7"/>
        <v>2.8000000000000018E-2</v>
      </c>
      <c r="AZ40">
        <v>0.3078707235938597</v>
      </c>
      <c r="BA40" s="28">
        <f t="shared" si="3"/>
        <v>0.3078707235938597</v>
      </c>
    </row>
    <row r="41" spans="1:53" x14ac:dyDescent="0.25">
      <c r="A41" s="32">
        <f t="shared" si="4"/>
        <v>0.29000000000000009</v>
      </c>
      <c r="B41">
        <v>0.37485885189367352</v>
      </c>
      <c r="C41" s="32">
        <f t="shared" si="0"/>
        <v>0.43673434937041733</v>
      </c>
      <c r="S41" s="28">
        <f t="shared" si="5"/>
        <v>2.9000000000000019E-2</v>
      </c>
      <c r="T41">
        <v>0.1640980254524369</v>
      </c>
      <c r="U41" s="28">
        <f t="shared" si="1"/>
        <v>0.31253940538868541</v>
      </c>
      <c r="AI41" s="28">
        <f t="shared" si="6"/>
        <v>2.9000000000000019E-2</v>
      </c>
      <c r="AJ41">
        <v>0.45893734550004578</v>
      </c>
      <c r="AK41" s="28">
        <f t="shared" si="2"/>
        <v>0.19743827074410647</v>
      </c>
      <c r="AY41" s="28">
        <f t="shared" si="7"/>
        <v>2.9000000000000019E-2</v>
      </c>
      <c r="AZ41">
        <v>0.41886654255806144</v>
      </c>
      <c r="BA41" s="28">
        <f t="shared" si="3"/>
        <v>0.41886654255806144</v>
      </c>
    </row>
    <row r="42" spans="1:53" x14ac:dyDescent="0.25">
      <c r="A42" s="32">
        <f t="shared" si="4"/>
        <v>0.3000000000000001</v>
      </c>
      <c r="B42">
        <v>0.17471846675008393</v>
      </c>
      <c r="C42" s="32">
        <f t="shared" si="0"/>
        <v>0.3200395922541821</v>
      </c>
      <c r="S42" s="28">
        <f t="shared" si="5"/>
        <v>3.000000000000002E-2</v>
      </c>
      <c r="T42">
        <v>0.85238196966460156</v>
      </c>
      <c r="U42" s="28">
        <f t="shared" si="1"/>
        <v>0.69959027260351758</v>
      </c>
      <c r="AI42" s="28">
        <f t="shared" si="6"/>
        <v>3.000000000000002E-2</v>
      </c>
      <c r="AJ42">
        <v>0.22803430280465103</v>
      </c>
      <c r="AK42" s="28">
        <f t="shared" si="2"/>
        <v>0.13778396310082661</v>
      </c>
      <c r="AY42" s="28">
        <f t="shared" si="7"/>
        <v>3.000000000000002E-2</v>
      </c>
      <c r="AZ42">
        <v>0.45942564165166172</v>
      </c>
      <c r="BA42" s="28">
        <f t="shared" si="3"/>
        <v>0.45942564165166172</v>
      </c>
    </row>
    <row r="43" spans="1:53" x14ac:dyDescent="0.25">
      <c r="A43" s="32">
        <f t="shared" si="4"/>
        <v>0.31000000000000011</v>
      </c>
      <c r="B43">
        <v>0.80675679799798583</v>
      </c>
      <c r="C43" s="32">
        <f t="shared" si="0"/>
        <v>0.66738247185237976</v>
      </c>
      <c r="S43" s="28">
        <f t="shared" si="5"/>
        <v>3.1000000000000021E-2</v>
      </c>
      <c r="T43">
        <v>0.84987945188756986</v>
      </c>
      <c r="U43" s="28">
        <f t="shared" si="1"/>
        <v>0.6977061558966362</v>
      </c>
      <c r="AI43" s="28">
        <f t="shared" si="6"/>
        <v>3.1000000000000021E-2</v>
      </c>
      <c r="AJ43">
        <v>0.13504440443128757</v>
      </c>
      <c r="AK43" s="28">
        <f t="shared" si="2"/>
        <v>0.10988148478577695</v>
      </c>
      <c r="AY43" s="28">
        <f t="shared" si="7"/>
        <v>3.1000000000000021E-2</v>
      </c>
      <c r="AZ43">
        <v>4.2909024323252054E-2</v>
      </c>
      <c r="BA43" s="28">
        <f t="shared" si="3"/>
        <v>4.2909024323252054E-2</v>
      </c>
    </row>
    <row r="44" spans="1:53" x14ac:dyDescent="0.25">
      <c r="A44" s="32">
        <f t="shared" si="4"/>
        <v>0.32000000000000012</v>
      </c>
      <c r="B44">
        <v>0.70024719992675555</v>
      </c>
      <c r="C44" s="32">
        <f t="shared" si="0"/>
        <v>0.60341751844500524</v>
      </c>
      <c r="S44" s="28">
        <f t="shared" si="5"/>
        <v>3.2000000000000021E-2</v>
      </c>
      <c r="T44">
        <v>0.70705282753990295</v>
      </c>
      <c r="U44" s="28">
        <f t="shared" si="1"/>
        <v>0.60720409056289149</v>
      </c>
      <c r="AI44" s="28">
        <f t="shared" si="6"/>
        <v>3.2000000000000021E-2</v>
      </c>
      <c r="AJ44">
        <v>0.53611865596484265</v>
      </c>
      <c r="AK44" s="28">
        <f t="shared" si="2"/>
        <v>0.21769766421187964</v>
      </c>
      <c r="AY44" s="28">
        <f t="shared" si="7"/>
        <v>3.2000000000000021E-2</v>
      </c>
      <c r="AZ44">
        <v>0.19980468153935363</v>
      </c>
      <c r="BA44" s="28">
        <f t="shared" si="3"/>
        <v>0.1998046815393536</v>
      </c>
    </row>
    <row r="45" spans="1:53" x14ac:dyDescent="0.25">
      <c r="A45" s="32">
        <f t="shared" si="4"/>
        <v>0.33000000000000013</v>
      </c>
      <c r="B45">
        <v>0.49821466719565416</v>
      </c>
      <c r="C45" s="32">
        <f t="shared" si="0"/>
        <v>0.49910886273451477</v>
      </c>
      <c r="S45" s="28">
        <f t="shared" si="5"/>
        <v>3.3000000000000022E-2</v>
      </c>
      <c r="T45">
        <v>0.97650074770348216</v>
      </c>
      <c r="U45" s="28">
        <f t="shared" si="1"/>
        <v>0.84051769546884891</v>
      </c>
      <c r="AI45" s="28">
        <f t="shared" si="6"/>
        <v>3.3000000000000022E-2</v>
      </c>
      <c r="AJ45">
        <v>0.17123935666982024</v>
      </c>
      <c r="AK45" s="28">
        <f t="shared" si="2"/>
        <v>0.12139154479655979</v>
      </c>
      <c r="AY45" s="28">
        <f t="shared" si="7"/>
        <v>3.3000000000000022E-2</v>
      </c>
      <c r="AZ45">
        <v>0.43824579607531966</v>
      </c>
      <c r="BA45" s="28">
        <f t="shared" si="3"/>
        <v>0.43824579607531966</v>
      </c>
    </row>
    <row r="46" spans="1:53" x14ac:dyDescent="0.25">
      <c r="A46" s="32">
        <f t="shared" si="4"/>
        <v>0.34000000000000014</v>
      </c>
      <c r="B46">
        <v>0.62739951780755032</v>
      </c>
      <c r="C46" s="32">
        <f t="shared" si="0"/>
        <v>0.56443813008811983</v>
      </c>
      <c r="S46" s="28">
        <f t="shared" si="5"/>
        <v>3.4000000000000023E-2</v>
      </c>
      <c r="T46">
        <v>0.97491378521073035</v>
      </c>
      <c r="U46" s="28">
        <f t="shared" si="1"/>
        <v>0.83707123204790568</v>
      </c>
      <c r="AI46" s="28">
        <f t="shared" si="6"/>
        <v>3.4000000000000023E-2</v>
      </c>
      <c r="AJ46">
        <v>0.63716544083986937</v>
      </c>
      <c r="AK46" s="28">
        <f t="shared" si="2"/>
        <v>0.24639895661302746</v>
      </c>
      <c r="AY46" s="28">
        <f t="shared" si="7"/>
        <v>3.4000000000000023E-2</v>
      </c>
      <c r="AZ46">
        <v>0.80214850306711016</v>
      </c>
      <c r="BA46" s="28">
        <f t="shared" si="3"/>
        <v>0.80214850306711016</v>
      </c>
    </row>
    <row r="47" spans="1:53" x14ac:dyDescent="0.25">
      <c r="A47" s="32">
        <f t="shared" si="4"/>
        <v>0.35000000000000014</v>
      </c>
      <c r="B47">
        <v>0.29517502365184484</v>
      </c>
      <c r="C47" s="32">
        <f t="shared" si="0"/>
        <v>0.39403880021299093</v>
      </c>
      <c r="S47" s="28">
        <f t="shared" si="5"/>
        <v>3.5000000000000024E-2</v>
      </c>
      <c r="T47">
        <v>7.0741904965361493E-2</v>
      </c>
      <c r="U47" s="28">
        <f t="shared" si="1"/>
        <v>0.23086690723660663</v>
      </c>
      <c r="AI47" s="28">
        <f t="shared" si="6"/>
        <v>3.5000000000000024E-2</v>
      </c>
      <c r="AJ47">
        <v>0.966795861690115</v>
      </c>
      <c r="AK47" s="28">
        <f t="shared" si="2"/>
        <v>0.43361189962733737</v>
      </c>
      <c r="AY47" s="28">
        <f t="shared" si="7"/>
        <v>3.5000000000000024E-2</v>
      </c>
      <c r="AZ47">
        <v>0.35312967314676352</v>
      </c>
      <c r="BA47" s="28">
        <f t="shared" si="3"/>
        <v>0.35312967314676352</v>
      </c>
    </row>
    <row r="48" spans="1:53" x14ac:dyDescent="0.25">
      <c r="A48" s="32">
        <f t="shared" si="4"/>
        <v>0.36000000000000015</v>
      </c>
      <c r="B48">
        <v>0.75218970305490285</v>
      </c>
      <c r="C48" s="32">
        <f t="shared" si="0"/>
        <v>0.63319475623425991</v>
      </c>
      <c r="S48" s="28">
        <f t="shared" si="5"/>
        <v>3.6000000000000025E-2</v>
      </c>
      <c r="T48">
        <v>0.47602771080660422</v>
      </c>
      <c r="U48" s="28">
        <f t="shared" si="1"/>
        <v>0.48802894654952556</v>
      </c>
      <c r="AI48" s="28">
        <f t="shared" si="6"/>
        <v>3.6000000000000025E-2</v>
      </c>
      <c r="AJ48">
        <v>0.77190466017639703</v>
      </c>
      <c r="AK48" s="28">
        <f t="shared" si="2"/>
        <v>0.29278697728193259</v>
      </c>
      <c r="AY48" s="28">
        <f t="shared" si="7"/>
        <v>3.6000000000000025E-2</v>
      </c>
      <c r="AZ48">
        <v>0.63106173894466999</v>
      </c>
      <c r="BA48" s="28">
        <f t="shared" si="3"/>
        <v>0.63106173894466999</v>
      </c>
    </row>
    <row r="49" spans="1:53" x14ac:dyDescent="0.25">
      <c r="A49" s="32">
        <f t="shared" si="4"/>
        <v>0.37000000000000016</v>
      </c>
      <c r="B49">
        <v>0.6207464827417829</v>
      </c>
      <c r="C49" s="32">
        <f t="shared" si="0"/>
        <v>0.56098887783654083</v>
      </c>
      <c r="S49" s="28">
        <f t="shared" si="5"/>
        <v>3.7000000000000026E-2</v>
      </c>
      <c r="T49">
        <v>0.78286080507827993</v>
      </c>
      <c r="U49" s="28">
        <f t="shared" si="1"/>
        <v>0.65195220590164338</v>
      </c>
      <c r="AI49" s="28">
        <f t="shared" si="6"/>
        <v>3.7000000000000026E-2</v>
      </c>
      <c r="AJ49">
        <v>0.54646443067720574</v>
      </c>
      <c r="AK49" s="28">
        <f t="shared" si="2"/>
        <v>0.22049813269955787</v>
      </c>
      <c r="AY49" s="28">
        <f t="shared" si="7"/>
        <v>3.7000000000000026E-2</v>
      </c>
      <c r="AZ49">
        <v>0.92797631763664667</v>
      </c>
      <c r="BA49" s="28">
        <f t="shared" si="3"/>
        <v>0.92797631763664667</v>
      </c>
    </row>
    <row r="50" spans="1:53" x14ac:dyDescent="0.25">
      <c r="A50" s="32">
        <f t="shared" si="4"/>
        <v>0.38000000000000017</v>
      </c>
      <c r="B50">
        <v>0.93462935270241398</v>
      </c>
      <c r="C50" s="32">
        <f t="shared" si="0"/>
        <v>0.7753514749089967</v>
      </c>
      <c r="S50" s="28">
        <f t="shared" si="5"/>
        <v>3.8000000000000027E-2</v>
      </c>
      <c r="T50">
        <v>0.99136326181829282</v>
      </c>
      <c r="U50" s="28">
        <f t="shared" si="1"/>
        <v>0.88436458182323685</v>
      </c>
      <c r="AI50" s="28">
        <f t="shared" si="6"/>
        <v>3.8000000000000027E-2</v>
      </c>
      <c r="AJ50">
        <v>0.43772698141422772</v>
      </c>
      <c r="AK50" s="28">
        <f t="shared" si="2"/>
        <v>0.19200871110311934</v>
      </c>
      <c r="AY50" s="28">
        <f t="shared" si="7"/>
        <v>3.8000000000000027E-2</v>
      </c>
      <c r="AZ50">
        <v>0.37525559251686147</v>
      </c>
      <c r="BA50" s="28">
        <f t="shared" si="3"/>
        <v>0.37525559251686147</v>
      </c>
    </row>
    <row r="51" spans="1:53" x14ac:dyDescent="0.25">
      <c r="A51" s="32">
        <f t="shared" si="4"/>
        <v>0.39000000000000018</v>
      </c>
      <c r="B51">
        <v>0.81960509048738062</v>
      </c>
      <c r="C51" s="32">
        <f t="shared" si="0"/>
        <v>0.67604189986161978</v>
      </c>
      <c r="S51" s="28">
        <f t="shared" si="5"/>
        <v>3.9000000000000028E-2</v>
      </c>
      <c r="T51">
        <v>0.38859218115787225</v>
      </c>
      <c r="U51" s="28">
        <f t="shared" si="1"/>
        <v>0.44382925334085804</v>
      </c>
      <c r="AI51" s="28">
        <f t="shared" si="6"/>
        <v>3.9000000000000028E-2</v>
      </c>
      <c r="AJ51">
        <v>0.26496169927060764</v>
      </c>
      <c r="AK51" s="28">
        <f t="shared" si="2"/>
        <v>0.1477729428344578</v>
      </c>
      <c r="AY51" s="28">
        <f t="shared" si="7"/>
        <v>3.9000000000000028E-2</v>
      </c>
      <c r="AZ51">
        <v>0.32923368022705773</v>
      </c>
      <c r="BA51" s="28">
        <f t="shared" si="3"/>
        <v>0.32923368022705773</v>
      </c>
    </row>
    <row r="52" spans="1:53" x14ac:dyDescent="0.25">
      <c r="A52" s="32">
        <f t="shared" si="4"/>
        <v>0.40000000000000019</v>
      </c>
      <c r="B52">
        <v>0.42854091006195255</v>
      </c>
      <c r="C52" s="32">
        <f t="shared" si="0"/>
        <v>0.46418551493795213</v>
      </c>
      <c r="S52" s="28">
        <f t="shared" si="5"/>
        <v>4.0000000000000029E-2</v>
      </c>
      <c r="T52">
        <v>0.39963988158818325</v>
      </c>
      <c r="U52" s="28">
        <f t="shared" si="1"/>
        <v>0.44949685103833364</v>
      </c>
      <c r="AI52" s="28">
        <f t="shared" si="6"/>
        <v>4.0000000000000029E-2</v>
      </c>
      <c r="AJ52">
        <v>0.34220404675435651</v>
      </c>
      <c r="AK52" s="28">
        <f t="shared" si="2"/>
        <v>0.16777743081168356</v>
      </c>
      <c r="AY52" s="28">
        <f t="shared" si="7"/>
        <v>4.0000000000000029E-2</v>
      </c>
      <c r="AZ52">
        <v>0.14966277047029022</v>
      </c>
      <c r="BA52" s="28">
        <f t="shared" si="3"/>
        <v>0.14966277047029022</v>
      </c>
    </row>
    <row r="53" spans="1:53" x14ac:dyDescent="0.25">
      <c r="A53" s="32">
        <f t="shared" si="4"/>
        <v>0.4100000000000002</v>
      </c>
      <c r="B53">
        <v>7.9195532090212711E-2</v>
      </c>
      <c r="C53" s="32">
        <f t="shared" si="0"/>
        <v>0.24012232178167484</v>
      </c>
      <c r="S53" s="28">
        <f t="shared" si="5"/>
        <v>4.1000000000000029E-2</v>
      </c>
      <c r="T53">
        <v>0.44514297921689505</v>
      </c>
      <c r="U53" s="28">
        <f t="shared" si="1"/>
        <v>0.47255266290183123</v>
      </c>
      <c r="AI53" s="28">
        <f t="shared" si="6"/>
        <v>4.1000000000000029E-2</v>
      </c>
      <c r="AJ53">
        <v>0.74752037110507519</v>
      </c>
      <c r="AK53" s="28">
        <f t="shared" si="2"/>
        <v>0.28330574348544657</v>
      </c>
      <c r="AY53" s="28">
        <f t="shared" si="7"/>
        <v>4.1000000000000029E-2</v>
      </c>
      <c r="AZ53">
        <v>0.43183690908536027</v>
      </c>
      <c r="BA53" s="28">
        <f t="shared" si="3"/>
        <v>0.43183690908536027</v>
      </c>
    </row>
    <row r="54" spans="1:53" x14ac:dyDescent="0.25">
      <c r="A54" s="32">
        <f t="shared" si="4"/>
        <v>0.42000000000000021</v>
      </c>
      <c r="B54">
        <v>0.38764610736411631</v>
      </c>
      <c r="C54" s="32">
        <f t="shared" si="0"/>
        <v>0.44334232820705138</v>
      </c>
      <c r="S54" s="28">
        <f t="shared" si="5"/>
        <v>4.200000000000003E-2</v>
      </c>
      <c r="T54">
        <v>0.51173436689352092</v>
      </c>
      <c r="U54" s="28">
        <f t="shared" si="1"/>
        <v>0.5058577593041601</v>
      </c>
      <c r="AI54" s="28">
        <f t="shared" si="6"/>
        <v>4.200000000000003E-2</v>
      </c>
      <c r="AJ54">
        <v>0.17853328043458358</v>
      </c>
      <c r="AK54" s="28">
        <f t="shared" si="2"/>
        <v>0.12359160931854184</v>
      </c>
      <c r="AY54" s="28">
        <f t="shared" si="7"/>
        <v>4.200000000000003E-2</v>
      </c>
      <c r="AZ54">
        <v>0.4833826715903195</v>
      </c>
      <c r="BA54" s="28">
        <f t="shared" si="3"/>
        <v>0.4833826715903195</v>
      </c>
    </row>
    <row r="55" spans="1:53" x14ac:dyDescent="0.25">
      <c r="A55" s="32">
        <f t="shared" si="4"/>
        <v>0.43000000000000022</v>
      </c>
      <c r="B55">
        <v>0.10248115482039857</v>
      </c>
      <c r="C55" s="32">
        <f t="shared" si="0"/>
        <v>0.26302679013613567</v>
      </c>
      <c r="S55" s="28">
        <f t="shared" si="5"/>
        <v>4.3000000000000031E-2</v>
      </c>
      <c r="T55">
        <v>0.88573870052186654</v>
      </c>
      <c r="U55" s="28">
        <f t="shared" si="1"/>
        <v>0.72648627457550785</v>
      </c>
      <c r="AI55" s="28">
        <f t="shared" si="6"/>
        <v>4.3000000000000031E-2</v>
      </c>
      <c r="AJ55">
        <v>0.7704092532120731</v>
      </c>
      <c r="AK55" s="28">
        <f t="shared" si="2"/>
        <v>0.29218648494775923</v>
      </c>
      <c r="AY55" s="28">
        <f t="shared" si="7"/>
        <v>4.3000000000000031E-2</v>
      </c>
      <c r="AZ55">
        <v>0.74932096316415908</v>
      </c>
      <c r="BA55" s="28">
        <f t="shared" si="3"/>
        <v>0.74932096316415908</v>
      </c>
    </row>
    <row r="56" spans="1:53" x14ac:dyDescent="0.25">
      <c r="A56" s="32">
        <f t="shared" si="4"/>
        <v>0.44000000000000022</v>
      </c>
      <c r="B56">
        <v>0.27323221533860287</v>
      </c>
      <c r="C56" s="32">
        <f t="shared" si="0"/>
        <v>0.38164483532014243</v>
      </c>
      <c r="S56" s="28">
        <f t="shared" si="5"/>
        <v>4.4000000000000032E-2</v>
      </c>
      <c r="T56">
        <v>0.99301126132999662</v>
      </c>
      <c r="U56" s="28">
        <f t="shared" si="1"/>
        <v>0.89183989350160808</v>
      </c>
      <c r="AI56" s="28">
        <f t="shared" si="6"/>
        <v>4.4000000000000032E-2</v>
      </c>
      <c r="AJ56">
        <v>0.3630787072359386</v>
      </c>
      <c r="AK56" s="28">
        <f t="shared" si="2"/>
        <v>0.17307798508360178</v>
      </c>
      <c r="AY56" s="28">
        <f t="shared" si="7"/>
        <v>4.4000000000000032E-2</v>
      </c>
      <c r="AZ56">
        <v>0.84563737907040615</v>
      </c>
      <c r="BA56" s="28">
        <f t="shared" si="3"/>
        <v>0.84563737907040615</v>
      </c>
    </row>
    <row r="57" spans="1:53" x14ac:dyDescent="0.25">
      <c r="A57" s="32">
        <f t="shared" si="4"/>
        <v>0.45000000000000023</v>
      </c>
      <c r="B57">
        <v>0.60765404217658014</v>
      </c>
      <c r="C57" s="32">
        <f t="shared" si="0"/>
        <v>0.55424127149209812</v>
      </c>
      <c r="S57" s="28">
        <f t="shared" si="5"/>
        <v>4.5000000000000033E-2</v>
      </c>
      <c r="T57">
        <v>0.63142796105838195</v>
      </c>
      <c r="U57" s="28">
        <f t="shared" si="1"/>
        <v>0.56653389166478973</v>
      </c>
      <c r="AI57" s="28">
        <f t="shared" si="6"/>
        <v>4.5000000000000033E-2</v>
      </c>
      <c r="AJ57">
        <v>0.91137424848170412</v>
      </c>
      <c r="AK57" s="28">
        <f t="shared" si="2"/>
        <v>0.36918706832911363</v>
      </c>
      <c r="AY57" s="28">
        <f t="shared" si="7"/>
        <v>4.5000000000000033E-2</v>
      </c>
      <c r="AZ57">
        <v>0.90701010162663653</v>
      </c>
      <c r="BA57" s="28">
        <f t="shared" si="3"/>
        <v>0.90701010162663653</v>
      </c>
    </row>
    <row r="58" spans="1:53" x14ac:dyDescent="0.25">
      <c r="A58" s="32">
        <f t="shared" si="4"/>
        <v>0.46000000000000024</v>
      </c>
      <c r="B58">
        <v>0.1868953520310068</v>
      </c>
      <c r="C58" s="32">
        <f t="shared" si="0"/>
        <v>0.32837414393830472</v>
      </c>
      <c r="S58" s="28">
        <f t="shared" si="5"/>
        <v>4.6000000000000034E-2</v>
      </c>
      <c r="T58">
        <v>0.39167455061494799</v>
      </c>
      <c r="U58" s="28">
        <f t="shared" si="1"/>
        <v>0.44541391033026106</v>
      </c>
      <c r="AI58" s="28">
        <f t="shared" si="6"/>
        <v>4.6000000000000034E-2</v>
      </c>
      <c r="AJ58">
        <v>0.49415570543534654</v>
      </c>
      <c r="AK58" s="28">
        <f t="shared" si="2"/>
        <v>0.20656460136912896</v>
      </c>
      <c r="AY58" s="28">
        <f t="shared" si="7"/>
        <v>4.6000000000000034E-2</v>
      </c>
      <c r="AZ58">
        <v>7.3854792931913202E-2</v>
      </c>
      <c r="BA58" s="28">
        <f t="shared" si="3"/>
        <v>7.3854792931913202E-2</v>
      </c>
    </row>
    <row r="59" spans="1:53" x14ac:dyDescent="0.25">
      <c r="A59" s="32">
        <f t="shared" si="4"/>
        <v>0.47000000000000025</v>
      </c>
      <c r="B59">
        <v>0.83394878994109922</v>
      </c>
      <c r="C59" s="32">
        <f t="shared" si="0"/>
        <v>0.68606388136667529</v>
      </c>
      <c r="S59" s="28">
        <f t="shared" si="5"/>
        <v>4.7000000000000035E-2</v>
      </c>
      <c r="T59">
        <v>0.91592150639362768</v>
      </c>
      <c r="U59" s="28">
        <f t="shared" si="1"/>
        <v>0.75478836546018435</v>
      </c>
      <c r="AI59" s="28">
        <f t="shared" si="6"/>
        <v>4.7000000000000035E-2</v>
      </c>
      <c r="AJ59">
        <v>0.94308297982726519</v>
      </c>
      <c r="AK59" s="28">
        <f t="shared" si="2"/>
        <v>0.39969956253084638</v>
      </c>
      <c r="AY59" s="28">
        <f t="shared" si="7"/>
        <v>4.7000000000000035E-2</v>
      </c>
      <c r="AZ59">
        <v>0.8146916104617451</v>
      </c>
      <c r="BA59" s="28">
        <f t="shared" si="3"/>
        <v>0.8146916104617451</v>
      </c>
    </row>
    <row r="60" spans="1:53" x14ac:dyDescent="0.25">
      <c r="A60" s="32">
        <f t="shared" si="4"/>
        <v>0.48000000000000026</v>
      </c>
      <c r="B60">
        <v>0.84148686178167054</v>
      </c>
      <c r="C60" s="32">
        <f t="shared" si="0"/>
        <v>0.69150014516059866</v>
      </c>
      <c r="S60" s="28">
        <f t="shared" si="5"/>
        <v>4.8000000000000036E-2</v>
      </c>
      <c r="T60">
        <v>0.93374431592761009</v>
      </c>
      <c r="U60" s="28">
        <f t="shared" si="1"/>
        <v>0.77430684966890428</v>
      </c>
      <c r="AI60" s="28">
        <f t="shared" si="6"/>
        <v>4.8000000000000036E-2</v>
      </c>
      <c r="AJ60">
        <v>0.86318552201910459</v>
      </c>
      <c r="AK60" s="28">
        <f t="shared" si="2"/>
        <v>0.33635687500532729</v>
      </c>
      <c r="AY60" s="28">
        <f t="shared" si="7"/>
        <v>4.8000000000000036E-2</v>
      </c>
      <c r="AZ60">
        <v>0.4847254860072634</v>
      </c>
      <c r="BA60" s="28">
        <f t="shared" si="3"/>
        <v>0.4847254860072634</v>
      </c>
    </row>
    <row r="61" spans="1:53" x14ac:dyDescent="0.25">
      <c r="A61" s="32">
        <f t="shared" si="4"/>
        <v>0.49000000000000027</v>
      </c>
      <c r="B61">
        <v>0.16397595141453292</v>
      </c>
      <c r="C61" s="32">
        <f t="shared" si="0"/>
        <v>0.31245184063017578</v>
      </c>
      <c r="S61" s="28">
        <f t="shared" si="5"/>
        <v>4.9000000000000037E-2</v>
      </c>
      <c r="T61">
        <v>0.59251686147648552</v>
      </c>
      <c r="U61" s="28">
        <f t="shared" si="1"/>
        <v>0.54649863644671925</v>
      </c>
      <c r="AI61" s="28">
        <f t="shared" si="6"/>
        <v>4.9000000000000037E-2</v>
      </c>
      <c r="AJ61">
        <v>0.22568437757499923</v>
      </c>
      <c r="AK61" s="28">
        <f t="shared" si="2"/>
        <v>0.13713395972610201</v>
      </c>
      <c r="AY61" s="28">
        <f t="shared" si="7"/>
        <v>4.9000000000000037E-2</v>
      </c>
      <c r="AZ61">
        <v>0.44718771935178686</v>
      </c>
      <c r="BA61" s="28">
        <f t="shared" si="3"/>
        <v>0.44718771935178686</v>
      </c>
    </row>
    <row r="62" spans="1:53" x14ac:dyDescent="0.25">
      <c r="A62" s="32">
        <f t="shared" si="4"/>
        <v>0.50000000000000022</v>
      </c>
      <c r="B62">
        <v>8.8259529404583884E-2</v>
      </c>
      <c r="C62" s="32">
        <f t="shared" si="0"/>
        <v>0.24943749987896355</v>
      </c>
      <c r="S62" s="28">
        <f t="shared" si="5"/>
        <v>5.0000000000000037E-2</v>
      </c>
      <c r="T62">
        <v>0.52769554734946744</v>
      </c>
      <c r="U62" s="28">
        <f t="shared" si="1"/>
        <v>0.51383245789284804</v>
      </c>
      <c r="AI62" s="28">
        <f t="shared" si="6"/>
        <v>5.0000000000000037E-2</v>
      </c>
      <c r="AJ62">
        <v>0.49967955565050204</v>
      </c>
      <c r="AK62" s="28">
        <f t="shared" si="2"/>
        <v>0.20801194735406378</v>
      </c>
      <c r="AY62" s="28">
        <f t="shared" si="7"/>
        <v>5.0000000000000037E-2</v>
      </c>
      <c r="AZ62">
        <v>0.19214453566087833</v>
      </c>
      <c r="BA62" s="28">
        <f t="shared" si="3"/>
        <v>0.19214453566087833</v>
      </c>
    </row>
    <row r="63" spans="1:53" x14ac:dyDescent="0.25">
      <c r="A63" s="32">
        <f t="shared" si="4"/>
        <v>0.51000000000000023</v>
      </c>
      <c r="B63">
        <v>0.35822626422925502</v>
      </c>
      <c r="C63" s="32">
        <f t="shared" si="0"/>
        <v>0.42805712055363077</v>
      </c>
      <c r="S63" s="28">
        <f t="shared" si="5"/>
        <v>5.1000000000000038E-2</v>
      </c>
      <c r="T63">
        <v>0.34253975035859247</v>
      </c>
      <c r="U63" s="28">
        <f t="shared" si="1"/>
        <v>0.41977547929996933</v>
      </c>
      <c r="AI63" s="28">
        <f t="shared" si="6"/>
        <v>5.1000000000000038E-2</v>
      </c>
      <c r="AJ63">
        <v>0.90322580645161288</v>
      </c>
      <c r="AK63" s="28">
        <f t="shared" si="2"/>
        <v>0.36279206145320109</v>
      </c>
      <c r="AY63" s="28">
        <f t="shared" si="7"/>
        <v>5.1000000000000038E-2</v>
      </c>
      <c r="AZ63">
        <v>0.90914639728995639</v>
      </c>
      <c r="BA63" s="28">
        <f t="shared" si="3"/>
        <v>0.90914639728995639</v>
      </c>
    </row>
    <row r="64" spans="1:53" x14ac:dyDescent="0.25">
      <c r="A64" s="32">
        <f t="shared" si="4"/>
        <v>0.52000000000000024</v>
      </c>
      <c r="B64">
        <v>0.76494644001586964</v>
      </c>
      <c r="C64" s="32">
        <f t="shared" si="0"/>
        <v>0.64087041132740918</v>
      </c>
      <c r="S64" s="28">
        <f t="shared" si="5"/>
        <v>5.2000000000000039E-2</v>
      </c>
      <c r="T64">
        <v>0.47181615649891662</v>
      </c>
      <c r="U64" s="28">
        <f t="shared" si="1"/>
        <v>0.48592335804039338</v>
      </c>
      <c r="AI64" s="28">
        <f t="shared" si="6"/>
        <v>5.2000000000000039E-2</v>
      </c>
      <c r="AJ64">
        <v>0.5859248634296701</v>
      </c>
      <c r="AK64" s="28">
        <f t="shared" si="2"/>
        <v>0.23143427322621757</v>
      </c>
      <c r="AY64" s="28">
        <f t="shared" si="7"/>
        <v>5.2000000000000039E-2</v>
      </c>
      <c r="AZ64">
        <v>0.85534226508377331</v>
      </c>
      <c r="BA64" s="28">
        <f t="shared" si="3"/>
        <v>0.85534226508377331</v>
      </c>
    </row>
    <row r="65" spans="1:53" x14ac:dyDescent="0.25">
      <c r="A65" s="32">
        <f t="shared" si="4"/>
        <v>0.53000000000000025</v>
      </c>
      <c r="B65">
        <v>0.35956907864619891</v>
      </c>
      <c r="C65" s="32">
        <f t="shared" si="0"/>
        <v>0.42876143103472714</v>
      </c>
      <c r="S65" s="28">
        <f t="shared" si="5"/>
        <v>5.300000000000004E-2</v>
      </c>
      <c r="T65">
        <v>0.55745109408856475</v>
      </c>
      <c r="U65" s="28">
        <f t="shared" si="1"/>
        <v>0.52875198753747088</v>
      </c>
      <c r="AI65" s="28">
        <f t="shared" si="6"/>
        <v>5.300000000000004E-2</v>
      </c>
      <c r="AJ65">
        <v>0.64842677083651235</v>
      </c>
      <c r="AK65" s="28">
        <f t="shared" si="2"/>
        <v>0.24983231582253851</v>
      </c>
      <c r="AY65" s="28">
        <f t="shared" si="7"/>
        <v>5.300000000000004E-2</v>
      </c>
      <c r="AZ65">
        <v>0.36741233558153019</v>
      </c>
      <c r="BA65" s="28">
        <f t="shared" si="3"/>
        <v>0.36741233558153019</v>
      </c>
    </row>
    <row r="66" spans="1:53" x14ac:dyDescent="0.25">
      <c r="A66" s="32">
        <f t="shared" si="4"/>
        <v>0.54000000000000026</v>
      </c>
      <c r="B66">
        <v>0.23853267006439405</v>
      </c>
      <c r="C66" s="32">
        <f t="shared" si="0"/>
        <v>0.36123965523582724</v>
      </c>
      <c r="S66" s="28">
        <f t="shared" si="5"/>
        <v>5.4000000000000041E-2</v>
      </c>
      <c r="T66">
        <v>0.79558702352977084</v>
      </c>
      <c r="U66" s="28">
        <f t="shared" si="1"/>
        <v>0.66006879259966822</v>
      </c>
      <c r="AI66" s="28">
        <f t="shared" si="6"/>
        <v>5.4000000000000041E-2</v>
      </c>
      <c r="AJ66">
        <v>0.25748466444898832</v>
      </c>
      <c r="AK66" s="28">
        <f t="shared" si="2"/>
        <v>0.14578073307808531</v>
      </c>
      <c r="AY66" s="28">
        <f t="shared" si="7"/>
        <v>5.4000000000000041E-2</v>
      </c>
      <c r="AZ66">
        <v>0.35282448805200356</v>
      </c>
      <c r="BA66" s="28">
        <f t="shared" si="3"/>
        <v>0.35282448805200356</v>
      </c>
    </row>
    <row r="67" spans="1:53" x14ac:dyDescent="0.25">
      <c r="A67" s="32">
        <f t="shared" si="4"/>
        <v>0.55000000000000027</v>
      </c>
      <c r="B67">
        <v>0.79222998748741114</v>
      </c>
      <c r="C67" s="32">
        <f t="shared" si="0"/>
        <v>0.65790636917304646</v>
      </c>
      <c r="S67" s="28">
        <f t="shared" si="5"/>
        <v>5.5000000000000042E-2</v>
      </c>
      <c r="T67">
        <v>0.34949797051911985</v>
      </c>
      <c r="U67" s="28">
        <f t="shared" si="1"/>
        <v>0.42346169833986774</v>
      </c>
      <c r="AI67" s="28">
        <f t="shared" si="6"/>
        <v>5.5000000000000042E-2</v>
      </c>
      <c r="AJ67">
        <v>0.15546128727072969</v>
      </c>
      <c r="AK67" s="28">
        <f t="shared" si="2"/>
        <v>0.11650707550432141</v>
      </c>
      <c r="AY67" s="28">
        <f t="shared" si="7"/>
        <v>5.5000000000000042E-2</v>
      </c>
      <c r="AZ67">
        <v>0.61046174504837181</v>
      </c>
      <c r="BA67" s="28">
        <f t="shared" si="3"/>
        <v>0.61046174504837181</v>
      </c>
    </row>
    <row r="68" spans="1:53" x14ac:dyDescent="0.25">
      <c r="A68" s="32">
        <f t="shared" si="4"/>
        <v>0.56000000000000028</v>
      </c>
      <c r="B68">
        <v>0.52180547502060004</v>
      </c>
      <c r="C68" s="32">
        <f t="shared" si="0"/>
        <v>0.51088815058181414</v>
      </c>
      <c r="S68" s="28">
        <f t="shared" si="5"/>
        <v>5.6000000000000043E-2</v>
      </c>
      <c r="T68">
        <v>0.12256233405560472</v>
      </c>
      <c r="U68" s="28">
        <f t="shared" si="1"/>
        <v>0.28055645317316835</v>
      </c>
      <c r="AI68" s="28">
        <f t="shared" si="6"/>
        <v>5.6000000000000043E-2</v>
      </c>
      <c r="AJ68">
        <v>0.44160283211767937</v>
      </c>
      <c r="AK68" s="28">
        <f t="shared" si="2"/>
        <v>0.19299796044531844</v>
      </c>
      <c r="AY68" s="28">
        <f t="shared" si="7"/>
        <v>5.6000000000000043E-2</v>
      </c>
      <c r="AZ68">
        <v>0.35947752311777093</v>
      </c>
      <c r="BA68" s="28">
        <f t="shared" si="3"/>
        <v>0.35947752311777093</v>
      </c>
    </row>
    <row r="69" spans="1:53" x14ac:dyDescent="0.25">
      <c r="A69" s="32">
        <f t="shared" si="4"/>
        <v>0.57000000000000028</v>
      </c>
      <c r="B69">
        <v>0.77391888180181279</v>
      </c>
      <c r="C69" s="32">
        <f t="shared" si="0"/>
        <v>0.64637369975575842</v>
      </c>
      <c r="S69" s="28">
        <f t="shared" si="5"/>
        <v>5.7000000000000044E-2</v>
      </c>
      <c r="T69">
        <v>0.27970213934751426</v>
      </c>
      <c r="U69" s="28">
        <f t="shared" si="1"/>
        <v>0.3853357816624422</v>
      </c>
      <c r="AI69" s="28">
        <f t="shared" si="6"/>
        <v>5.7000000000000044E-2</v>
      </c>
      <c r="AJ69">
        <v>0.67574083681752983</v>
      </c>
      <c r="AK69" s="28">
        <f t="shared" si="2"/>
        <v>0.25842286460955199</v>
      </c>
      <c r="AY69" s="28">
        <f t="shared" si="7"/>
        <v>5.7000000000000044E-2</v>
      </c>
      <c r="AZ69">
        <v>0.55595568712424082</v>
      </c>
      <c r="BA69" s="28">
        <f t="shared" si="3"/>
        <v>0.55595568712424082</v>
      </c>
    </row>
    <row r="70" spans="1:53" x14ac:dyDescent="0.25">
      <c r="A70" s="32">
        <f t="shared" si="4"/>
        <v>0.58000000000000029</v>
      </c>
      <c r="B70">
        <v>0.35660878322702722</v>
      </c>
      <c r="C70" s="32">
        <f t="shared" si="0"/>
        <v>0.42720781874056746</v>
      </c>
      <c r="S70" s="28">
        <f t="shared" si="5"/>
        <v>5.8000000000000045E-2</v>
      </c>
      <c r="T70">
        <v>0.53709524826807453</v>
      </c>
      <c r="U70" s="28">
        <f t="shared" si="1"/>
        <v>0.51853611065484206</v>
      </c>
      <c r="AI70" s="28">
        <f t="shared" si="6"/>
        <v>5.8000000000000045E-2</v>
      </c>
      <c r="AJ70">
        <v>9.7750785851619004E-2</v>
      </c>
      <c r="AK70" s="28">
        <f t="shared" si="2"/>
        <v>9.6526354728319802E-2</v>
      </c>
      <c r="AY70" s="28">
        <f t="shared" si="7"/>
        <v>5.8000000000000045E-2</v>
      </c>
      <c r="AZ70">
        <v>0.10818811609241005</v>
      </c>
      <c r="BA70" s="28">
        <f t="shared" si="3"/>
        <v>0.10818811609241004</v>
      </c>
    </row>
    <row r="71" spans="1:53" x14ac:dyDescent="0.25">
      <c r="A71" s="32">
        <f t="shared" si="4"/>
        <v>0.5900000000000003</v>
      </c>
      <c r="B71">
        <v>0.10632648701437422</v>
      </c>
      <c r="C71" s="32">
        <f t="shared" si="0"/>
        <v>0.26651901490516844</v>
      </c>
      <c r="S71" s="28">
        <f t="shared" si="5"/>
        <v>5.9000000000000045E-2</v>
      </c>
      <c r="T71">
        <v>0.60527359843745232</v>
      </c>
      <c r="U71" s="28">
        <f t="shared" si="1"/>
        <v>0.55301973432975671</v>
      </c>
      <c r="AI71" s="28">
        <f t="shared" si="6"/>
        <v>5.9000000000000045E-2</v>
      </c>
      <c r="AJ71">
        <v>0.75273903622547078</v>
      </c>
      <c r="AK71" s="28">
        <f t="shared" si="2"/>
        <v>0.28528192747525627</v>
      </c>
      <c r="AY71" s="28">
        <f t="shared" si="7"/>
        <v>5.9000000000000045E-2</v>
      </c>
      <c r="AZ71">
        <v>0.10989715262306589</v>
      </c>
      <c r="BA71" s="28">
        <f t="shared" si="3"/>
        <v>0.10989715262306587</v>
      </c>
    </row>
    <row r="72" spans="1:53" x14ac:dyDescent="0.25">
      <c r="A72" s="32">
        <f t="shared" si="4"/>
        <v>0.60000000000000031</v>
      </c>
      <c r="B72">
        <v>0.31830805383465072</v>
      </c>
      <c r="C72" s="32">
        <f t="shared" si="0"/>
        <v>0.40676153349111027</v>
      </c>
      <c r="S72" s="28">
        <f t="shared" si="5"/>
        <v>6.0000000000000046E-2</v>
      </c>
      <c r="T72">
        <v>0.29902035584582048</v>
      </c>
      <c r="U72" s="28">
        <f t="shared" si="1"/>
        <v>0.39617639992876069</v>
      </c>
      <c r="AI72" s="28">
        <f t="shared" si="6"/>
        <v>6.0000000000000046E-2</v>
      </c>
      <c r="AJ72">
        <v>0.64125492110965299</v>
      </c>
      <c r="AK72" s="28">
        <f t="shared" si="2"/>
        <v>0.2476389850061832</v>
      </c>
      <c r="AY72" s="28">
        <f t="shared" si="7"/>
        <v>6.0000000000000046E-2</v>
      </c>
      <c r="AZ72">
        <v>0.37897885067293313</v>
      </c>
      <c r="BA72" s="28">
        <f t="shared" si="3"/>
        <v>0.37897885067293313</v>
      </c>
    </row>
    <row r="73" spans="1:53" x14ac:dyDescent="0.25">
      <c r="A73" s="32">
        <f t="shared" si="4"/>
        <v>0.61000000000000032</v>
      </c>
      <c r="B73">
        <v>0.93527024140140991</v>
      </c>
      <c r="C73" s="32">
        <f t="shared" si="0"/>
        <v>0.77611311087865054</v>
      </c>
      <c r="S73" s="28">
        <f t="shared" si="5"/>
        <v>6.1000000000000047E-2</v>
      </c>
      <c r="T73">
        <v>0.76464125492110968</v>
      </c>
      <c r="U73" s="28">
        <f t="shared" si="1"/>
        <v>0.64068479843750525</v>
      </c>
      <c r="AI73" s="28">
        <f t="shared" si="6"/>
        <v>6.1000000000000047E-2</v>
      </c>
      <c r="AJ73">
        <v>6.543168431653798E-2</v>
      </c>
      <c r="AK73" s="28">
        <f t="shared" si="2"/>
        <v>8.2785292196365379E-2</v>
      </c>
      <c r="AY73" s="28">
        <f t="shared" si="7"/>
        <v>6.1000000000000047E-2</v>
      </c>
      <c r="AZ73">
        <v>0.50053407391582994</v>
      </c>
      <c r="BA73" s="28">
        <f t="shared" si="3"/>
        <v>0.50053407391582994</v>
      </c>
    </row>
    <row r="74" spans="1:53" x14ac:dyDescent="0.25">
      <c r="A74" s="32">
        <f t="shared" si="4"/>
        <v>0.62000000000000033</v>
      </c>
      <c r="B74">
        <v>0.91702017273476366</v>
      </c>
      <c r="C74" s="32">
        <f t="shared" si="0"/>
        <v>0.75591847144710622</v>
      </c>
      <c r="S74" s="28">
        <f t="shared" si="5"/>
        <v>6.2000000000000048E-2</v>
      </c>
      <c r="T74">
        <v>0.50215155491805785</v>
      </c>
      <c r="U74" s="28">
        <f t="shared" si="1"/>
        <v>0.50107393588393312</v>
      </c>
      <c r="AI74" s="28">
        <f t="shared" si="6"/>
        <v>6.2000000000000048E-2</v>
      </c>
      <c r="AJ74">
        <v>7.3732718894009217E-2</v>
      </c>
      <c r="AK74" s="28">
        <f t="shared" si="2"/>
        <v>8.6592522701896033E-2</v>
      </c>
      <c r="AY74" s="28">
        <f t="shared" si="7"/>
        <v>6.2000000000000048E-2</v>
      </c>
      <c r="AZ74">
        <v>0.5952330088198492</v>
      </c>
      <c r="BA74" s="28">
        <f t="shared" si="3"/>
        <v>0.5952330088198492</v>
      </c>
    </row>
    <row r="75" spans="1:53" x14ac:dyDescent="0.25">
      <c r="A75" s="32">
        <f t="shared" si="4"/>
        <v>0.63000000000000034</v>
      </c>
      <c r="B75">
        <v>0.2000488296151616</v>
      </c>
      <c r="C75" s="32">
        <f t="shared" si="0"/>
        <v>0.33709593735801546</v>
      </c>
      <c r="S75" s="28">
        <f t="shared" si="5"/>
        <v>6.3000000000000042E-2</v>
      </c>
      <c r="T75">
        <v>6.1861018707846306E-2</v>
      </c>
      <c r="U75" s="28">
        <f t="shared" si="1"/>
        <v>0.22042219322201712</v>
      </c>
      <c r="AI75" s="28">
        <f t="shared" si="6"/>
        <v>6.3000000000000042E-2</v>
      </c>
      <c r="AJ75">
        <v>5.5330057679982912E-2</v>
      </c>
      <c r="AK75" s="28">
        <f t="shared" si="2"/>
        <v>7.7791757047687649E-2</v>
      </c>
      <c r="AY75" s="28">
        <f t="shared" si="7"/>
        <v>6.3000000000000042E-2</v>
      </c>
      <c r="AZ75">
        <v>0.69618823816644793</v>
      </c>
      <c r="BA75" s="28">
        <f t="shared" si="3"/>
        <v>0.69618823816644793</v>
      </c>
    </row>
    <row r="76" spans="1:53" x14ac:dyDescent="0.25">
      <c r="A76" s="32">
        <f t="shared" si="4"/>
        <v>0.64000000000000035</v>
      </c>
      <c r="B76">
        <v>0.98788415173802913</v>
      </c>
      <c r="C76" s="32">
        <f t="shared" si="0"/>
        <v>0.87122748219581958</v>
      </c>
      <c r="S76" s="28">
        <f t="shared" si="5"/>
        <v>6.4000000000000043E-2</v>
      </c>
      <c r="T76">
        <v>4.0192876979888305E-2</v>
      </c>
      <c r="U76" s="28">
        <f t="shared" si="1"/>
        <v>0.19044609639219762</v>
      </c>
      <c r="AI76" s="28">
        <f t="shared" si="6"/>
        <v>6.4000000000000043E-2</v>
      </c>
      <c r="AJ76">
        <v>4.3641468550675987E-2</v>
      </c>
      <c r="AK76" s="28">
        <f t="shared" si="2"/>
        <v>7.1351135745512037E-2</v>
      </c>
      <c r="AY76" s="28">
        <f t="shared" si="7"/>
        <v>6.4000000000000043E-2</v>
      </c>
      <c r="AZ76">
        <v>0.44859157078768275</v>
      </c>
      <c r="BA76" s="28">
        <f t="shared" si="3"/>
        <v>0.44859157078768275</v>
      </c>
    </row>
    <row r="77" spans="1:53" x14ac:dyDescent="0.25">
      <c r="A77" s="32">
        <f t="shared" si="4"/>
        <v>0.65000000000000036</v>
      </c>
      <c r="B77">
        <v>0.24839014862514114</v>
      </c>
      <c r="C77" s="32">
        <f t="shared" ref="C77:C116" si="32">_xlfn.BETA.INV(B77,$D$5,$D$6,0,1)</f>
        <v>0.36715024461518331</v>
      </c>
      <c r="S77" s="28">
        <f t="shared" si="5"/>
        <v>6.5000000000000044E-2</v>
      </c>
      <c r="T77">
        <v>0.71025727103488268</v>
      </c>
      <c r="U77" s="28">
        <f t="shared" ref="U77:U140" si="33">_xlfn.BETA.INV(T77,$V$5,$V$6,0,1)</f>
        <v>0.60899766789549581</v>
      </c>
      <c r="AI77" s="28">
        <f t="shared" si="6"/>
        <v>6.5000000000000044E-2</v>
      </c>
      <c r="AJ77">
        <v>0.92159794915616322</v>
      </c>
      <c r="AK77" s="28">
        <f t="shared" ref="AK77:AK140" si="34">_xlfn.BETA.INV(AJ77,$AL$5,$AL$6,0,1)</f>
        <v>0.37790393745322015</v>
      </c>
      <c r="AY77" s="28">
        <f t="shared" si="7"/>
        <v>6.5000000000000044E-2</v>
      </c>
      <c r="AZ77">
        <v>0.89431440168462173</v>
      </c>
      <c r="BA77" s="28">
        <f t="shared" ref="BA77:BA140" si="35">_xlfn.BETA.INV(AZ77,$BB$5,$BB$6,0,1)</f>
        <v>0.89431440168462173</v>
      </c>
    </row>
    <row r="78" spans="1:53" x14ac:dyDescent="0.25">
      <c r="A78" s="32">
        <f t="shared" ref="A78:A116" si="36">A77+0.01</f>
        <v>0.66000000000000036</v>
      </c>
      <c r="B78">
        <v>0.4910122989593188</v>
      </c>
      <c r="C78" s="32">
        <f t="shared" si="32"/>
        <v>0.49551357073835745</v>
      </c>
      <c r="S78" s="28">
        <f t="shared" ref="S78:S141" si="37">S77+0.001</f>
        <v>6.6000000000000045E-2</v>
      </c>
      <c r="T78">
        <v>0.65202795495468002</v>
      </c>
      <c r="U78" s="28">
        <f t="shared" si="33"/>
        <v>0.57734490410699624</v>
      </c>
      <c r="AI78" s="28">
        <f t="shared" ref="AI78:AI141" si="38">AI77+0.001</f>
        <v>6.6000000000000045E-2</v>
      </c>
      <c r="AJ78">
        <v>0.33283486434522536</v>
      </c>
      <c r="AK78" s="28">
        <f t="shared" si="34"/>
        <v>0.16538970690919708</v>
      </c>
      <c r="AY78" s="28">
        <f t="shared" ref="AY78:AY141" si="39">AY77+0.001</f>
        <v>6.6000000000000045E-2</v>
      </c>
      <c r="AZ78">
        <v>0.34244819483016448</v>
      </c>
      <c r="BA78" s="28">
        <f t="shared" si="35"/>
        <v>0.34244819483016448</v>
      </c>
    </row>
    <row r="79" spans="1:53" x14ac:dyDescent="0.25">
      <c r="A79" s="32">
        <f t="shared" si="36"/>
        <v>0.67000000000000037</v>
      </c>
      <c r="B79">
        <v>0.5025482955412458</v>
      </c>
      <c r="C79" s="32">
        <f t="shared" si="32"/>
        <v>0.50127196849938471</v>
      </c>
      <c r="S79" s="28">
        <f t="shared" si="37"/>
        <v>6.7000000000000046E-2</v>
      </c>
      <c r="T79">
        <v>0.16977446821497238</v>
      </c>
      <c r="U79" s="28">
        <f t="shared" si="33"/>
        <v>0.31657653414139997</v>
      </c>
      <c r="AI79" s="28">
        <f t="shared" si="38"/>
        <v>6.7000000000000046E-2</v>
      </c>
      <c r="AJ79">
        <v>0.74266792809839166</v>
      </c>
      <c r="AK79" s="28">
        <f t="shared" si="34"/>
        <v>0.28149212480200902</v>
      </c>
      <c r="AY79" s="28">
        <f t="shared" si="39"/>
        <v>6.7000000000000046E-2</v>
      </c>
      <c r="AZ79">
        <v>0.46018860438856168</v>
      </c>
      <c r="BA79" s="28">
        <f t="shared" si="35"/>
        <v>0.46018860438856168</v>
      </c>
    </row>
    <row r="80" spans="1:53" x14ac:dyDescent="0.25">
      <c r="A80" s="32">
        <f t="shared" si="36"/>
        <v>0.68000000000000038</v>
      </c>
      <c r="B80">
        <v>0.31366924039429916</v>
      </c>
      <c r="C80" s="32">
        <f t="shared" si="32"/>
        <v>0.40423554763844144</v>
      </c>
      <c r="S80" s="28">
        <f t="shared" si="37"/>
        <v>6.8000000000000047E-2</v>
      </c>
      <c r="T80">
        <v>0.49113437299722279</v>
      </c>
      <c r="U80" s="28">
        <f t="shared" si="33"/>
        <v>0.49557451462698315</v>
      </c>
      <c r="AI80" s="28">
        <f t="shared" si="38"/>
        <v>6.8000000000000047E-2</v>
      </c>
      <c r="AJ80">
        <v>0.74605548265022736</v>
      </c>
      <c r="AK80" s="28">
        <f t="shared" si="34"/>
        <v>0.28275585347895249</v>
      </c>
      <c r="AY80" s="28">
        <f t="shared" si="39"/>
        <v>6.8000000000000047E-2</v>
      </c>
      <c r="AZ80">
        <v>0.76680806909390542</v>
      </c>
      <c r="BA80" s="28">
        <f t="shared" si="35"/>
        <v>0.76680806909390542</v>
      </c>
    </row>
    <row r="81" spans="1:53" x14ac:dyDescent="0.25">
      <c r="A81" s="32">
        <f t="shared" si="36"/>
        <v>0.69000000000000039</v>
      </c>
      <c r="B81">
        <v>0.65099032563249615</v>
      </c>
      <c r="C81" s="32">
        <f t="shared" si="32"/>
        <v>0.57679630775275315</v>
      </c>
      <c r="S81" s="28">
        <f t="shared" si="37"/>
        <v>6.9000000000000047E-2</v>
      </c>
      <c r="T81">
        <v>0.69170201727347636</v>
      </c>
      <c r="U81" s="28">
        <f t="shared" si="33"/>
        <v>0.59870455083758878</v>
      </c>
      <c r="AI81" s="28">
        <f t="shared" si="38"/>
        <v>6.9000000000000047E-2</v>
      </c>
      <c r="AJ81">
        <v>4.6571245460371717E-2</v>
      </c>
      <c r="AK81" s="28">
        <f t="shared" si="34"/>
        <v>7.3046797092452098E-2</v>
      </c>
      <c r="AY81" s="28">
        <f t="shared" si="39"/>
        <v>6.9000000000000047E-2</v>
      </c>
      <c r="AZ81">
        <v>0.22824793237098301</v>
      </c>
      <c r="BA81" s="28">
        <f t="shared" si="35"/>
        <v>0.22824793237098301</v>
      </c>
    </row>
    <row r="82" spans="1:53" x14ac:dyDescent="0.25">
      <c r="A82" s="32">
        <f t="shared" si="36"/>
        <v>0.7000000000000004</v>
      </c>
      <c r="B82">
        <v>0.90264595477156895</v>
      </c>
      <c r="C82" s="32">
        <f t="shared" si="32"/>
        <v>0.74174366912804035</v>
      </c>
      <c r="S82" s="28">
        <f t="shared" si="37"/>
        <v>7.0000000000000048E-2</v>
      </c>
      <c r="T82">
        <v>0.73039948728904081</v>
      </c>
      <c r="U82" s="28">
        <f t="shared" si="33"/>
        <v>0.62044131298999528</v>
      </c>
      <c r="AI82" s="28">
        <f t="shared" si="38"/>
        <v>7.0000000000000048E-2</v>
      </c>
      <c r="AJ82">
        <v>0.68517105624561292</v>
      </c>
      <c r="AK82" s="28">
        <f t="shared" si="34"/>
        <v>0.26148505452110904</v>
      </c>
      <c r="AY82" s="28">
        <f t="shared" si="39"/>
        <v>7.0000000000000048E-2</v>
      </c>
      <c r="AZ82">
        <v>0.1174657429731132</v>
      </c>
      <c r="BA82" s="28">
        <f t="shared" si="35"/>
        <v>0.11746574297311321</v>
      </c>
    </row>
    <row r="83" spans="1:53" x14ac:dyDescent="0.25">
      <c r="A83" s="32">
        <f t="shared" si="36"/>
        <v>0.71000000000000041</v>
      </c>
      <c r="B83">
        <v>0.13003936887722403</v>
      </c>
      <c r="C83" s="32">
        <f t="shared" si="32"/>
        <v>0.28668606020257803</v>
      </c>
      <c r="S83" s="28">
        <f t="shared" si="37"/>
        <v>7.1000000000000049E-2</v>
      </c>
      <c r="T83">
        <v>0.79027680288094726</v>
      </c>
      <c r="U83" s="28">
        <f t="shared" si="33"/>
        <v>0.65665543521665493</v>
      </c>
      <c r="AI83" s="28">
        <f t="shared" si="38"/>
        <v>7.1000000000000049E-2</v>
      </c>
      <c r="AJ83">
        <v>0.23249000518814661</v>
      </c>
      <c r="AK83" s="28">
        <f t="shared" si="34"/>
        <v>0.13901114913154958</v>
      </c>
      <c r="AY83" s="28">
        <f t="shared" si="39"/>
        <v>7.1000000000000049E-2</v>
      </c>
      <c r="AZ83">
        <v>0.8766747032074953</v>
      </c>
      <c r="BA83" s="28">
        <f t="shared" si="35"/>
        <v>0.8766747032074953</v>
      </c>
    </row>
    <row r="84" spans="1:53" x14ac:dyDescent="0.25">
      <c r="A84" s="32">
        <f t="shared" si="36"/>
        <v>0.72000000000000042</v>
      </c>
      <c r="B84">
        <v>0.6820276497695853</v>
      </c>
      <c r="C84" s="32">
        <f t="shared" si="32"/>
        <v>0.59342086855267617</v>
      </c>
      <c r="S84" s="28">
        <f t="shared" si="37"/>
        <v>7.200000000000005E-2</v>
      </c>
      <c r="T84">
        <v>0.29114658040101321</v>
      </c>
      <c r="U84" s="28">
        <f t="shared" si="33"/>
        <v>0.39178894969857292</v>
      </c>
      <c r="AI84" s="28">
        <f t="shared" si="38"/>
        <v>7.200000000000005E-2</v>
      </c>
      <c r="AJ84">
        <v>0.45066682943205055</v>
      </c>
      <c r="AK84" s="28">
        <f t="shared" si="34"/>
        <v>0.19531626296958388</v>
      </c>
      <c r="AY84" s="28">
        <f t="shared" si="39"/>
        <v>7.200000000000005E-2</v>
      </c>
      <c r="AZ84">
        <v>7.5777459028901026E-2</v>
      </c>
      <c r="BA84" s="28">
        <f t="shared" si="35"/>
        <v>7.5777459028901026E-2</v>
      </c>
    </row>
    <row r="85" spans="1:53" x14ac:dyDescent="0.25">
      <c r="A85" s="32">
        <f t="shared" si="36"/>
        <v>0.73000000000000043</v>
      </c>
      <c r="B85">
        <v>0.27988525040437023</v>
      </c>
      <c r="C85" s="32">
        <f t="shared" si="32"/>
        <v>0.38543977925960432</v>
      </c>
      <c r="S85" s="28">
        <f t="shared" si="37"/>
        <v>7.3000000000000051E-2</v>
      </c>
      <c r="T85">
        <v>0.62147892696920681</v>
      </c>
      <c r="U85" s="28">
        <f t="shared" si="33"/>
        <v>0.56136790727317543</v>
      </c>
      <c r="AI85" s="28">
        <f t="shared" si="38"/>
        <v>7.3000000000000051E-2</v>
      </c>
      <c r="AJ85">
        <v>0.96716208380382707</v>
      </c>
      <c r="AK85" s="28">
        <f t="shared" si="34"/>
        <v>0.43427748881204442</v>
      </c>
      <c r="AY85" s="28">
        <f t="shared" si="39"/>
        <v>7.3000000000000051E-2</v>
      </c>
      <c r="AZ85">
        <v>0.27625354777672656</v>
      </c>
      <c r="BA85" s="28">
        <f t="shared" si="35"/>
        <v>0.27625354777672656</v>
      </c>
    </row>
    <row r="86" spans="1:53" x14ac:dyDescent="0.25">
      <c r="A86" s="32">
        <f t="shared" si="36"/>
        <v>0.74000000000000044</v>
      </c>
      <c r="B86">
        <v>0.35526596881008332</v>
      </c>
      <c r="C86" s="32">
        <f t="shared" si="32"/>
        <v>0.42650195765435545</v>
      </c>
      <c r="S86" s="28">
        <f t="shared" si="37"/>
        <v>7.4000000000000052E-2</v>
      </c>
      <c r="T86">
        <v>8.0568865016632588E-3</v>
      </c>
      <c r="U86" s="28">
        <f t="shared" si="33"/>
        <v>0.11312208997399348</v>
      </c>
      <c r="AI86" s="28">
        <f t="shared" si="38"/>
        <v>7.4000000000000052E-2</v>
      </c>
      <c r="AJ86">
        <v>0.15051728873561815</v>
      </c>
      <c r="AK86" s="28">
        <f t="shared" si="34"/>
        <v>0.1149370456119688</v>
      </c>
      <c r="AY86" s="28">
        <f t="shared" si="39"/>
        <v>7.4000000000000052E-2</v>
      </c>
      <c r="AZ86">
        <v>9.7293008209479045E-2</v>
      </c>
      <c r="BA86" s="28">
        <f t="shared" si="35"/>
        <v>9.7293008209479032E-2</v>
      </c>
    </row>
    <row r="87" spans="1:53" x14ac:dyDescent="0.25">
      <c r="A87" s="32">
        <f t="shared" si="36"/>
        <v>0.75000000000000044</v>
      </c>
      <c r="B87">
        <v>0.13101596118045594</v>
      </c>
      <c r="C87" s="32">
        <f t="shared" si="32"/>
        <v>0.28747282710672173</v>
      </c>
      <c r="S87" s="28">
        <f t="shared" si="37"/>
        <v>7.5000000000000053E-2</v>
      </c>
      <c r="T87">
        <v>0.58613849299600207</v>
      </c>
      <c r="U87" s="28">
        <f t="shared" si="33"/>
        <v>0.54325268823486317</v>
      </c>
      <c r="AI87" s="28">
        <f t="shared" si="38"/>
        <v>7.5000000000000053E-2</v>
      </c>
      <c r="AJ87">
        <v>0.16510513626514481</v>
      </c>
      <c r="AK87" s="28">
        <f t="shared" si="34"/>
        <v>0.11951402461217372</v>
      </c>
      <c r="AY87" s="28">
        <f t="shared" si="39"/>
        <v>7.5000000000000053E-2</v>
      </c>
      <c r="AZ87">
        <v>0.41914120914334546</v>
      </c>
      <c r="BA87" s="28">
        <f t="shared" si="35"/>
        <v>0.41914120914334546</v>
      </c>
    </row>
    <row r="88" spans="1:53" x14ac:dyDescent="0.25">
      <c r="A88" s="32">
        <f t="shared" si="36"/>
        <v>0.76000000000000045</v>
      </c>
      <c r="B88">
        <v>0.47126682332834863</v>
      </c>
      <c r="C88" s="32">
        <f t="shared" si="32"/>
        <v>0.4856486317315688</v>
      </c>
      <c r="S88" s="28">
        <f t="shared" si="37"/>
        <v>7.6000000000000054E-2</v>
      </c>
      <c r="T88">
        <v>0.52671895504623556</v>
      </c>
      <c r="U88" s="28">
        <f t="shared" si="33"/>
        <v>0.51334413687149416</v>
      </c>
      <c r="AI88" s="28">
        <f t="shared" si="38"/>
        <v>7.6000000000000054E-2</v>
      </c>
      <c r="AJ88">
        <v>0.63750114444410533</v>
      </c>
      <c r="AK88" s="28">
        <f t="shared" si="34"/>
        <v>0.24650046587303476</v>
      </c>
      <c r="AY88" s="28">
        <f t="shared" si="39"/>
        <v>7.6000000000000054E-2</v>
      </c>
      <c r="AZ88">
        <v>0.44193853572191533</v>
      </c>
      <c r="BA88" s="28">
        <f t="shared" si="35"/>
        <v>0.44193853572191533</v>
      </c>
    </row>
    <row r="89" spans="1:53" x14ac:dyDescent="0.25">
      <c r="A89" s="32">
        <f t="shared" si="36"/>
        <v>0.77000000000000046</v>
      </c>
      <c r="B89">
        <v>0.92809839167455066</v>
      </c>
      <c r="C89" s="32">
        <f t="shared" si="32"/>
        <v>0.76782691591275742</v>
      </c>
      <c r="S89" s="28">
        <f t="shared" si="37"/>
        <v>7.7000000000000055E-2</v>
      </c>
      <c r="T89">
        <v>0.51619006927701649</v>
      </c>
      <c r="U89" s="28">
        <f t="shared" si="33"/>
        <v>0.50808283179896119</v>
      </c>
      <c r="AI89" s="28">
        <f t="shared" si="38"/>
        <v>7.7000000000000055E-2</v>
      </c>
      <c r="AJ89">
        <v>0.54048280281991024</v>
      </c>
      <c r="AK89" s="28">
        <f t="shared" si="34"/>
        <v>0.21887596114701258</v>
      </c>
      <c r="AY89" s="28">
        <f t="shared" si="39"/>
        <v>7.7000000000000055E-2</v>
      </c>
      <c r="AZ89">
        <v>0.87884151738029115</v>
      </c>
      <c r="BA89" s="28">
        <f t="shared" si="35"/>
        <v>0.87884151738029115</v>
      </c>
    </row>
    <row r="90" spans="1:53" x14ac:dyDescent="0.25">
      <c r="A90" s="32">
        <f t="shared" si="36"/>
        <v>0.78000000000000047</v>
      </c>
      <c r="B90">
        <v>0.18524735251930297</v>
      </c>
      <c r="C90" s="32">
        <f t="shared" si="32"/>
        <v>0.32726152984686263</v>
      </c>
      <c r="S90" s="28">
        <f t="shared" si="37"/>
        <v>7.8000000000000055E-2</v>
      </c>
      <c r="T90">
        <v>0.10776085695974609</v>
      </c>
      <c r="U90" s="28">
        <f t="shared" si="33"/>
        <v>0.26780394044306077</v>
      </c>
      <c r="AI90" s="28">
        <f t="shared" si="38"/>
        <v>7.8000000000000055E-2</v>
      </c>
      <c r="AJ90">
        <v>0.76519058809167761</v>
      </c>
      <c r="AK90" s="28">
        <f t="shared" si="34"/>
        <v>0.29011135019307865</v>
      </c>
      <c r="AY90" s="28">
        <f t="shared" si="39"/>
        <v>7.8000000000000055E-2</v>
      </c>
      <c r="AZ90">
        <v>0.14172795800653096</v>
      </c>
      <c r="BA90" s="28">
        <f t="shared" si="35"/>
        <v>0.14172795800653096</v>
      </c>
    </row>
    <row r="91" spans="1:53" x14ac:dyDescent="0.25">
      <c r="A91" s="32">
        <f t="shared" si="36"/>
        <v>0.79000000000000048</v>
      </c>
      <c r="B91">
        <v>0.85073397015289776</v>
      </c>
      <c r="C91" s="32">
        <f t="shared" si="32"/>
        <v>0.69834771366796822</v>
      </c>
      <c r="S91" s="28">
        <f t="shared" si="37"/>
        <v>7.9000000000000056E-2</v>
      </c>
      <c r="T91">
        <v>0.17206335642567216</v>
      </c>
      <c r="U91" s="28">
        <f t="shared" si="33"/>
        <v>0.31818577917008595</v>
      </c>
      <c r="AI91" s="28">
        <f t="shared" si="38"/>
        <v>7.9000000000000056E-2</v>
      </c>
      <c r="AJ91">
        <v>0.10797448652607806</v>
      </c>
      <c r="AK91" s="28">
        <f t="shared" si="34"/>
        <v>0.10038975896259335</v>
      </c>
      <c r="AY91" s="28">
        <f t="shared" si="39"/>
        <v>7.9000000000000056E-2</v>
      </c>
      <c r="AZ91">
        <v>0.86416211432233647</v>
      </c>
      <c r="BA91" s="28">
        <f t="shared" si="35"/>
        <v>0.86416211432233647</v>
      </c>
    </row>
    <row r="92" spans="1:53" x14ac:dyDescent="0.25">
      <c r="A92" s="32">
        <f t="shared" si="36"/>
        <v>0.80000000000000049</v>
      </c>
      <c r="B92">
        <v>8.3864864040040288E-2</v>
      </c>
      <c r="C92" s="32">
        <f t="shared" si="32"/>
        <v>0.24499255157322844</v>
      </c>
      <c r="S92" s="28">
        <f t="shared" si="37"/>
        <v>8.0000000000000057E-2</v>
      </c>
      <c r="T92">
        <v>0.40479750968962674</v>
      </c>
      <c r="U92" s="28">
        <f t="shared" si="33"/>
        <v>0.45213185239584286</v>
      </c>
      <c r="AI92" s="28">
        <f t="shared" si="38"/>
        <v>8.0000000000000057E-2</v>
      </c>
      <c r="AJ92">
        <v>7.5350199896237063E-2</v>
      </c>
      <c r="AK92" s="28">
        <f t="shared" si="34"/>
        <v>8.7308220912466192E-2</v>
      </c>
      <c r="AY92" s="28">
        <f t="shared" si="39"/>
        <v>8.0000000000000057E-2</v>
      </c>
      <c r="AZ92">
        <v>0.967741935483871</v>
      </c>
      <c r="BA92" s="28">
        <f t="shared" si="35"/>
        <v>0.967741935483871</v>
      </c>
    </row>
    <row r="93" spans="1:53" x14ac:dyDescent="0.25">
      <c r="A93" s="32">
        <f t="shared" si="36"/>
        <v>0.8100000000000005</v>
      </c>
      <c r="B93">
        <v>0.57423627430036317</v>
      </c>
      <c r="C93" s="32">
        <f t="shared" si="32"/>
        <v>0.53721854891063237</v>
      </c>
      <c r="S93" s="28">
        <f t="shared" si="37"/>
        <v>8.1000000000000058E-2</v>
      </c>
      <c r="T93">
        <v>0.10095522934659872</v>
      </c>
      <c r="U93" s="28">
        <f t="shared" si="33"/>
        <v>0.26162106330284529</v>
      </c>
      <c r="AI93" s="28">
        <f t="shared" si="38"/>
        <v>8.1000000000000058E-2</v>
      </c>
      <c r="AJ93">
        <v>0.54670857875301371</v>
      </c>
      <c r="AK93" s="28">
        <f t="shared" si="34"/>
        <v>0.22056452442537999</v>
      </c>
      <c r="AY93" s="28">
        <f t="shared" si="39"/>
        <v>8.1000000000000058E-2</v>
      </c>
      <c r="AZ93">
        <v>0.9320352793969543</v>
      </c>
      <c r="BA93" s="28">
        <f t="shared" si="35"/>
        <v>0.9320352793969543</v>
      </c>
    </row>
    <row r="94" spans="1:53" x14ac:dyDescent="0.25">
      <c r="A94" s="32">
        <f t="shared" si="36"/>
        <v>0.82000000000000051</v>
      </c>
      <c r="B94">
        <v>0.39844965971861934</v>
      </c>
      <c r="C94" s="32">
        <f t="shared" si="32"/>
        <v>0.44888782278347134</v>
      </c>
      <c r="S94" s="28">
        <f t="shared" si="37"/>
        <v>8.2000000000000059E-2</v>
      </c>
      <c r="T94">
        <v>0.31525620288705097</v>
      </c>
      <c r="U94" s="28">
        <f t="shared" si="33"/>
        <v>0.40510105031828786</v>
      </c>
      <c r="X94" s="1">
        <v>5</v>
      </c>
      <c r="Y94" s="18" t="s">
        <v>12</v>
      </c>
      <c r="Z94" s="18"/>
      <c r="AA94" s="18"/>
      <c r="AB94" s="18"/>
      <c r="AC94" s="18"/>
      <c r="AD94" s="18"/>
      <c r="AI94" s="28">
        <f t="shared" si="38"/>
        <v>8.2000000000000059E-2</v>
      </c>
      <c r="AJ94">
        <v>0.42963957640308847</v>
      </c>
      <c r="AK94" s="28">
        <f t="shared" si="34"/>
        <v>0.18994806414545054</v>
      </c>
      <c r="AY94" s="28">
        <f t="shared" si="39"/>
        <v>8.2000000000000059E-2</v>
      </c>
      <c r="AZ94">
        <v>0.45176549577318642</v>
      </c>
      <c r="BA94" s="28">
        <f t="shared" si="35"/>
        <v>0.45176549577318642</v>
      </c>
    </row>
    <row r="95" spans="1:53" x14ac:dyDescent="0.25">
      <c r="A95" s="32">
        <f t="shared" si="36"/>
        <v>0.83000000000000052</v>
      </c>
      <c r="B95">
        <v>0.94570757164220098</v>
      </c>
      <c r="C95" s="32">
        <f t="shared" si="32"/>
        <v>0.78920142153530592</v>
      </c>
      <c r="S95" s="28">
        <f t="shared" si="37"/>
        <v>8.300000000000006E-2</v>
      </c>
      <c r="T95">
        <v>0.80645161290322576</v>
      </c>
      <c r="U95" s="28">
        <f t="shared" si="33"/>
        <v>0.66718010710939146</v>
      </c>
      <c r="X95" s="41" t="s">
        <v>55</v>
      </c>
      <c r="Y95" s="41"/>
      <c r="Z95" s="41"/>
      <c r="AA95" s="41"/>
      <c r="AB95" s="41"/>
      <c r="AC95" s="36">
        <f>AVERAGE(U12:U1061)</f>
        <v>0.49643308408234404</v>
      </c>
      <c r="AI95" s="28">
        <f t="shared" si="38"/>
        <v>8.300000000000006E-2</v>
      </c>
      <c r="AJ95">
        <v>0.13739432966093937</v>
      </c>
      <c r="AK95" s="28">
        <f t="shared" si="34"/>
        <v>0.11066428265836548</v>
      </c>
      <c r="AY95" s="28">
        <f t="shared" si="39"/>
        <v>8.300000000000006E-2</v>
      </c>
      <c r="AZ95">
        <v>0.44126712851344341</v>
      </c>
      <c r="BA95" s="28">
        <f t="shared" si="35"/>
        <v>0.44126712851344341</v>
      </c>
    </row>
    <row r="96" spans="1:53" x14ac:dyDescent="0.25">
      <c r="A96" s="32">
        <f t="shared" si="36"/>
        <v>0.84000000000000052</v>
      </c>
      <c r="B96">
        <v>2.7008880886257514E-2</v>
      </c>
      <c r="C96" s="32">
        <f t="shared" si="32"/>
        <v>0.16692467504551231</v>
      </c>
      <c r="S96" s="28">
        <f t="shared" si="37"/>
        <v>8.4000000000000061E-2</v>
      </c>
      <c r="T96">
        <v>0.30338450270088807</v>
      </c>
      <c r="U96" s="28">
        <f t="shared" si="33"/>
        <v>0.39859097580307223</v>
      </c>
      <c r="X96" s="41" t="s">
        <v>14</v>
      </c>
      <c r="Y96" s="41"/>
      <c r="Z96" s="41"/>
      <c r="AA96" s="41"/>
      <c r="AB96" s="41"/>
      <c r="AC96" s="32">
        <f>_xlfn.STDEV.S(U12:U1061)</f>
        <v>0.17286490584023981</v>
      </c>
      <c r="AI96" s="28">
        <f t="shared" si="38"/>
        <v>8.4000000000000061E-2</v>
      </c>
      <c r="AJ96">
        <v>0.70177312540055548</v>
      </c>
      <c r="AK96" s="28">
        <f t="shared" si="34"/>
        <v>0.26701163680055096</v>
      </c>
      <c r="AY96" s="28">
        <f t="shared" si="39"/>
        <v>8.4000000000000061E-2</v>
      </c>
      <c r="AZ96">
        <v>0.966795861690115</v>
      </c>
      <c r="BA96" s="28">
        <f t="shared" si="35"/>
        <v>0.966795861690115</v>
      </c>
    </row>
    <row r="97" spans="1:63" x14ac:dyDescent="0.25">
      <c r="A97" s="32">
        <f t="shared" si="36"/>
        <v>0.85000000000000053</v>
      </c>
      <c r="B97">
        <v>0.76558732871486557</v>
      </c>
      <c r="C97" s="32">
        <f t="shared" si="32"/>
        <v>0.64126052733871819</v>
      </c>
      <c r="S97" s="28">
        <f t="shared" si="37"/>
        <v>8.5000000000000062E-2</v>
      </c>
      <c r="T97">
        <v>0.28348643452253791</v>
      </c>
      <c r="U97" s="28">
        <f t="shared" si="33"/>
        <v>0.38748002671745246</v>
      </c>
      <c r="X97" s="41" t="s">
        <v>15</v>
      </c>
      <c r="Y97" s="41"/>
      <c r="Z97" s="41"/>
      <c r="AA97" s="41"/>
      <c r="AB97" s="41"/>
      <c r="AC97" s="32">
        <f>_xlfn.VAR.S(U12:U1061)</f>
        <v>2.9882275671154972E-2</v>
      </c>
      <c r="AI97" s="28">
        <f t="shared" si="38"/>
        <v>8.5000000000000062E-2</v>
      </c>
      <c r="AJ97">
        <v>0.17371135593737602</v>
      </c>
      <c r="AK97" s="28">
        <f t="shared" si="34"/>
        <v>0.12214098486035954</v>
      </c>
      <c r="AY97" s="28">
        <f t="shared" si="39"/>
        <v>8.5000000000000062E-2</v>
      </c>
      <c r="AZ97">
        <v>0.98770104068117315</v>
      </c>
      <c r="BA97" s="28">
        <f t="shared" si="35"/>
        <v>0.98770104068117315</v>
      </c>
    </row>
    <row r="98" spans="1:63" x14ac:dyDescent="0.25">
      <c r="A98" s="32">
        <f t="shared" si="36"/>
        <v>0.86000000000000054</v>
      </c>
      <c r="B98">
        <v>0.64656514175847657</v>
      </c>
      <c r="C98" s="32">
        <f t="shared" si="32"/>
        <v>0.57446173760161523</v>
      </c>
      <c r="S98" s="28">
        <f t="shared" si="37"/>
        <v>8.6000000000000063E-2</v>
      </c>
      <c r="T98">
        <v>0.28324228644672994</v>
      </c>
      <c r="U98" s="28">
        <f t="shared" si="33"/>
        <v>0.38734200499546079</v>
      </c>
      <c r="X98" s="41" t="s">
        <v>16</v>
      </c>
      <c r="Y98" s="41"/>
      <c r="Z98" s="41"/>
      <c r="AA98" s="41"/>
      <c r="AB98" s="41"/>
      <c r="AC98" s="32">
        <f>SKEW(U12:U1061)</f>
        <v>-1.4789462497504915E-2</v>
      </c>
      <c r="AI98" s="28">
        <f t="shared" si="38"/>
        <v>8.6000000000000063E-2</v>
      </c>
      <c r="AJ98">
        <v>7.867671742912076E-2</v>
      </c>
      <c r="AK98" s="28">
        <f t="shared" si="34"/>
        <v>8.8755989293618318E-2</v>
      </c>
      <c r="AN98" s="1">
        <v>5</v>
      </c>
      <c r="AO98" s="18" t="s">
        <v>12</v>
      </c>
      <c r="AP98" s="18"/>
      <c r="AQ98" s="18"/>
      <c r="AR98" s="18"/>
      <c r="AS98" s="18"/>
      <c r="AT98" s="18"/>
      <c r="AY98" s="28">
        <f t="shared" si="39"/>
        <v>8.6000000000000063E-2</v>
      </c>
      <c r="AZ98">
        <v>0.39381084627826779</v>
      </c>
      <c r="BA98" s="28">
        <f t="shared" si="35"/>
        <v>0.39381084627826779</v>
      </c>
      <c r="BE98" s="1">
        <v>5</v>
      </c>
      <c r="BF98" s="18" t="s">
        <v>12</v>
      </c>
      <c r="BG98" s="18"/>
      <c r="BH98" s="18"/>
      <c r="BI98" s="18"/>
      <c r="BJ98" s="18"/>
      <c r="BK98" s="18"/>
    </row>
    <row r="99" spans="1:63" x14ac:dyDescent="0.25">
      <c r="A99" s="32">
        <f t="shared" si="36"/>
        <v>0.87000000000000055</v>
      </c>
      <c r="B99">
        <v>8.0416272469252606E-2</v>
      </c>
      <c r="C99" s="32">
        <f t="shared" si="32"/>
        <v>0.24141105833469839</v>
      </c>
      <c r="S99" s="28">
        <f t="shared" si="37"/>
        <v>8.7000000000000063E-2</v>
      </c>
      <c r="T99">
        <v>0.9048127689443648</v>
      </c>
      <c r="U99" s="28">
        <f t="shared" si="33"/>
        <v>0.74380155665975978</v>
      </c>
      <c r="X99" s="41" t="s">
        <v>17</v>
      </c>
      <c r="Y99" s="41"/>
      <c r="Z99" s="41"/>
      <c r="AA99" s="41"/>
      <c r="AB99" s="41"/>
      <c r="AC99" s="32">
        <f>KURT(U12:U1061)</f>
        <v>-0.51774695555525474</v>
      </c>
      <c r="AI99" s="28">
        <f t="shared" si="38"/>
        <v>8.7000000000000063E-2</v>
      </c>
      <c r="AJ99">
        <v>0.45347453230384227</v>
      </c>
      <c r="AK99" s="28">
        <f t="shared" si="34"/>
        <v>0.19603589471865923</v>
      </c>
      <c r="AN99" s="41" t="s">
        <v>55</v>
      </c>
      <c r="AO99" s="41"/>
      <c r="AP99" s="41"/>
      <c r="AQ99" s="41"/>
      <c r="AR99" s="41"/>
      <c r="AS99" s="36">
        <f>AVERAGE(AK12:AK1061)</f>
        <v>0.21647866944808933</v>
      </c>
      <c r="AY99" s="28">
        <f t="shared" si="39"/>
        <v>8.7000000000000063E-2</v>
      </c>
      <c r="AZ99">
        <v>0.48518326364940334</v>
      </c>
      <c r="BA99" s="28">
        <f t="shared" si="35"/>
        <v>0.48518326364940334</v>
      </c>
      <c r="BE99" s="41" t="s">
        <v>55</v>
      </c>
      <c r="BF99" s="41"/>
      <c r="BG99" s="41"/>
      <c r="BH99" s="41"/>
      <c r="BI99" s="41"/>
      <c r="BJ99" s="36">
        <f>AVERAGE(BA12:BA1061)</f>
        <v>0.50267039864439678</v>
      </c>
    </row>
    <row r="100" spans="1:63" x14ac:dyDescent="0.25">
      <c r="A100" s="32">
        <f t="shared" si="36"/>
        <v>0.88000000000000056</v>
      </c>
      <c r="B100">
        <v>0.94848475600451676</v>
      </c>
      <c r="C100" s="32">
        <f t="shared" si="32"/>
        <v>0.7929323862194283</v>
      </c>
      <c r="G100" s="1">
        <v>5</v>
      </c>
      <c r="H100" s="18" t="s">
        <v>12</v>
      </c>
      <c r="I100" s="18"/>
      <c r="J100" s="18"/>
      <c r="K100" s="18"/>
      <c r="L100" s="18"/>
      <c r="M100" s="18"/>
      <c r="S100" s="28">
        <f t="shared" si="37"/>
        <v>8.8000000000000064E-2</v>
      </c>
      <c r="T100">
        <v>0.35502182073427535</v>
      </c>
      <c r="U100" s="28">
        <f t="shared" si="33"/>
        <v>0.42637354248084353</v>
      </c>
      <c r="AI100" s="28">
        <f t="shared" si="38"/>
        <v>8.8000000000000064E-2</v>
      </c>
      <c r="AJ100">
        <v>0.40336313974425492</v>
      </c>
      <c r="AK100" s="28">
        <f t="shared" si="34"/>
        <v>0.18327781663287607</v>
      </c>
      <c r="AN100" s="41" t="s">
        <v>14</v>
      </c>
      <c r="AO100" s="41"/>
      <c r="AP100" s="41"/>
      <c r="AQ100" s="41"/>
      <c r="AR100" s="41"/>
      <c r="AS100" s="32">
        <f>_xlfn.STDEV.S(AK12:AK1061)</f>
        <v>9.7970523532782877E-2</v>
      </c>
      <c r="AY100" s="28">
        <f t="shared" si="39"/>
        <v>8.8000000000000064E-2</v>
      </c>
      <c r="AZ100">
        <v>0.63289284951322977</v>
      </c>
      <c r="BA100" s="28">
        <f t="shared" si="35"/>
        <v>0.63289284951322977</v>
      </c>
      <c r="BE100" s="41" t="s">
        <v>14</v>
      </c>
      <c r="BF100" s="41"/>
      <c r="BG100" s="41"/>
      <c r="BH100" s="41"/>
      <c r="BI100" s="41"/>
      <c r="BJ100" s="32">
        <f>_xlfn.STDEV.S(BA12:BA1061)</f>
        <v>0.29019665660384891</v>
      </c>
    </row>
    <row r="101" spans="1:63" x14ac:dyDescent="0.25">
      <c r="A101" s="32">
        <f t="shared" si="36"/>
        <v>0.89000000000000057</v>
      </c>
      <c r="B101">
        <v>0.13568529313028352</v>
      </c>
      <c r="C101" s="32">
        <f t="shared" si="32"/>
        <v>0.29119292926645751</v>
      </c>
      <c r="G101" s="41" t="s">
        <v>55</v>
      </c>
      <c r="H101" s="41"/>
      <c r="I101" s="41"/>
      <c r="J101" s="41"/>
      <c r="K101" s="41"/>
      <c r="L101" s="36">
        <f>AVERAGE(C12:C116)</f>
        <v>0.48881301587772635</v>
      </c>
      <c r="S101" s="28">
        <f t="shared" si="37"/>
        <v>8.9000000000000065E-2</v>
      </c>
      <c r="T101">
        <v>2.7893917661061435E-2</v>
      </c>
      <c r="U101" s="28">
        <f t="shared" si="33"/>
        <v>0.16870396689100683</v>
      </c>
      <c r="AI101" s="28">
        <f t="shared" si="38"/>
        <v>8.9000000000000065E-2</v>
      </c>
      <c r="AJ101">
        <v>0.80111087374492629</v>
      </c>
      <c r="AK101" s="28">
        <f t="shared" si="34"/>
        <v>0.30509821153185734</v>
      </c>
      <c r="AN101" s="41" t="s">
        <v>15</v>
      </c>
      <c r="AO101" s="41"/>
      <c r="AP101" s="41"/>
      <c r="AQ101" s="41"/>
      <c r="AR101" s="41"/>
      <c r="AS101" s="32">
        <f>_xlfn.VAR.S(AK12:AK1061)</f>
        <v>9.5982234812875648E-3</v>
      </c>
      <c r="AY101" s="28">
        <f t="shared" si="39"/>
        <v>8.9000000000000065E-2</v>
      </c>
      <c r="AZ101">
        <v>0.37119663075655385</v>
      </c>
      <c r="BA101" s="28">
        <f t="shared" si="35"/>
        <v>0.37119663075655385</v>
      </c>
      <c r="BE101" s="41" t="s">
        <v>15</v>
      </c>
      <c r="BF101" s="41"/>
      <c r="BG101" s="41"/>
      <c r="BH101" s="41"/>
      <c r="BI101" s="41"/>
      <c r="BJ101" s="32">
        <f>_xlfn.VAR.S(BA12:BA1061)</f>
        <v>8.4214099504052217E-2</v>
      </c>
    </row>
    <row r="102" spans="1:63" x14ac:dyDescent="0.25">
      <c r="A102" s="32">
        <f t="shared" si="36"/>
        <v>0.90000000000000058</v>
      </c>
      <c r="B102">
        <v>0.79906613361003453</v>
      </c>
      <c r="C102" s="32">
        <f t="shared" si="32"/>
        <v>0.66232682616943439</v>
      </c>
      <c r="G102" s="41" t="s">
        <v>14</v>
      </c>
      <c r="H102" s="41"/>
      <c r="I102" s="41"/>
      <c r="J102" s="41"/>
      <c r="K102" s="41"/>
      <c r="L102" s="32">
        <f>_xlfn.STDEV.S(C12:C116)</f>
        <v>0.17152900609586796</v>
      </c>
      <c r="S102" s="28">
        <f t="shared" si="37"/>
        <v>9.0000000000000066E-2</v>
      </c>
      <c r="T102">
        <v>0.53370769371623894</v>
      </c>
      <c r="U102" s="28">
        <f t="shared" si="33"/>
        <v>0.51684016150882739</v>
      </c>
      <c r="AI102" s="28">
        <f t="shared" si="38"/>
        <v>9.0000000000000066E-2</v>
      </c>
      <c r="AJ102">
        <v>0.95495468001342809</v>
      </c>
      <c r="AK102" s="28">
        <f t="shared" si="34"/>
        <v>0.41481313832542233</v>
      </c>
      <c r="AN102" s="41" t="s">
        <v>16</v>
      </c>
      <c r="AO102" s="41"/>
      <c r="AP102" s="41"/>
      <c r="AQ102" s="41"/>
      <c r="AR102" s="41"/>
      <c r="AS102" s="32">
        <f>SKEW(AK12:AK1061)</f>
        <v>0.50551128915432897</v>
      </c>
      <c r="AY102" s="28">
        <f t="shared" si="39"/>
        <v>9.0000000000000066E-2</v>
      </c>
      <c r="AZ102">
        <v>0.77153843806268507</v>
      </c>
      <c r="BA102" s="28">
        <f t="shared" si="35"/>
        <v>0.77153843806268507</v>
      </c>
      <c r="BE102" s="41" t="s">
        <v>16</v>
      </c>
      <c r="BF102" s="41"/>
      <c r="BG102" s="41"/>
      <c r="BH102" s="41"/>
      <c r="BI102" s="41"/>
      <c r="BJ102" s="32">
        <f>SKEW(BA12:BA1061)</f>
        <v>1.1603889854849505E-2</v>
      </c>
    </row>
    <row r="103" spans="1:63" x14ac:dyDescent="0.25">
      <c r="A103" s="32">
        <f t="shared" si="36"/>
        <v>0.91000000000000059</v>
      </c>
      <c r="B103">
        <v>0.83654286324655902</v>
      </c>
      <c r="C103" s="32">
        <f t="shared" si="32"/>
        <v>0.6879206676054791</v>
      </c>
      <c r="G103" s="41" t="s">
        <v>15</v>
      </c>
      <c r="H103" s="41"/>
      <c r="I103" s="41"/>
      <c r="J103" s="41"/>
      <c r="K103" s="41"/>
      <c r="L103" s="32">
        <f>_xlfn.VAR.S(C12:C116)</f>
        <v>2.9422199932236312E-2</v>
      </c>
      <c r="S103" s="28">
        <f t="shared" si="37"/>
        <v>9.1000000000000067E-2</v>
      </c>
      <c r="T103">
        <v>0.15741447187719351</v>
      </c>
      <c r="U103" s="28">
        <f t="shared" si="33"/>
        <v>0.30769693455699709</v>
      </c>
      <c r="AI103" s="28">
        <f t="shared" si="38"/>
        <v>9.1000000000000067E-2</v>
      </c>
      <c r="AJ103">
        <v>0.68428601947080903</v>
      </c>
      <c r="AK103" s="28">
        <f t="shared" si="34"/>
        <v>0.26119538792790709</v>
      </c>
      <c r="AN103" s="41" t="s">
        <v>17</v>
      </c>
      <c r="AO103" s="41"/>
      <c r="AP103" s="41"/>
      <c r="AQ103" s="41"/>
      <c r="AR103" s="41"/>
      <c r="AS103" s="32">
        <f>KURT(AK12:AK1061)</f>
        <v>-0.11463616151601075</v>
      </c>
      <c r="AY103" s="28">
        <f t="shared" si="39"/>
        <v>9.1000000000000067E-2</v>
      </c>
      <c r="AZ103">
        <v>0.7457808160649434</v>
      </c>
      <c r="BA103" s="28">
        <f t="shared" si="35"/>
        <v>0.7457808160649434</v>
      </c>
      <c r="BE103" s="41" t="s">
        <v>17</v>
      </c>
      <c r="BF103" s="41"/>
      <c r="BG103" s="41"/>
      <c r="BH103" s="41"/>
      <c r="BI103" s="41"/>
      <c r="BJ103" s="32">
        <f>KURT(BA12:BA1061)</f>
        <v>-1.1992415219841064</v>
      </c>
    </row>
    <row r="104" spans="1:63" x14ac:dyDescent="0.25">
      <c r="A104" s="32">
        <f t="shared" si="36"/>
        <v>0.9200000000000006</v>
      </c>
      <c r="B104">
        <v>3.3478804895168919E-2</v>
      </c>
      <c r="C104" s="32">
        <f t="shared" si="32"/>
        <v>0.17919026225036308</v>
      </c>
      <c r="G104" s="41" t="s">
        <v>16</v>
      </c>
      <c r="H104" s="41"/>
      <c r="I104" s="41"/>
      <c r="J104" s="41"/>
      <c r="K104" s="41"/>
      <c r="L104" s="32">
        <f>SKEW(C12:C116)</f>
        <v>0.14800348013542178</v>
      </c>
      <c r="S104" s="28">
        <f t="shared" si="37"/>
        <v>9.2000000000000068E-2</v>
      </c>
      <c r="T104">
        <v>0.21991637928403576</v>
      </c>
      <c r="U104" s="28">
        <f t="shared" si="33"/>
        <v>0.3497908615310758</v>
      </c>
      <c r="AI104" s="28">
        <f t="shared" si="38"/>
        <v>9.2000000000000068E-2</v>
      </c>
      <c r="AJ104">
        <v>0.72804956205938898</v>
      </c>
      <c r="AK104" s="28">
        <f t="shared" si="34"/>
        <v>0.27615889652760695</v>
      </c>
      <c r="AY104" s="28">
        <f t="shared" si="39"/>
        <v>9.2000000000000068E-2</v>
      </c>
      <c r="AZ104">
        <v>0.73445844904934843</v>
      </c>
      <c r="BA104" s="28">
        <f t="shared" si="35"/>
        <v>0.73445844904934843</v>
      </c>
    </row>
    <row r="105" spans="1:63" x14ac:dyDescent="0.25">
      <c r="A105" s="32">
        <f t="shared" si="36"/>
        <v>0.9300000000000006</v>
      </c>
      <c r="B105">
        <v>0.83806878872035895</v>
      </c>
      <c r="C105" s="32">
        <f t="shared" si="32"/>
        <v>0.68901966665264802</v>
      </c>
      <c r="G105" s="41" t="s">
        <v>17</v>
      </c>
      <c r="H105" s="41"/>
      <c r="I105" s="41"/>
      <c r="J105" s="41"/>
      <c r="K105" s="41"/>
      <c r="L105" s="32">
        <f>KURT(C12:C116)</f>
        <v>-1.0179805442874348</v>
      </c>
      <c r="S105" s="28">
        <f t="shared" si="37"/>
        <v>9.3000000000000069E-2</v>
      </c>
      <c r="T105">
        <v>0.6607257301553392</v>
      </c>
      <c r="U105" s="28">
        <f t="shared" si="33"/>
        <v>0.58196180515376228</v>
      </c>
      <c r="AI105" s="28">
        <f t="shared" si="38"/>
        <v>9.3000000000000069E-2</v>
      </c>
      <c r="AJ105">
        <v>0.98901333658864099</v>
      </c>
      <c r="AK105" s="28">
        <f t="shared" si="34"/>
        <v>0.49466568892929463</v>
      </c>
      <c r="AY105" s="28">
        <f t="shared" si="39"/>
        <v>9.3000000000000069E-2</v>
      </c>
      <c r="AZ105">
        <v>0.22318185979796748</v>
      </c>
      <c r="BA105" s="28">
        <f t="shared" si="35"/>
        <v>0.22318185979796745</v>
      </c>
    </row>
    <row r="106" spans="1:63" x14ac:dyDescent="0.25">
      <c r="A106" s="32">
        <f t="shared" si="36"/>
        <v>0.94000000000000061</v>
      </c>
      <c r="B106">
        <v>0.76693014313180941</v>
      </c>
      <c r="C106" s="32">
        <f t="shared" si="32"/>
        <v>0.64207936795336829</v>
      </c>
      <c r="S106" s="28">
        <f>S105+0.001</f>
        <v>9.400000000000007E-2</v>
      </c>
      <c r="T106">
        <v>0.66573076570940271</v>
      </c>
      <c r="U106" s="28">
        <f t="shared" si="33"/>
        <v>0.58463407712356186</v>
      </c>
      <c r="AI106" s="28">
        <f>AI105+0.001</f>
        <v>9.400000000000007E-2</v>
      </c>
      <c r="AJ106">
        <v>0.26718955046235543</v>
      </c>
      <c r="AK106" s="28">
        <f t="shared" si="34"/>
        <v>0.14836398406693604</v>
      </c>
      <c r="AY106" s="28">
        <f>AY105+0.001</f>
        <v>9.400000000000007E-2</v>
      </c>
      <c r="AZ106">
        <v>0.32569353312784205</v>
      </c>
      <c r="BA106" s="28">
        <f t="shared" si="35"/>
        <v>0.32569353312784205</v>
      </c>
    </row>
    <row r="107" spans="1:63" x14ac:dyDescent="0.25">
      <c r="A107" s="32">
        <f t="shared" si="36"/>
        <v>0.95000000000000062</v>
      </c>
      <c r="B107">
        <v>0.86626789147618033</v>
      </c>
      <c r="C107" s="32">
        <f t="shared" si="32"/>
        <v>0.71035495138149152</v>
      </c>
      <c r="S107" s="28">
        <f t="shared" si="37"/>
        <v>9.500000000000007E-2</v>
      </c>
      <c r="T107">
        <v>0.53126621295815912</v>
      </c>
      <c r="U107" s="28">
        <f t="shared" si="33"/>
        <v>0.51561843650567796</v>
      </c>
      <c r="AI107" s="28">
        <f t="shared" si="38"/>
        <v>9.500000000000007E-2</v>
      </c>
      <c r="AJ107">
        <v>3.5950804162724691E-2</v>
      </c>
      <c r="AK107" s="28">
        <f t="shared" si="34"/>
        <v>6.657032139423652E-2</v>
      </c>
      <c r="AY107" s="28">
        <f t="shared" si="39"/>
        <v>9.500000000000007E-2</v>
      </c>
      <c r="AZ107">
        <v>1.2756736960966826E-2</v>
      </c>
      <c r="BA107" s="28">
        <f t="shared" si="35"/>
        <v>1.2756736960966825E-2</v>
      </c>
    </row>
    <row r="108" spans="1:63" x14ac:dyDescent="0.25">
      <c r="A108" s="32">
        <f t="shared" si="36"/>
        <v>0.96000000000000063</v>
      </c>
      <c r="B108">
        <v>0.66969817194128234</v>
      </c>
      <c r="C108" s="32">
        <f t="shared" si="32"/>
        <v>0.58676081654665024</v>
      </c>
      <c r="S108" s="28">
        <f t="shared" si="37"/>
        <v>9.6000000000000071E-2</v>
      </c>
      <c r="T108">
        <v>0.20468764305551318</v>
      </c>
      <c r="U108" s="28">
        <f t="shared" si="33"/>
        <v>0.34010873018159321</v>
      </c>
      <c r="AI108" s="28">
        <f t="shared" si="38"/>
        <v>9.6000000000000071E-2</v>
      </c>
      <c r="AJ108">
        <v>5.9633167516098512E-2</v>
      </c>
      <c r="AK108" s="28">
        <f t="shared" si="34"/>
        <v>7.9973648684661239E-2</v>
      </c>
      <c r="AY108" s="28">
        <f t="shared" si="39"/>
        <v>9.6000000000000071E-2</v>
      </c>
      <c r="AZ108">
        <v>0.36558122501297036</v>
      </c>
      <c r="BA108" s="28">
        <f t="shared" si="35"/>
        <v>0.36558122501297036</v>
      </c>
    </row>
    <row r="109" spans="1:63" x14ac:dyDescent="0.25">
      <c r="A109" s="32">
        <f t="shared" si="36"/>
        <v>0.97000000000000064</v>
      </c>
      <c r="B109">
        <v>0.17715994750816369</v>
      </c>
      <c r="C109" s="32">
        <f t="shared" si="32"/>
        <v>0.32173232395600176</v>
      </c>
      <c r="S109" s="28">
        <f t="shared" si="37"/>
        <v>9.7000000000000072E-2</v>
      </c>
      <c r="T109">
        <v>0.13946958830530717</v>
      </c>
      <c r="U109" s="28">
        <f t="shared" si="33"/>
        <v>0.29415944169960118</v>
      </c>
      <c r="AI109" s="28">
        <f t="shared" si="38"/>
        <v>9.7000000000000072E-2</v>
      </c>
      <c r="AJ109">
        <v>7.8249458296456798E-2</v>
      </c>
      <c r="AK109" s="28">
        <f t="shared" si="34"/>
        <v>8.8571794583553326E-2</v>
      </c>
      <c r="AY109" s="28">
        <f t="shared" si="39"/>
        <v>9.7000000000000072E-2</v>
      </c>
      <c r="AZ109">
        <v>0.37110507522812586</v>
      </c>
      <c r="BA109" s="28">
        <f t="shared" si="35"/>
        <v>0.37110507522812586</v>
      </c>
    </row>
    <row r="110" spans="1:63" x14ac:dyDescent="0.25">
      <c r="A110" s="32">
        <f t="shared" si="36"/>
        <v>0.98000000000000065</v>
      </c>
      <c r="B110">
        <v>0.73482467116306038</v>
      </c>
      <c r="C110" s="32">
        <f t="shared" si="32"/>
        <v>0.62299776017624919</v>
      </c>
      <c r="S110" s="28">
        <f t="shared" si="37"/>
        <v>9.8000000000000073E-2</v>
      </c>
      <c r="T110">
        <v>0.67439802240058599</v>
      </c>
      <c r="U110" s="28">
        <f t="shared" si="33"/>
        <v>0.58929026356065117</v>
      </c>
      <c r="AI110" s="28">
        <f t="shared" si="38"/>
        <v>9.8000000000000073E-2</v>
      </c>
      <c r="AJ110">
        <v>1.4709921567430647E-2</v>
      </c>
      <c r="AK110" s="28">
        <f t="shared" si="34"/>
        <v>4.8902923038670686E-2</v>
      </c>
      <c r="AY110" s="28">
        <f t="shared" si="39"/>
        <v>9.8000000000000073E-2</v>
      </c>
      <c r="AZ110">
        <v>0.74425489059114358</v>
      </c>
      <c r="BA110" s="28">
        <f t="shared" si="35"/>
        <v>0.74425489059114358</v>
      </c>
    </row>
    <row r="111" spans="1:63" x14ac:dyDescent="0.25">
      <c r="A111" s="32">
        <f t="shared" si="36"/>
        <v>0.99000000000000066</v>
      </c>
      <c r="B111">
        <v>0.82122257148960842</v>
      </c>
      <c r="C111" s="32">
        <f t="shared" si="32"/>
        <v>0.67715238669819167</v>
      </c>
      <c r="S111" s="28">
        <f t="shared" si="37"/>
        <v>9.9000000000000074E-2</v>
      </c>
      <c r="T111">
        <v>0.93810846278267768</v>
      </c>
      <c r="U111" s="28">
        <f t="shared" si="33"/>
        <v>0.77954045609791134</v>
      </c>
      <c r="AI111" s="28">
        <f t="shared" si="38"/>
        <v>9.9000000000000074E-2</v>
      </c>
      <c r="AJ111">
        <v>0.94479201635792109</v>
      </c>
      <c r="AK111" s="28">
        <f t="shared" si="34"/>
        <v>0.40170588658939688</v>
      </c>
      <c r="AY111" s="28">
        <f t="shared" si="39"/>
        <v>9.9000000000000074E-2</v>
      </c>
      <c r="AZ111">
        <v>0.21115756706442457</v>
      </c>
      <c r="BA111" s="28">
        <f t="shared" si="35"/>
        <v>0.21115756706442457</v>
      </c>
    </row>
    <row r="112" spans="1:63" x14ac:dyDescent="0.25">
      <c r="A112" s="32">
        <f t="shared" si="36"/>
        <v>1.0000000000000007</v>
      </c>
      <c r="B112">
        <v>0.78548539689321573</v>
      </c>
      <c r="C112" s="32">
        <f t="shared" si="32"/>
        <v>0.65360849501523921</v>
      </c>
      <c r="S112" s="28">
        <f t="shared" si="37"/>
        <v>0.10000000000000007</v>
      </c>
      <c r="T112">
        <v>0.38312936796166874</v>
      </c>
      <c r="U112" s="28">
        <f t="shared" si="33"/>
        <v>0.44101401635763438</v>
      </c>
      <c r="AI112" s="28">
        <f t="shared" si="38"/>
        <v>0.10000000000000007</v>
      </c>
      <c r="AJ112">
        <v>0.28730124820703756</v>
      </c>
      <c r="AK112" s="28">
        <f t="shared" si="34"/>
        <v>0.15365235134972949</v>
      </c>
      <c r="AY112" s="28">
        <f t="shared" si="39"/>
        <v>0.10000000000000007</v>
      </c>
      <c r="AZ112">
        <v>0.28513443403424177</v>
      </c>
      <c r="BA112" s="28">
        <f t="shared" si="35"/>
        <v>0.28513443403424177</v>
      </c>
    </row>
    <row r="113" spans="1:53" x14ac:dyDescent="0.25">
      <c r="A113" s="32">
        <f t="shared" si="36"/>
        <v>1.0100000000000007</v>
      </c>
      <c r="B113">
        <v>0.21802423169652393</v>
      </c>
      <c r="C113" s="32">
        <f t="shared" si="32"/>
        <v>0.34860432837685379</v>
      </c>
      <c r="S113" s="28">
        <f t="shared" si="37"/>
        <v>0.10100000000000008</v>
      </c>
      <c r="T113">
        <v>0.31556138798181099</v>
      </c>
      <c r="U113" s="28">
        <f t="shared" si="33"/>
        <v>0.40526733101165602</v>
      </c>
      <c r="AI113" s="28">
        <f t="shared" si="38"/>
        <v>0.10100000000000008</v>
      </c>
      <c r="AJ113">
        <v>0.30835901974547564</v>
      </c>
      <c r="AK113" s="28">
        <f t="shared" si="34"/>
        <v>0.15911352412317445</v>
      </c>
      <c r="AY113" s="28">
        <f t="shared" si="39"/>
        <v>0.10100000000000008</v>
      </c>
      <c r="AZ113">
        <v>0.43739127780999176</v>
      </c>
      <c r="BA113" s="28">
        <f t="shared" si="35"/>
        <v>0.43739127780999176</v>
      </c>
    </row>
    <row r="114" spans="1:53" x14ac:dyDescent="0.25">
      <c r="A114" s="32">
        <f t="shared" si="36"/>
        <v>1.0200000000000007</v>
      </c>
      <c r="B114">
        <v>0.45753349406414989</v>
      </c>
      <c r="C114" s="32">
        <f t="shared" si="32"/>
        <v>0.47877268272155421</v>
      </c>
      <c r="S114" s="28">
        <f t="shared" si="37"/>
        <v>0.10200000000000008</v>
      </c>
      <c r="T114">
        <v>0.28727072969756157</v>
      </c>
      <c r="U114" s="28">
        <f t="shared" si="33"/>
        <v>0.38961389132579782</v>
      </c>
      <c r="AI114" s="28">
        <f t="shared" si="38"/>
        <v>0.10200000000000008</v>
      </c>
      <c r="AJ114">
        <v>0.25888851588488421</v>
      </c>
      <c r="AK114" s="28">
        <f t="shared" si="34"/>
        <v>0.14615582160365381</v>
      </c>
      <c r="AY114" s="28">
        <f t="shared" si="39"/>
        <v>0.10200000000000008</v>
      </c>
      <c r="AZ114">
        <v>0.96319467757194743</v>
      </c>
      <c r="BA114" s="28">
        <f t="shared" si="35"/>
        <v>0.96319467757194743</v>
      </c>
    </row>
    <row r="115" spans="1:53" x14ac:dyDescent="0.25">
      <c r="A115" s="32">
        <f t="shared" si="36"/>
        <v>1.0300000000000007</v>
      </c>
      <c r="B115">
        <v>8.792382580034791E-2</v>
      </c>
      <c r="C115" s="32">
        <f t="shared" si="32"/>
        <v>0.24910243006866892</v>
      </c>
      <c r="S115" s="28">
        <f t="shared" si="37"/>
        <v>0.10300000000000008</v>
      </c>
      <c r="T115">
        <v>0.84981841486861787</v>
      </c>
      <c r="U115" s="28">
        <f t="shared" si="33"/>
        <v>0.69766040100821525</v>
      </c>
      <c r="AI115" s="28">
        <f t="shared" si="38"/>
        <v>0.10300000000000008</v>
      </c>
      <c r="AJ115">
        <v>0.38715781121250037</v>
      </c>
      <c r="AK115" s="28">
        <f t="shared" si="34"/>
        <v>0.17917488450168845</v>
      </c>
      <c r="AY115" s="28">
        <f t="shared" si="39"/>
        <v>0.10300000000000008</v>
      </c>
      <c r="AZ115">
        <v>0.62340159306619469</v>
      </c>
      <c r="BA115" s="28">
        <f t="shared" si="35"/>
        <v>0.62340159306619469</v>
      </c>
    </row>
    <row r="116" spans="1:53" x14ac:dyDescent="0.25">
      <c r="A116" s="32">
        <f t="shared" si="36"/>
        <v>1.0400000000000007</v>
      </c>
      <c r="B116">
        <v>0.76854762413403732</v>
      </c>
      <c r="C116" s="32">
        <f t="shared" si="32"/>
        <v>0.64306834090061826</v>
      </c>
      <c r="S116" s="28">
        <f t="shared" si="37"/>
        <v>0.10400000000000008</v>
      </c>
      <c r="T116">
        <v>0.87514877773369548</v>
      </c>
      <c r="U116" s="28">
        <f t="shared" si="33"/>
        <v>0.71754666583678628</v>
      </c>
      <c r="AI116" s="28">
        <f t="shared" si="38"/>
        <v>0.10400000000000008</v>
      </c>
      <c r="AJ116">
        <v>0.49974059266945403</v>
      </c>
      <c r="AK116" s="28">
        <f t="shared" si="34"/>
        <v>0.20802796768199028</v>
      </c>
      <c r="AY116" s="28">
        <f t="shared" si="39"/>
        <v>0.10400000000000008</v>
      </c>
      <c r="AZ116">
        <v>0.87481307412945952</v>
      </c>
      <c r="BA116" s="28">
        <f t="shared" si="35"/>
        <v>0.87481307412945952</v>
      </c>
    </row>
    <row r="117" spans="1:53" x14ac:dyDescent="0.25">
      <c r="S117" s="28">
        <f t="shared" si="37"/>
        <v>0.10500000000000008</v>
      </c>
      <c r="T117">
        <v>0.72237311929685355</v>
      </c>
      <c r="U117" s="28">
        <f t="shared" si="33"/>
        <v>0.61584461829235604</v>
      </c>
      <c r="AI117" s="28">
        <f t="shared" si="38"/>
        <v>0.10500000000000008</v>
      </c>
      <c r="AJ117">
        <v>0.85897396771141699</v>
      </c>
      <c r="AK117" s="28">
        <f t="shared" si="34"/>
        <v>0.33393689261614168</v>
      </c>
      <c r="AY117" s="28">
        <f t="shared" si="39"/>
        <v>0.10500000000000008</v>
      </c>
      <c r="AZ117">
        <v>8.9968565935239719E-2</v>
      </c>
      <c r="BA117" s="28">
        <f t="shared" si="35"/>
        <v>8.9968565935239705E-2</v>
      </c>
    </row>
    <row r="118" spans="1:53" x14ac:dyDescent="0.25">
      <c r="S118" s="28">
        <f t="shared" si="37"/>
        <v>0.10600000000000008</v>
      </c>
      <c r="T118">
        <v>0.72499771111178934</v>
      </c>
      <c r="U118" s="28">
        <f t="shared" si="33"/>
        <v>0.61734217258848489</v>
      </c>
      <c r="AI118" s="28">
        <f t="shared" si="38"/>
        <v>0.10600000000000008</v>
      </c>
      <c r="AJ118">
        <v>0.62340159306619469</v>
      </c>
      <c r="AK118" s="28">
        <f t="shared" si="34"/>
        <v>0.24227915781573273</v>
      </c>
      <c r="AY118" s="28">
        <f t="shared" si="39"/>
        <v>0.10600000000000008</v>
      </c>
      <c r="AZ118">
        <v>3.9582506790368358E-2</v>
      </c>
      <c r="BA118" s="28">
        <f t="shared" si="35"/>
        <v>3.9582506790368358E-2</v>
      </c>
    </row>
    <row r="119" spans="1:53" x14ac:dyDescent="0.25">
      <c r="S119" s="28">
        <f t="shared" si="37"/>
        <v>0.10700000000000008</v>
      </c>
      <c r="T119">
        <v>0.64241462446974085</v>
      </c>
      <c r="U119" s="28">
        <f t="shared" si="33"/>
        <v>0.57227927325123273</v>
      </c>
      <c r="AI119" s="28">
        <f t="shared" si="38"/>
        <v>0.10700000000000008</v>
      </c>
      <c r="AJ119">
        <v>0.50440992461928158</v>
      </c>
      <c r="AK119" s="28">
        <f t="shared" si="34"/>
        <v>0.20925536563470748</v>
      </c>
      <c r="AY119" s="28">
        <f t="shared" si="39"/>
        <v>0.10700000000000008</v>
      </c>
      <c r="AZ119">
        <v>0.39484847560045166</v>
      </c>
      <c r="BA119" s="28">
        <f t="shared" si="35"/>
        <v>0.39484847560045166</v>
      </c>
    </row>
    <row r="120" spans="1:53" x14ac:dyDescent="0.25">
      <c r="S120" s="28">
        <f t="shared" si="37"/>
        <v>0.10800000000000008</v>
      </c>
      <c r="T120">
        <v>0.94009216589861755</v>
      </c>
      <c r="U120" s="28">
        <f t="shared" si="33"/>
        <v>0.78199125417910698</v>
      </c>
      <c r="AI120" s="28">
        <f t="shared" si="38"/>
        <v>0.10800000000000008</v>
      </c>
      <c r="AJ120">
        <v>0.73638111514633631</v>
      </c>
      <c r="AK120" s="28">
        <f t="shared" si="34"/>
        <v>0.27917518769109906</v>
      </c>
      <c r="AY120" s="28">
        <f t="shared" si="39"/>
        <v>0.10800000000000008</v>
      </c>
      <c r="AZ120">
        <v>0.24753563035981321</v>
      </c>
      <c r="BA120" s="28">
        <f t="shared" si="35"/>
        <v>0.24753563035981321</v>
      </c>
    </row>
    <row r="121" spans="1:53" x14ac:dyDescent="0.25">
      <c r="S121" s="28">
        <f t="shared" si="37"/>
        <v>0.10900000000000008</v>
      </c>
      <c r="T121">
        <v>0.92022461622974339</v>
      </c>
      <c r="U121" s="28">
        <f t="shared" si="33"/>
        <v>0.75926412275969146</v>
      </c>
      <c r="AI121" s="28">
        <f t="shared" si="38"/>
        <v>0.10900000000000008</v>
      </c>
      <c r="AJ121">
        <v>0.72164067506942964</v>
      </c>
      <c r="AK121" s="28">
        <f t="shared" si="34"/>
        <v>0.27387852990165218</v>
      </c>
      <c r="AY121" s="28">
        <f t="shared" si="39"/>
        <v>0.10900000000000008</v>
      </c>
      <c r="AZ121">
        <v>0.8418530838953826</v>
      </c>
      <c r="BA121" s="28">
        <f t="shared" si="35"/>
        <v>0.8418530838953826</v>
      </c>
    </row>
    <row r="122" spans="1:53" x14ac:dyDescent="0.25">
      <c r="S122" s="28">
        <f t="shared" si="37"/>
        <v>0.11000000000000008</v>
      </c>
      <c r="T122">
        <v>0.79143650624103523</v>
      </c>
      <c r="U122" s="28">
        <f t="shared" si="33"/>
        <v>0.6573975463468904</v>
      </c>
      <c r="AI122" s="28">
        <f t="shared" si="38"/>
        <v>0.11000000000000008</v>
      </c>
      <c r="AJ122">
        <v>0.30396435438093206</v>
      </c>
      <c r="AK122" s="28">
        <f t="shared" si="34"/>
        <v>0.15797920874306282</v>
      </c>
      <c r="AY122" s="28">
        <f t="shared" si="39"/>
        <v>0.11000000000000008</v>
      </c>
      <c r="AZ122">
        <v>0.37858211004974518</v>
      </c>
      <c r="BA122" s="28">
        <f t="shared" si="35"/>
        <v>0.37858211004974518</v>
      </c>
    </row>
    <row r="123" spans="1:53" x14ac:dyDescent="0.25">
      <c r="S123" s="28">
        <f t="shared" si="37"/>
        <v>0.11100000000000008</v>
      </c>
      <c r="T123">
        <v>0.94946134830774864</v>
      </c>
      <c r="U123" s="28">
        <f t="shared" si="33"/>
        <v>0.79427297402712138</v>
      </c>
      <c r="AI123" s="28">
        <f t="shared" si="38"/>
        <v>0.11100000000000008</v>
      </c>
      <c r="AJ123">
        <v>0.69808038575395981</v>
      </c>
      <c r="AK123" s="28">
        <f t="shared" si="34"/>
        <v>0.26576663810181178</v>
      </c>
      <c r="AY123" s="28">
        <f t="shared" si="39"/>
        <v>0.11100000000000008</v>
      </c>
      <c r="AZ123">
        <v>0.97894222846156198</v>
      </c>
      <c r="BA123" s="28">
        <f t="shared" si="35"/>
        <v>0.97894222846156198</v>
      </c>
    </row>
    <row r="124" spans="1:53" x14ac:dyDescent="0.25">
      <c r="S124" s="28">
        <f t="shared" si="37"/>
        <v>0.11200000000000009</v>
      </c>
      <c r="T124">
        <v>4.0833765678884242E-2</v>
      </c>
      <c r="U124" s="28">
        <f t="shared" si="33"/>
        <v>0.1914580413209184</v>
      </c>
      <c r="AI124" s="28">
        <f t="shared" si="38"/>
        <v>0.11200000000000009</v>
      </c>
      <c r="AJ124">
        <v>0.32636494033631397</v>
      </c>
      <c r="AK124" s="28">
        <f t="shared" si="34"/>
        <v>0.16373664665987361</v>
      </c>
      <c r="AY124" s="28">
        <f t="shared" si="39"/>
        <v>0.11200000000000009</v>
      </c>
      <c r="AZ124">
        <v>0.53801080355235453</v>
      </c>
      <c r="BA124" s="28">
        <f t="shared" si="35"/>
        <v>0.53801080355235453</v>
      </c>
    </row>
    <row r="125" spans="1:53" x14ac:dyDescent="0.25">
      <c r="S125" s="28">
        <f t="shared" si="37"/>
        <v>0.11300000000000009</v>
      </c>
      <c r="T125">
        <v>0.92907498397778254</v>
      </c>
      <c r="U125" s="28">
        <f t="shared" si="33"/>
        <v>0.76892603270006854</v>
      </c>
      <c r="AI125" s="28">
        <f t="shared" si="38"/>
        <v>0.11300000000000009</v>
      </c>
      <c r="AJ125">
        <v>0.8078554643391217</v>
      </c>
      <c r="AK125" s="28">
        <f t="shared" si="34"/>
        <v>0.30811831226591979</v>
      </c>
      <c r="AY125" s="28">
        <f t="shared" si="39"/>
        <v>0.11300000000000009</v>
      </c>
      <c r="AZ125">
        <v>0.30539872432630388</v>
      </c>
      <c r="BA125" s="28">
        <f t="shared" si="35"/>
        <v>0.30539872432630388</v>
      </c>
    </row>
    <row r="126" spans="1:53" x14ac:dyDescent="0.25">
      <c r="S126" s="28">
        <f t="shared" si="37"/>
        <v>0.11400000000000009</v>
      </c>
      <c r="T126">
        <v>0.7006744590594195</v>
      </c>
      <c r="U126" s="28">
        <f t="shared" si="33"/>
        <v>0.60365435785588129</v>
      </c>
      <c r="AI126" s="28">
        <f t="shared" si="38"/>
        <v>0.11400000000000009</v>
      </c>
      <c r="AJ126">
        <v>0.36933500167851802</v>
      </c>
      <c r="AK126" s="28">
        <f t="shared" si="34"/>
        <v>0.17466309551859885</v>
      </c>
      <c r="AY126" s="28">
        <f t="shared" si="39"/>
        <v>0.11400000000000009</v>
      </c>
      <c r="AZ126">
        <v>0.59447004608294929</v>
      </c>
      <c r="BA126" s="28">
        <f t="shared" si="35"/>
        <v>0.59447004608294929</v>
      </c>
    </row>
    <row r="127" spans="1:53" x14ac:dyDescent="0.25">
      <c r="S127" s="28">
        <f t="shared" si="37"/>
        <v>0.11500000000000009</v>
      </c>
      <c r="T127">
        <v>0.80693990905484181</v>
      </c>
      <c r="U127" s="28">
        <f t="shared" si="33"/>
        <v>0.66750396164684145</v>
      </c>
      <c r="AI127" s="28">
        <f t="shared" si="38"/>
        <v>0.11500000000000009</v>
      </c>
      <c r="AJ127">
        <v>0.85216834009826958</v>
      </c>
      <c r="AK127" s="28">
        <f t="shared" si="34"/>
        <v>0.33013825651008422</v>
      </c>
      <c r="AY127" s="28">
        <f t="shared" si="39"/>
        <v>0.11500000000000009</v>
      </c>
      <c r="AZ127">
        <v>0.67754142887661362</v>
      </c>
      <c r="BA127" s="28">
        <f t="shared" si="35"/>
        <v>0.67754142887661362</v>
      </c>
    </row>
    <row r="128" spans="1:53" x14ac:dyDescent="0.25">
      <c r="S128" s="28">
        <f t="shared" si="37"/>
        <v>0.11600000000000009</v>
      </c>
      <c r="T128">
        <v>0.53495895260475479</v>
      </c>
      <c r="U128" s="28">
        <f t="shared" si="33"/>
        <v>0.5174664800990072</v>
      </c>
      <c r="AI128" s="28">
        <f t="shared" si="38"/>
        <v>0.11600000000000009</v>
      </c>
      <c r="AJ128">
        <v>0.84670552690206613</v>
      </c>
      <c r="AK128" s="28">
        <f t="shared" si="34"/>
        <v>0.32718221888036358</v>
      </c>
      <c r="AY128" s="28">
        <f t="shared" si="39"/>
        <v>0.11600000000000009</v>
      </c>
      <c r="AZ128">
        <v>0.90530106509598074</v>
      </c>
      <c r="BA128" s="28">
        <f t="shared" si="35"/>
        <v>0.90530106509598074</v>
      </c>
    </row>
    <row r="129" spans="19:53" x14ac:dyDescent="0.25">
      <c r="S129" s="28">
        <f t="shared" si="37"/>
        <v>0.11700000000000009</v>
      </c>
      <c r="T129">
        <v>0.78035828730124823</v>
      </c>
      <c r="U129" s="28">
        <f t="shared" si="33"/>
        <v>0.65038110034449814</v>
      </c>
      <c r="AI129" s="28">
        <f t="shared" si="38"/>
        <v>0.11700000000000009</v>
      </c>
      <c r="AJ129">
        <v>0.19962157048249762</v>
      </c>
      <c r="AK129" s="28">
        <f t="shared" si="34"/>
        <v>0.12977884659743036</v>
      </c>
      <c r="AY129" s="28">
        <f t="shared" si="39"/>
        <v>0.11700000000000009</v>
      </c>
      <c r="AZ129">
        <v>0.30845057527390363</v>
      </c>
      <c r="BA129" s="28">
        <f t="shared" si="35"/>
        <v>0.30845057527390363</v>
      </c>
    </row>
    <row r="130" spans="19:53" x14ac:dyDescent="0.25">
      <c r="S130" s="28">
        <f t="shared" si="37"/>
        <v>0.11800000000000009</v>
      </c>
      <c r="T130">
        <v>0.54637287514877775</v>
      </c>
      <c r="U130" s="28">
        <f t="shared" si="33"/>
        <v>0.52318639037412529</v>
      </c>
      <c r="AI130" s="28">
        <f t="shared" si="38"/>
        <v>0.11800000000000009</v>
      </c>
      <c r="AJ130">
        <v>0.63454084902493357</v>
      </c>
      <c r="AK130" s="28">
        <f t="shared" si="34"/>
        <v>0.2456070648240587</v>
      </c>
      <c r="AY130" s="28">
        <f t="shared" si="39"/>
        <v>0.11800000000000009</v>
      </c>
      <c r="AZ130">
        <v>0.78844569231238748</v>
      </c>
      <c r="BA130" s="28">
        <f t="shared" si="35"/>
        <v>0.78844569231238748</v>
      </c>
    </row>
    <row r="131" spans="19:53" x14ac:dyDescent="0.25">
      <c r="S131" s="28">
        <f t="shared" si="37"/>
        <v>0.11900000000000009</v>
      </c>
      <c r="T131">
        <v>0.87002166814172799</v>
      </c>
      <c r="U131" s="28">
        <f t="shared" si="33"/>
        <v>0.71336321529811397</v>
      </c>
      <c r="AI131" s="28">
        <f t="shared" si="38"/>
        <v>0.11900000000000009</v>
      </c>
      <c r="AJ131">
        <v>0.83861812189092688</v>
      </c>
      <c r="AK131" s="28">
        <f t="shared" si="34"/>
        <v>0.32294571400396099</v>
      </c>
      <c r="AY131" s="28">
        <f t="shared" si="39"/>
        <v>0.11900000000000009</v>
      </c>
      <c r="AZ131">
        <v>0.93380535294656208</v>
      </c>
      <c r="BA131" s="28">
        <f t="shared" si="35"/>
        <v>0.93380535294656208</v>
      </c>
    </row>
    <row r="132" spans="19:53" x14ac:dyDescent="0.25">
      <c r="S132" s="28">
        <f t="shared" si="37"/>
        <v>0.12000000000000009</v>
      </c>
      <c r="T132">
        <v>0.14874721518601031</v>
      </c>
      <c r="U132" s="28">
        <f t="shared" si="33"/>
        <v>0.30126186294416352</v>
      </c>
      <c r="AI132" s="28">
        <f t="shared" si="38"/>
        <v>0.12000000000000009</v>
      </c>
      <c r="AJ132">
        <v>0.23071993163853877</v>
      </c>
      <c r="AK132" s="28">
        <f t="shared" si="34"/>
        <v>0.13852445062189636</v>
      </c>
      <c r="AY132" s="28">
        <f t="shared" si="39"/>
        <v>0.12000000000000009</v>
      </c>
      <c r="AZ132">
        <v>0.28025147251808219</v>
      </c>
      <c r="BA132" s="28">
        <f t="shared" si="35"/>
        <v>0.28025147251808219</v>
      </c>
    </row>
    <row r="133" spans="19:53" x14ac:dyDescent="0.25">
      <c r="S133" s="28">
        <f t="shared" si="37"/>
        <v>0.12100000000000009</v>
      </c>
      <c r="T133">
        <v>0.71932126834925381</v>
      </c>
      <c r="U133" s="28">
        <f t="shared" si="33"/>
        <v>0.61410985317218714</v>
      </c>
      <c r="AI133" s="28">
        <f t="shared" si="38"/>
        <v>0.12100000000000009</v>
      </c>
      <c r="AJ133">
        <v>0.9489730521561327</v>
      </c>
      <c r="AK133" s="28">
        <f t="shared" si="34"/>
        <v>0.40683695151749077</v>
      </c>
      <c r="AY133" s="28">
        <f t="shared" si="39"/>
        <v>0.12100000000000009</v>
      </c>
      <c r="AZ133">
        <v>0.77748954741050447</v>
      </c>
      <c r="BA133" s="28">
        <f t="shared" si="35"/>
        <v>0.77748954741050447</v>
      </c>
    </row>
    <row r="134" spans="19:53" x14ac:dyDescent="0.25">
      <c r="S134" s="28">
        <f t="shared" si="37"/>
        <v>0.12200000000000009</v>
      </c>
      <c r="T134">
        <v>0.81984923856318859</v>
      </c>
      <c r="U134" s="28">
        <f t="shared" si="33"/>
        <v>0.67620921592747663</v>
      </c>
      <c r="AI134" s="28">
        <f t="shared" si="38"/>
        <v>0.12200000000000009</v>
      </c>
      <c r="AJ134">
        <v>0.88735618152409435</v>
      </c>
      <c r="AK134" s="28">
        <f t="shared" si="34"/>
        <v>0.35145799412198597</v>
      </c>
      <c r="AY134" s="28">
        <f t="shared" si="39"/>
        <v>0.12200000000000009</v>
      </c>
      <c r="AZ134">
        <v>0.52314828943754388</v>
      </c>
      <c r="BA134" s="28">
        <f t="shared" si="35"/>
        <v>0.52314828943754388</v>
      </c>
    </row>
    <row r="135" spans="19:53" x14ac:dyDescent="0.25">
      <c r="S135" s="28">
        <f t="shared" si="37"/>
        <v>0.1230000000000001</v>
      </c>
      <c r="T135">
        <v>0.48350474562822354</v>
      </c>
      <c r="U135" s="28">
        <f t="shared" si="33"/>
        <v>0.49176474033397255</v>
      </c>
      <c r="AI135" s="28">
        <f t="shared" si="38"/>
        <v>0.1230000000000001</v>
      </c>
      <c r="AJ135">
        <v>0.96240119632557142</v>
      </c>
      <c r="AK135" s="28">
        <f t="shared" si="34"/>
        <v>0.42606790895413682</v>
      </c>
      <c r="AY135" s="28">
        <f t="shared" si="39"/>
        <v>0.1230000000000001</v>
      </c>
      <c r="AZ135">
        <v>0.53282265694143494</v>
      </c>
      <c r="BA135" s="28">
        <f t="shared" si="35"/>
        <v>0.53282265694143494</v>
      </c>
    </row>
    <row r="136" spans="19:53" x14ac:dyDescent="0.25">
      <c r="S136" s="28">
        <f t="shared" si="37"/>
        <v>0.1240000000000001</v>
      </c>
      <c r="T136">
        <v>0.89120151371806999</v>
      </c>
      <c r="U136" s="28">
        <f t="shared" si="33"/>
        <v>0.7312723409809625</v>
      </c>
      <c r="AI136" s="28">
        <f t="shared" si="38"/>
        <v>0.1240000000000001</v>
      </c>
      <c r="AJ136">
        <v>5.8320871608630635E-2</v>
      </c>
      <c r="AK136" s="28">
        <f t="shared" si="34"/>
        <v>7.9317449699012527E-2</v>
      </c>
      <c r="AY136" s="28">
        <f t="shared" si="39"/>
        <v>0.1240000000000001</v>
      </c>
      <c r="AZ136">
        <v>0.3882259590441603</v>
      </c>
      <c r="BA136" s="28">
        <f t="shared" si="35"/>
        <v>0.3882259590441603</v>
      </c>
    </row>
    <row r="137" spans="19:53" x14ac:dyDescent="0.25">
      <c r="S137" s="28">
        <f t="shared" si="37"/>
        <v>0.12500000000000008</v>
      </c>
      <c r="T137">
        <v>8.890041810357982E-2</v>
      </c>
      <c r="U137" s="28">
        <f t="shared" si="33"/>
        <v>0.25007519019928542</v>
      </c>
      <c r="AI137" s="28">
        <f t="shared" si="38"/>
        <v>0.12500000000000008</v>
      </c>
      <c r="AJ137">
        <v>0.33234656819360942</v>
      </c>
      <c r="AK137" s="28">
        <f t="shared" si="34"/>
        <v>0.16526507607597346</v>
      </c>
      <c r="AY137" s="28">
        <f t="shared" si="39"/>
        <v>0.12500000000000008</v>
      </c>
      <c r="AZ137">
        <v>0.79506820886867891</v>
      </c>
      <c r="BA137" s="28">
        <f t="shared" si="35"/>
        <v>0.79506820886867891</v>
      </c>
    </row>
    <row r="138" spans="19:53" x14ac:dyDescent="0.25">
      <c r="S138" s="28">
        <f t="shared" si="37"/>
        <v>0.12600000000000008</v>
      </c>
      <c r="T138">
        <v>0.88341929380169071</v>
      </c>
      <c r="U138" s="28">
        <f t="shared" si="33"/>
        <v>0.724491616316295</v>
      </c>
      <c r="AI138" s="28">
        <f t="shared" si="38"/>
        <v>0.12600000000000008</v>
      </c>
      <c r="AJ138">
        <v>0.750022888882107</v>
      </c>
      <c r="AK138" s="28">
        <f t="shared" si="34"/>
        <v>0.28424999954827657</v>
      </c>
      <c r="AY138" s="28">
        <f t="shared" si="39"/>
        <v>0.12600000000000008</v>
      </c>
      <c r="AZ138">
        <v>0.27603991821039459</v>
      </c>
      <c r="BA138" s="28">
        <f t="shared" si="35"/>
        <v>0.27603991821039459</v>
      </c>
    </row>
    <row r="139" spans="19:53" x14ac:dyDescent="0.25">
      <c r="S139" s="28">
        <f t="shared" si="37"/>
        <v>0.12700000000000009</v>
      </c>
      <c r="T139">
        <v>0.88720358897671436</v>
      </c>
      <c r="U139" s="28">
        <f t="shared" si="33"/>
        <v>0.72775731386143561</v>
      </c>
      <c r="AI139" s="28">
        <f t="shared" si="38"/>
        <v>0.12700000000000009</v>
      </c>
      <c r="AJ139">
        <v>0.50196844386120187</v>
      </c>
      <c r="AK139" s="28">
        <f t="shared" si="34"/>
        <v>0.20861313193315956</v>
      </c>
      <c r="AY139" s="28">
        <f t="shared" si="39"/>
        <v>0.12700000000000009</v>
      </c>
      <c r="AZ139">
        <v>0.36695455793939025</v>
      </c>
      <c r="BA139" s="28">
        <f t="shared" si="35"/>
        <v>0.36695455793939025</v>
      </c>
    </row>
    <row r="140" spans="19:53" x14ac:dyDescent="0.25">
      <c r="S140" s="28">
        <f t="shared" si="37"/>
        <v>0.12800000000000009</v>
      </c>
      <c r="T140">
        <v>0.56306649983214818</v>
      </c>
      <c r="U140" s="28">
        <f t="shared" si="33"/>
        <v>0.53157945277295249</v>
      </c>
      <c r="AI140" s="28">
        <f t="shared" si="38"/>
        <v>0.12800000000000009</v>
      </c>
      <c r="AJ140">
        <v>0.55891598254341257</v>
      </c>
      <c r="AK140" s="28">
        <f t="shared" si="34"/>
        <v>0.22390301243475852</v>
      </c>
      <c r="AY140" s="28">
        <f t="shared" si="39"/>
        <v>0.12800000000000009</v>
      </c>
      <c r="AZ140">
        <v>7.7974791711172831E-2</v>
      </c>
      <c r="BA140" s="28">
        <f t="shared" si="35"/>
        <v>7.7974791711172831E-2</v>
      </c>
    </row>
    <row r="141" spans="19:53" x14ac:dyDescent="0.25">
      <c r="S141" s="28">
        <f t="shared" si="37"/>
        <v>0.12900000000000009</v>
      </c>
      <c r="T141">
        <v>0.42652668843653674</v>
      </c>
      <c r="U141" s="28">
        <f t="shared" ref="U141:U204" si="40">_xlfn.BETA.INV(T141,$V$5,$V$6,0,1)</f>
        <v>0.46316732135055722</v>
      </c>
      <c r="AI141" s="28">
        <f t="shared" si="38"/>
        <v>0.12900000000000009</v>
      </c>
      <c r="AJ141">
        <v>0.96664326914273502</v>
      </c>
      <c r="AK141" s="28">
        <f t="shared" ref="AK141:AK204" si="41">_xlfn.BETA.INV(AJ141,$AL$5,$AL$6,0,1)</f>
        <v>0.43333637923811719</v>
      </c>
      <c r="AY141" s="28">
        <f t="shared" si="39"/>
        <v>0.12900000000000009</v>
      </c>
      <c r="AZ141">
        <v>0.73708304086428422</v>
      </c>
      <c r="BA141" s="28">
        <f t="shared" ref="BA141:BA204" si="42">_xlfn.BETA.INV(AZ141,$BB$5,$BB$6,0,1)</f>
        <v>0.73708304086428422</v>
      </c>
    </row>
    <row r="142" spans="19:53" x14ac:dyDescent="0.25">
      <c r="S142" s="28">
        <f>S141+0.001</f>
        <v>0.13000000000000009</v>
      </c>
      <c r="T142">
        <v>0.80495620593890194</v>
      </c>
      <c r="U142" s="28">
        <f t="shared" si="40"/>
        <v>0.66619064276666684</v>
      </c>
      <c r="AI142" s="28">
        <f>AI141+0.001</f>
        <v>0.13000000000000009</v>
      </c>
      <c r="AJ142">
        <v>0.95645008697775202</v>
      </c>
      <c r="AK142" s="28">
        <f t="shared" si="41"/>
        <v>0.41694278477225311</v>
      </c>
      <c r="AY142" s="28">
        <f>AY141+0.001</f>
        <v>0.13000000000000009</v>
      </c>
      <c r="AZ142">
        <v>0.65236365855891598</v>
      </c>
      <c r="BA142" s="28">
        <f t="shared" si="42"/>
        <v>0.65236365855891598</v>
      </c>
    </row>
    <row r="143" spans="19:53" x14ac:dyDescent="0.25">
      <c r="S143" s="28">
        <f t="shared" ref="S143:S206" si="43">S142+0.001</f>
        <v>0.13100000000000009</v>
      </c>
      <c r="T143">
        <v>0.33686330759605698</v>
      </c>
      <c r="U143" s="28">
        <f t="shared" si="40"/>
        <v>0.41675240335675728</v>
      </c>
      <c r="AI143" s="28">
        <f t="shared" ref="AI143:AI206" si="44">AI142+0.001</f>
        <v>0.13100000000000009</v>
      </c>
      <c r="AJ143">
        <v>2.0142216254158147E-3</v>
      </c>
      <c r="AK143" s="28">
        <f t="shared" si="41"/>
        <v>2.5658234495980106E-2</v>
      </c>
      <c r="AY143" s="28">
        <f t="shared" ref="AY143:AY206" si="45">AY142+0.001</f>
        <v>0.13100000000000009</v>
      </c>
      <c r="AZ143">
        <v>0.9218115787224952</v>
      </c>
      <c r="BA143" s="28">
        <f t="shared" si="42"/>
        <v>0.9218115787224952</v>
      </c>
    </row>
    <row r="144" spans="19:53" x14ac:dyDescent="0.25">
      <c r="S144" s="28">
        <f t="shared" si="43"/>
        <v>0.13200000000000009</v>
      </c>
      <c r="T144">
        <v>0.51847895748771633</v>
      </c>
      <c r="U144" s="28">
        <f t="shared" si="40"/>
        <v>0.50922613313975962</v>
      </c>
      <c r="AI144" s="28">
        <f t="shared" si="44"/>
        <v>0.13200000000000009</v>
      </c>
      <c r="AJ144">
        <v>0.35874507889034701</v>
      </c>
      <c r="AK144" s="28">
        <f t="shared" si="41"/>
        <v>0.17197926033010913</v>
      </c>
      <c r="AY144" s="28">
        <f t="shared" si="45"/>
        <v>0.13200000000000009</v>
      </c>
      <c r="AZ144">
        <v>0.48905911435285498</v>
      </c>
      <c r="BA144" s="28">
        <f t="shared" si="42"/>
        <v>0.48905911435285498</v>
      </c>
    </row>
    <row r="145" spans="19:53" x14ac:dyDescent="0.25">
      <c r="S145" s="28">
        <f t="shared" si="43"/>
        <v>0.13300000000000009</v>
      </c>
      <c r="T145">
        <v>0.80507827997680592</v>
      </c>
      <c r="U145" s="28">
        <f t="shared" si="40"/>
        <v>0.66627128390662449</v>
      </c>
      <c r="AI145" s="28">
        <f t="shared" si="44"/>
        <v>0.13300000000000009</v>
      </c>
      <c r="AJ145">
        <v>0.69240394299142427</v>
      </c>
      <c r="AK145" s="28">
        <f t="shared" si="41"/>
        <v>0.26387069501654048</v>
      </c>
      <c r="AY145" s="28">
        <f t="shared" si="45"/>
        <v>0.13300000000000009</v>
      </c>
      <c r="AZ145">
        <v>0.89645069734794147</v>
      </c>
      <c r="BA145" s="28">
        <f t="shared" si="42"/>
        <v>0.89645069734794147</v>
      </c>
    </row>
    <row r="146" spans="19:53" x14ac:dyDescent="0.25">
      <c r="S146" s="28">
        <f t="shared" si="43"/>
        <v>0.13400000000000009</v>
      </c>
      <c r="T146">
        <v>0.46009704886013369</v>
      </c>
      <c r="U146" s="28">
        <f t="shared" si="40"/>
        <v>0.48005746695835544</v>
      </c>
      <c r="AI146" s="28">
        <f t="shared" si="44"/>
        <v>0.13400000000000009</v>
      </c>
      <c r="AJ146">
        <v>0.32715842158268993</v>
      </c>
      <c r="AK146" s="28">
        <f t="shared" si="41"/>
        <v>0.1639395855213357</v>
      </c>
      <c r="AY146" s="28">
        <f t="shared" si="45"/>
        <v>0.13400000000000009</v>
      </c>
      <c r="AZ146">
        <v>0.13916440321054721</v>
      </c>
      <c r="BA146" s="28">
        <f t="shared" si="42"/>
        <v>0.13916440321054721</v>
      </c>
    </row>
    <row r="147" spans="19:53" x14ac:dyDescent="0.25">
      <c r="S147" s="28">
        <f t="shared" si="43"/>
        <v>0.13500000000000009</v>
      </c>
      <c r="T147">
        <v>0.42289498580889312</v>
      </c>
      <c r="U147" s="28">
        <f t="shared" si="40"/>
        <v>0.46132961442179471</v>
      </c>
      <c r="AI147" s="28">
        <f t="shared" si="44"/>
        <v>0.13500000000000009</v>
      </c>
      <c r="AJ147">
        <v>0.47425763725699638</v>
      </c>
      <c r="AK147" s="28">
        <f t="shared" si="41"/>
        <v>0.20138863272590687</v>
      </c>
      <c r="AY147" s="28">
        <f t="shared" si="45"/>
        <v>0.13500000000000009</v>
      </c>
      <c r="AZ147">
        <v>0.13895077364421521</v>
      </c>
      <c r="BA147" s="28">
        <f t="shared" si="42"/>
        <v>0.13895077364421521</v>
      </c>
    </row>
    <row r="148" spans="19:53" x14ac:dyDescent="0.25">
      <c r="S148" s="28">
        <f t="shared" si="43"/>
        <v>0.13600000000000009</v>
      </c>
      <c r="T148">
        <v>0.83449812311166727</v>
      </c>
      <c r="U148" s="28">
        <f t="shared" si="40"/>
        <v>0.68645588910539035</v>
      </c>
      <c r="AI148" s="28">
        <f t="shared" si="44"/>
        <v>0.13600000000000009</v>
      </c>
      <c r="AJ148">
        <v>0.5033722952970977</v>
      </c>
      <c r="AK148" s="28">
        <f t="shared" si="41"/>
        <v>0.20898229257264689</v>
      </c>
      <c r="AY148" s="28">
        <f t="shared" si="45"/>
        <v>0.13600000000000009</v>
      </c>
      <c r="AZ148">
        <v>8.7893307290871914E-2</v>
      </c>
      <c r="BA148" s="28">
        <f t="shared" si="42"/>
        <v>8.78933072908719E-2</v>
      </c>
    </row>
    <row r="149" spans="19:53" x14ac:dyDescent="0.25">
      <c r="S149" s="28">
        <f t="shared" si="43"/>
        <v>0.13700000000000009</v>
      </c>
      <c r="T149">
        <v>0.94921720023194067</v>
      </c>
      <c r="U149" s="28">
        <f t="shared" si="40"/>
        <v>0.79393637802883987</v>
      </c>
      <c r="AI149" s="28">
        <f t="shared" si="44"/>
        <v>0.13700000000000009</v>
      </c>
      <c r="AJ149">
        <v>0.63127536851100197</v>
      </c>
      <c r="AK149" s="28">
        <f t="shared" si="41"/>
        <v>0.2446260191378351</v>
      </c>
      <c r="AY149" s="28">
        <f t="shared" si="45"/>
        <v>0.13700000000000009</v>
      </c>
      <c r="AZ149">
        <v>0.49925229651783809</v>
      </c>
      <c r="BA149" s="28">
        <f t="shared" si="42"/>
        <v>0.49925229651783809</v>
      </c>
    </row>
    <row r="150" spans="19:53" x14ac:dyDescent="0.25">
      <c r="S150" s="28">
        <f t="shared" si="43"/>
        <v>0.13800000000000009</v>
      </c>
      <c r="T150">
        <v>0.30820642719809566</v>
      </c>
      <c r="U150" s="28">
        <f t="shared" si="40"/>
        <v>0.40124518781233415</v>
      </c>
      <c r="AI150" s="28">
        <f t="shared" si="44"/>
        <v>0.13800000000000009</v>
      </c>
      <c r="AJ150">
        <v>0.22241889706106754</v>
      </c>
      <c r="AK150" s="28">
        <f t="shared" si="41"/>
        <v>0.13622739069298126</v>
      </c>
      <c r="AY150" s="28">
        <f t="shared" si="45"/>
        <v>0.13800000000000009</v>
      </c>
      <c r="AZ150">
        <v>0.68163090914639723</v>
      </c>
      <c r="BA150" s="28">
        <f t="shared" si="42"/>
        <v>0.68163090914639723</v>
      </c>
    </row>
    <row r="151" spans="19:53" x14ac:dyDescent="0.25">
      <c r="S151" s="28">
        <f t="shared" si="43"/>
        <v>0.1390000000000001</v>
      </c>
      <c r="T151">
        <v>0.36729026154362621</v>
      </c>
      <c r="U151" s="28">
        <f t="shared" si="40"/>
        <v>0.43279808803969383</v>
      </c>
      <c r="AI151" s="28">
        <f t="shared" si="44"/>
        <v>0.1390000000000001</v>
      </c>
      <c r="AJ151">
        <v>0.16254158146916103</v>
      </c>
      <c r="AK151" s="28">
        <f t="shared" si="41"/>
        <v>0.11872152967615678</v>
      </c>
      <c r="AY151" s="28">
        <f t="shared" si="45"/>
        <v>0.1390000000000001</v>
      </c>
      <c r="AZ151">
        <v>0.81243324076052126</v>
      </c>
      <c r="BA151" s="28">
        <f t="shared" si="42"/>
        <v>0.81243324076052126</v>
      </c>
    </row>
    <row r="152" spans="19:53" x14ac:dyDescent="0.25">
      <c r="S152" s="28">
        <f t="shared" si="43"/>
        <v>0.1400000000000001</v>
      </c>
      <c r="T152">
        <v>0.54484694967497782</v>
      </c>
      <c r="U152" s="28">
        <f t="shared" si="40"/>
        <v>0.52242093226207786</v>
      </c>
      <c r="AI152" s="28">
        <f t="shared" si="44"/>
        <v>0.1400000000000001</v>
      </c>
      <c r="AJ152">
        <v>0.78691976683858755</v>
      </c>
      <c r="AK152" s="28">
        <f t="shared" si="41"/>
        <v>0.29897068745442323</v>
      </c>
      <c r="AY152" s="28">
        <f t="shared" si="45"/>
        <v>0.1400000000000001</v>
      </c>
      <c r="AZ152">
        <v>0.10452589495529038</v>
      </c>
      <c r="BA152" s="28">
        <f t="shared" si="42"/>
        <v>0.10452589495529037</v>
      </c>
    </row>
    <row r="153" spans="19:53" x14ac:dyDescent="0.25">
      <c r="S153" s="28">
        <f t="shared" si="43"/>
        <v>0.1410000000000001</v>
      </c>
      <c r="T153">
        <v>0.15823847163304544</v>
      </c>
      <c r="U153" s="28">
        <f t="shared" si="40"/>
        <v>0.30829938484757702</v>
      </c>
      <c r="AI153" s="28">
        <f t="shared" si="44"/>
        <v>0.1410000000000001</v>
      </c>
      <c r="AJ153">
        <v>0.32322153386028624</v>
      </c>
      <c r="AK153" s="28">
        <f t="shared" si="41"/>
        <v>0.1629320970904761</v>
      </c>
      <c r="AY153" s="28">
        <f t="shared" si="45"/>
        <v>0.1410000000000001</v>
      </c>
      <c r="AZ153">
        <v>0.51994384594256415</v>
      </c>
      <c r="BA153" s="28">
        <f t="shared" si="42"/>
        <v>0.51994384594256415</v>
      </c>
    </row>
    <row r="154" spans="19:53" x14ac:dyDescent="0.25">
      <c r="S154" s="28">
        <f t="shared" si="43"/>
        <v>0.1420000000000001</v>
      </c>
      <c r="T154">
        <v>0.74852748191778318</v>
      </c>
      <c r="U154" s="28">
        <f t="shared" si="40"/>
        <v>0.63102122696689511</v>
      </c>
      <c r="AI154" s="28">
        <f t="shared" si="44"/>
        <v>0.1420000000000001</v>
      </c>
      <c r="AJ154">
        <v>0.75530259102145447</v>
      </c>
      <c r="AK154" s="28">
        <f t="shared" si="41"/>
        <v>0.28626277054784954</v>
      </c>
      <c r="AY154" s="28">
        <f t="shared" si="45"/>
        <v>0.1420000000000001</v>
      </c>
      <c r="AZ154">
        <v>0.86281929990539263</v>
      </c>
      <c r="BA154" s="28">
        <f t="shared" si="42"/>
        <v>0.86281929990539263</v>
      </c>
    </row>
    <row r="155" spans="19:53" x14ac:dyDescent="0.25">
      <c r="S155" s="28">
        <f t="shared" si="43"/>
        <v>0.1430000000000001</v>
      </c>
      <c r="T155">
        <v>0.58030945768608666</v>
      </c>
      <c r="U155" s="28">
        <f t="shared" si="40"/>
        <v>0.54029397879505869</v>
      </c>
      <c r="AI155" s="28">
        <f t="shared" si="44"/>
        <v>0.1430000000000001</v>
      </c>
      <c r="AJ155">
        <v>2.9053621021149327E-2</v>
      </c>
      <c r="AK155" s="28">
        <f t="shared" si="41"/>
        <v>6.1755687181673263E-2</v>
      </c>
      <c r="AY155" s="28">
        <f t="shared" si="45"/>
        <v>0.1430000000000001</v>
      </c>
      <c r="AZ155">
        <v>0.173894466994232</v>
      </c>
      <c r="BA155" s="28">
        <f t="shared" si="42"/>
        <v>0.173894466994232</v>
      </c>
    </row>
    <row r="156" spans="19:53" x14ac:dyDescent="0.25">
      <c r="S156" s="28">
        <f t="shared" si="43"/>
        <v>0.1440000000000001</v>
      </c>
      <c r="T156">
        <v>9.4973601489303269E-2</v>
      </c>
      <c r="U156" s="28">
        <f t="shared" si="40"/>
        <v>0.25599414767865647</v>
      </c>
      <c r="AI156" s="28">
        <f t="shared" si="44"/>
        <v>0.1440000000000001</v>
      </c>
      <c r="AJ156">
        <v>0.9192175054170354</v>
      </c>
      <c r="AK156" s="28">
        <f t="shared" si="41"/>
        <v>0.3757971062466694</v>
      </c>
      <c r="AY156" s="28">
        <f t="shared" si="45"/>
        <v>0.1440000000000001</v>
      </c>
      <c r="AZ156">
        <v>0.4008911404766991</v>
      </c>
      <c r="BA156" s="28">
        <f t="shared" si="42"/>
        <v>0.4008911404766991</v>
      </c>
    </row>
    <row r="157" spans="19:53" x14ac:dyDescent="0.25">
      <c r="S157" s="28">
        <f t="shared" si="43"/>
        <v>0.1450000000000001</v>
      </c>
      <c r="T157">
        <v>0.56721701712088379</v>
      </c>
      <c r="U157" s="28">
        <f t="shared" si="40"/>
        <v>0.53367241667054344</v>
      </c>
      <c r="AI157" s="28">
        <f t="shared" si="44"/>
        <v>0.1450000000000001</v>
      </c>
      <c r="AJ157">
        <v>0.35016937772759177</v>
      </c>
      <c r="AK157" s="28">
        <f t="shared" si="41"/>
        <v>0.16980266332444924</v>
      </c>
      <c r="AY157" s="28">
        <f t="shared" si="45"/>
        <v>0.1450000000000001</v>
      </c>
      <c r="AZ157">
        <v>0.20139164403210547</v>
      </c>
      <c r="BA157" s="28">
        <f t="shared" si="42"/>
        <v>0.20139164403210547</v>
      </c>
    </row>
    <row r="158" spans="19:53" x14ac:dyDescent="0.25">
      <c r="S158" s="28">
        <f t="shared" si="43"/>
        <v>0.1460000000000001</v>
      </c>
      <c r="T158">
        <v>0.46244697408978547</v>
      </c>
      <c r="U158" s="28">
        <f t="shared" si="40"/>
        <v>0.481234630705344</v>
      </c>
      <c r="AI158" s="28">
        <f t="shared" si="44"/>
        <v>0.1460000000000001</v>
      </c>
      <c r="AJ158">
        <v>0.54557939390240184</v>
      </c>
      <c r="AK158" s="28">
        <f t="shared" si="41"/>
        <v>0.22025758296254927</v>
      </c>
      <c r="AY158" s="28">
        <f t="shared" si="45"/>
        <v>0.1460000000000001</v>
      </c>
      <c r="AZ158">
        <v>0.96826075014496293</v>
      </c>
      <c r="BA158" s="28">
        <f t="shared" si="42"/>
        <v>0.96826075014496293</v>
      </c>
    </row>
    <row r="159" spans="19:53" x14ac:dyDescent="0.25">
      <c r="S159" s="28">
        <f t="shared" si="43"/>
        <v>0.1470000000000001</v>
      </c>
      <c r="T159">
        <v>0.25833918271431622</v>
      </c>
      <c r="U159" s="28">
        <f t="shared" si="40"/>
        <v>0.3730203507646872</v>
      </c>
      <c r="AI159" s="28">
        <f t="shared" si="44"/>
        <v>0.1470000000000001</v>
      </c>
      <c r="AJ159">
        <v>0.61699270607623524</v>
      </c>
      <c r="AK159" s="28">
        <f t="shared" si="41"/>
        <v>0.24038765299955933</v>
      </c>
      <c r="AY159" s="28">
        <f t="shared" si="45"/>
        <v>0.1470000000000001</v>
      </c>
      <c r="AZ159">
        <v>0.82424390392773217</v>
      </c>
      <c r="BA159" s="28">
        <f t="shared" si="42"/>
        <v>0.82424390392773217</v>
      </c>
    </row>
    <row r="160" spans="19:53" x14ac:dyDescent="0.25">
      <c r="S160" s="28">
        <f t="shared" si="43"/>
        <v>0.1480000000000001</v>
      </c>
      <c r="T160">
        <v>0.67354350413525799</v>
      </c>
      <c r="U160" s="28">
        <f t="shared" si="40"/>
        <v>0.58882953318118947</v>
      </c>
      <c r="AI160" s="28">
        <f t="shared" si="44"/>
        <v>0.1480000000000001</v>
      </c>
      <c r="AJ160">
        <v>0.56202887050996431</v>
      </c>
      <c r="AK160" s="28">
        <f t="shared" si="41"/>
        <v>0.22476048433314721</v>
      </c>
      <c r="AY160" s="28">
        <f t="shared" si="45"/>
        <v>0.1480000000000001</v>
      </c>
      <c r="AZ160">
        <v>0.30191961424604025</v>
      </c>
      <c r="BA160" s="28">
        <f t="shared" si="42"/>
        <v>0.30191961424604025</v>
      </c>
    </row>
    <row r="161" spans="19:53" x14ac:dyDescent="0.25">
      <c r="S161" s="28">
        <f t="shared" si="43"/>
        <v>0.1490000000000001</v>
      </c>
      <c r="T161">
        <v>0.77678762169255655</v>
      </c>
      <c r="U161" s="28">
        <f t="shared" si="40"/>
        <v>0.64815281636668354</v>
      </c>
      <c r="AI161" s="28">
        <f t="shared" si="44"/>
        <v>0.1490000000000001</v>
      </c>
      <c r="AJ161">
        <v>0.35230567339091157</v>
      </c>
      <c r="AK161" s="28">
        <f t="shared" si="41"/>
        <v>0.17034520910993209</v>
      </c>
      <c r="AY161" s="28">
        <f t="shared" si="45"/>
        <v>0.1490000000000001</v>
      </c>
      <c r="AZ161">
        <v>0.68639179662465288</v>
      </c>
      <c r="BA161" s="28">
        <f t="shared" si="42"/>
        <v>0.68639179662465288</v>
      </c>
    </row>
    <row r="162" spans="19:53" x14ac:dyDescent="0.25">
      <c r="S162" s="28">
        <f t="shared" si="43"/>
        <v>0.15000000000000011</v>
      </c>
      <c r="T162">
        <v>0.64870143742179631</v>
      </c>
      <c r="U162" s="28">
        <f t="shared" si="40"/>
        <v>0.57558776359501351</v>
      </c>
      <c r="AI162" s="28">
        <f t="shared" si="44"/>
        <v>0.15000000000000011</v>
      </c>
      <c r="AJ162">
        <v>0.29630420850245676</v>
      </c>
      <c r="AK162" s="28">
        <f t="shared" si="41"/>
        <v>0.15599551128086384</v>
      </c>
      <c r="AY162" s="28">
        <f t="shared" si="45"/>
        <v>0.15000000000000011</v>
      </c>
      <c r="AZ162">
        <v>0.71660512100589002</v>
      </c>
      <c r="BA162" s="28">
        <f t="shared" si="42"/>
        <v>0.71660512100589002</v>
      </c>
    </row>
    <row r="163" spans="19:53" x14ac:dyDescent="0.25">
      <c r="S163" s="28">
        <f t="shared" si="43"/>
        <v>0.15100000000000011</v>
      </c>
      <c r="T163">
        <v>0.30396435438093206</v>
      </c>
      <c r="U163" s="28">
        <f t="shared" si="40"/>
        <v>0.39891090055489542</v>
      </c>
      <c r="AI163" s="28">
        <f t="shared" si="44"/>
        <v>0.15100000000000011</v>
      </c>
      <c r="AJ163">
        <v>0.4468520157475509</v>
      </c>
      <c r="AK163" s="28">
        <f t="shared" si="41"/>
        <v>0.19433967372632396</v>
      </c>
      <c r="AY163" s="28">
        <f t="shared" si="45"/>
        <v>0.15100000000000011</v>
      </c>
      <c r="AZ163">
        <v>0.66655476546525472</v>
      </c>
      <c r="BA163" s="28">
        <f t="shared" si="42"/>
        <v>0.66655476546525472</v>
      </c>
    </row>
    <row r="164" spans="19:53" x14ac:dyDescent="0.25">
      <c r="S164" s="28">
        <f t="shared" si="43"/>
        <v>0.15200000000000011</v>
      </c>
      <c r="T164">
        <v>0.57722708822901092</v>
      </c>
      <c r="U164" s="28">
        <f t="shared" si="40"/>
        <v>0.53873220026909496</v>
      </c>
      <c r="AI164" s="28">
        <f t="shared" si="44"/>
        <v>0.15200000000000011</v>
      </c>
      <c r="AJ164">
        <v>0.76570940275276955</v>
      </c>
      <c r="AK164" s="28">
        <f t="shared" si="41"/>
        <v>0.29031625120798499</v>
      </c>
      <c r="AY164" s="28">
        <f t="shared" si="45"/>
        <v>0.15200000000000011</v>
      </c>
      <c r="AZ164">
        <v>0.42100283822138129</v>
      </c>
      <c r="BA164" s="28">
        <f t="shared" si="42"/>
        <v>0.42100283822138129</v>
      </c>
    </row>
    <row r="165" spans="19:53" x14ac:dyDescent="0.25">
      <c r="S165" s="28">
        <f t="shared" si="43"/>
        <v>0.15300000000000011</v>
      </c>
      <c r="T165">
        <v>0.3834650715659047</v>
      </c>
      <c r="U165" s="28">
        <f t="shared" si="40"/>
        <v>0.44118727713667044</v>
      </c>
      <c r="AI165" s="28">
        <f t="shared" si="44"/>
        <v>0.15300000000000011</v>
      </c>
      <c r="AJ165">
        <v>0.84313486129337445</v>
      </c>
      <c r="AK165" s="28">
        <f t="shared" si="41"/>
        <v>0.32529194966227215</v>
      </c>
      <c r="AY165" s="28">
        <f t="shared" si="45"/>
        <v>0.15300000000000011</v>
      </c>
      <c r="AZ165">
        <v>0.66661580248420671</v>
      </c>
      <c r="BA165" s="28">
        <f t="shared" si="42"/>
        <v>0.66661580248420671</v>
      </c>
    </row>
    <row r="166" spans="19:53" x14ac:dyDescent="0.25">
      <c r="S166" s="28">
        <f t="shared" si="43"/>
        <v>0.15400000000000011</v>
      </c>
      <c r="T166">
        <v>0.55690176091799681</v>
      </c>
      <c r="U166" s="28">
        <f t="shared" si="40"/>
        <v>0.52847563161837707</v>
      </c>
      <c r="AI166" s="28">
        <f t="shared" si="44"/>
        <v>0.15400000000000011</v>
      </c>
      <c r="AJ166">
        <v>0.97338785973693043</v>
      </c>
      <c r="AK166" s="28">
        <f t="shared" si="41"/>
        <v>0.44666911055482739</v>
      </c>
      <c r="AY166" s="28">
        <f t="shared" si="45"/>
        <v>0.15400000000000011</v>
      </c>
      <c r="AZ166">
        <v>0.93749809259315775</v>
      </c>
      <c r="BA166" s="28">
        <f t="shared" si="42"/>
        <v>0.93749809259315775</v>
      </c>
    </row>
    <row r="167" spans="19:53" x14ac:dyDescent="0.25">
      <c r="S167" s="28">
        <f t="shared" si="43"/>
        <v>0.15500000000000011</v>
      </c>
      <c r="T167">
        <v>0.34943693350016786</v>
      </c>
      <c r="U167" s="28">
        <f t="shared" si="40"/>
        <v>0.42342945304612928</v>
      </c>
      <c r="AI167" s="28">
        <f t="shared" si="44"/>
        <v>0.15500000000000011</v>
      </c>
      <c r="AJ167">
        <v>0.60194708090456861</v>
      </c>
      <c r="AK167" s="28">
        <f t="shared" si="41"/>
        <v>0.23600907155576256</v>
      </c>
      <c r="AY167" s="28">
        <f t="shared" si="45"/>
        <v>0.15500000000000011</v>
      </c>
      <c r="AZ167">
        <v>0.99774163029877616</v>
      </c>
      <c r="BA167" s="28">
        <f t="shared" si="42"/>
        <v>0.99774163029877616</v>
      </c>
    </row>
    <row r="168" spans="19:53" x14ac:dyDescent="0.25">
      <c r="S168" s="28">
        <f t="shared" si="43"/>
        <v>0.15600000000000011</v>
      </c>
      <c r="T168">
        <v>0.26520584734641561</v>
      </c>
      <c r="U168" s="28">
        <f t="shared" si="40"/>
        <v>0.37701992625292846</v>
      </c>
      <c r="AI168" s="28">
        <f t="shared" si="44"/>
        <v>0.15600000000000011</v>
      </c>
      <c r="AJ168">
        <v>0.83748893704031491</v>
      </c>
      <c r="AK168" s="28">
        <f t="shared" si="41"/>
        <v>0.32236670224024444</v>
      </c>
      <c r="AY168" s="28">
        <f t="shared" si="45"/>
        <v>0.15600000000000011</v>
      </c>
      <c r="AZ168">
        <v>1.0467848750267038E-2</v>
      </c>
      <c r="BA168" s="28">
        <f t="shared" si="42"/>
        <v>1.046784875026704E-2</v>
      </c>
    </row>
    <row r="169" spans="19:53" x14ac:dyDescent="0.25">
      <c r="S169" s="28">
        <f t="shared" si="43"/>
        <v>0.15700000000000011</v>
      </c>
      <c r="T169">
        <v>0.44199957274086732</v>
      </c>
      <c r="U169" s="28">
        <f t="shared" si="40"/>
        <v>0.47097161436711688</v>
      </c>
      <c r="AI169" s="28">
        <f t="shared" si="44"/>
        <v>0.15700000000000011</v>
      </c>
      <c r="AJ169">
        <v>0.7295754875331889</v>
      </c>
      <c r="AK169" s="28">
        <f t="shared" si="41"/>
        <v>0.27670686144413126</v>
      </c>
      <c r="AY169" s="28">
        <f t="shared" si="45"/>
        <v>0.15700000000000011</v>
      </c>
      <c r="AZ169">
        <v>0.45567186498611406</v>
      </c>
      <c r="BA169" s="28">
        <f t="shared" si="42"/>
        <v>0.45567186498611406</v>
      </c>
    </row>
    <row r="170" spans="19:53" x14ac:dyDescent="0.25">
      <c r="S170" s="28">
        <f t="shared" si="43"/>
        <v>0.15800000000000011</v>
      </c>
      <c r="T170">
        <v>0.22672200689718314</v>
      </c>
      <c r="U170" s="28">
        <f t="shared" si="40"/>
        <v>0.3540224355256632</v>
      </c>
      <c r="AI170" s="28">
        <f t="shared" si="44"/>
        <v>0.15800000000000011</v>
      </c>
      <c r="AJ170">
        <v>0.87011322367015598</v>
      </c>
      <c r="AK170" s="28">
        <f t="shared" si="41"/>
        <v>0.34046255381353452</v>
      </c>
      <c r="AY170" s="28">
        <f t="shared" si="45"/>
        <v>0.15800000000000011</v>
      </c>
      <c r="AZ170">
        <v>0.97778252510147401</v>
      </c>
      <c r="BA170" s="28">
        <f t="shared" si="42"/>
        <v>0.97778252510147401</v>
      </c>
    </row>
    <row r="171" spans="19:53" x14ac:dyDescent="0.25">
      <c r="S171" s="28">
        <f t="shared" si="43"/>
        <v>0.15900000000000011</v>
      </c>
      <c r="T171">
        <v>0.16504409924619282</v>
      </c>
      <c r="U171" s="28">
        <f t="shared" si="40"/>
        <v>0.31321695053810567</v>
      </c>
      <c r="AI171" s="28">
        <f t="shared" si="44"/>
        <v>0.15900000000000011</v>
      </c>
      <c r="AJ171">
        <v>0.65965758232367933</v>
      </c>
      <c r="AK171" s="28">
        <f t="shared" si="41"/>
        <v>0.25331715418259471</v>
      </c>
      <c r="AY171" s="28">
        <f t="shared" si="45"/>
        <v>0.15900000000000011</v>
      </c>
      <c r="AZ171">
        <v>0.41428876613666188</v>
      </c>
      <c r="BA171" s="28">
        <f t="shared" si="42"/>
        <v>0.41428876613666188</v>
      </c>
    </row>
    <row r="172" spans="19:53" x14ac:dyDescent="0.25">
      <c r="S172" s="28">
        <f t="shared" si="43"/>
        <v>0.16000000000000011</v>
      </c>
      <c r="T172">
        <v>0.25907162694174019</v>
      </c>
      <c r="U172" s="28">
        <f t="shared" si="40"/>
        <v>0.37344893138139618</v>
      </c>
      <c r="AI172" s="28">
        <f t="shared" si="44"/>
        <v>0.16000000000000011</v>
      </c>
      <c r="AJ172">
        <v>0.17261268959624013</v>
      </c>
      <c r="AK172" s="28">
        <f t="shared" si="41"/>
        <v>0.12180839409633865</v>
      </c>
      <c r="AY172" s="28">
        <f t="shared" si="45"/>
        <v>0.16000000000000011</v>
      </c>
      <c r="AZ172">
        <v>0.86925870540482808</v>
      </c>
      <c r="BA172" s="28">
        <f t="shared" si="42"/>
        <v>0.86925870540482808</v>
      </c>
    </row>
    <row r="173" spans="19:53" x14ac:dyDescent="0.25">
      <c r="S173" s="28">
        <f t="shared" si="43"/>
        <v>0.16100000000000012</v>
      </c>
      <c r="T173">
        <v>0.38999603259376814</v>
      </c>
      <c r="U173" s="28">
        <f t="shared" si="40"/>
        <v>0.44455131264594971</v>
      </c>
      <c r="AI173" s="28">
        <f t="shared" si="44"/>
        <v>0.16100000000000012</v>
      </c>
      <c r="AJ173">
        <v>0.94344920194097726</v>
      </c>
      <c r="AK173" s="28">
        <f t="shared" si="41"/>
        <v>0.40012531545071173</v>
      </c>
      <c r="AY173" s="28">
        <f t="shared" si="45"/>
        <v>0.16100000000000012</v>
      </c>
      <c r="AZ173">
        <v>0.39188818018127997</v>
      </c>
      <c r="BA173" s="28">
        <f t="shared" si="42"/>
        <v>0.39188818018127997</v>
      </c>
    </row>
    <row r="174" spans="19:53" x14ac:dyDescent="0.25">
      <c r="S174" s="28">
        <f t="shared" si="43"/>
        <v>0.16200000000000012</v>
      </c>
      <c r="T174">
        <v>0.83791619617297897</v>
      </c>
      <c r="U174" s="28">
        <f t="shared" si="40"/>
        <v>0.68890953768842911</v>
      </c>
      <c r="AI174" s="28">
        <f t="shared" si="44"/>
        <v>0.16200000000000012</v>
      </c>
      <c r="AJ174">
        <v>0.33796197393719291</v>
      </c>
      <c r="AK174" s="28">
        <f t="shared" si="41"/>
        <v>0.16669716350575806</v>
      </c>
      <c r="AY174" s="28">
        <f t="shared" si="45"/>
        <v>0.16200000000000012</v>
      </c>
      <c r="AZ174">
        <v>0.11780144657734916</v>
      </c>
      <c r="BA174" s="28">
        <f t="shared" si="42"/>
        <v>0.11780144657734913</v>
      </c>
    </row>
    <row r="175" spans="19:53" x14ac:dyDescent="0.25">
      <c r="S175" s="28">
        <f t="shared" si="43"/>
        <v>0.16300000000000012</v>
      </c>
      <c r="T175">
        <v>0.23352763451033051</v>
      </c>
      <c r="U175" s="28">
        <f t="shared" si="40"/>
        <v>0.35820000448531658</v>
      </c>
      <c r="AI175" s="28">
        <f t="shared" si="44"/>
        <v>0.16300000000000012</v>
      </c>
      <c r="AJ175">
        <v>0.62468337046418654</v>
      </c>
      <c r="AK175" s="28">
        <f t="shared" si="41"/>
        <v>0.24265944678379581</v>
      </c>
      <c r="AY175" s="28">
        <f t="shared" si="45"/>
        <v>0.16300000000000012</v>
      </c>
      <c r="AZ175">
        <v>0.68895535142063657</v>
      </c>
      <c r="BA175" s="28">
        <f t="shared" si="42"/>
        <v>0.68895535142063657</v>
      </c>
    </row>
    <row r="176" spans="19:53" x14ac:dyDescent="0.25">
      <c r="S176" s="28">
        <f t="shared" si="43"/>
        <v>0.16400000000000012</v>
      </c>
      <c r="T176">
        <v>0.54490798669392981</v>
      </c>
      <c r="U176" s="28">
        <f t="shared" si="40"/>
        <v>0.52245154569196772</v>
      </c>
      <c r="AI176" s="28">
        <f t="shared" si="44"/>
        <v>0.16400000000000012</v>
      </c>
      <c r="AJ176">
        <v>7.9775383770256655E-2</v>
      </c>
      <c r="AK176" s="28">
        <f t="shared" si="41"/>
        <v>8.9227331415077285E-2</v>
      </c>
      <c r="AY176" s="28">
        <f t="shared" si="45"/>
        <v>0.16400000000000012</v>
      </c>
      <c r="AZ176">
        <v>0.33777886288033693</v>
      </c>
      <c r="BA176" s="28">
        <f t="shared" si="42"/>
        <v>0.33777886288033693</v>
      </c>
    </row>
    <row r="177" spans="19:53" x14ac:dyDescent="0.25">
      <c r="S177" s="28">
        <f t="shared" si="43"/>
        <v>0.16500000000000012</v>
      </c>
      <c r="T177">
        <v>0.46714682454908901</v>
      </c>
      <c r="U177" s="28">
        <f t="shared" si="40"/>
        <v>0.48358749524099498</v>
      </c>
      <c r="AI177" s="28">
        <f t="shared" si="44"/>
        <v>0.16500000000000012</v>
      </c>
      <c r="AJ177">
        <v>9.0548417615283663E-2</v>
      </c>
      <c r="AK177" s="28">
        <f t="shared" si="41"/>
        <v>9.3687918785887614E-2</v>
      </c>
      <c r="AY177" s="28">
        <f t="shared" si="45"/>
        <v>0.16500000000000012</v>
      </c>
      <c r="AZ177">
        <v>0.97775200659199801</v>
      </c>
      <c r="BA177" s="28">
        <f t="shared" si="42"/>
        <v>0.97775200659199801</v>
      </c>
    </row>
    <row r="178" spans="19:53" x14ac:dyDescent="0.25">
      <c r="S178" s="28">
        <f t="shared" si="43"/>
        <v>0.16600000000000012</v>
      </c>
      <c r="T178">
        <v>0.57817316202276681</v>
      </c>
      <c r="U178" s="28">
        <f t="shared" si="40"/>
        <v>0.53921136112847434</v>
      </c>
      <c r="AI178" s="28">
        <f t="shared" si="44"/>
        <v>0.16600000000000012</v>
      </c>
      <c r="AJ178">
        <v>0.46440015869624929</v>
      </c>
      <c r="AK178" s="28">
        <f t="shared" si="41"/>
        <v>0.19884377661572525</v>
      </c>
      <c r="AY178" s="28">
        <f t="shared" si="45"/>
        <v>0.16600000000000012</v>
      </c>
      <c r="AZ178">
        <v>0.77855769524216434</v>
      </c>
      <c r="BA178" s="28">
        <f t="shared" si="42"/>
        <v>0.77855769524216434</v>
      </c>
    </row>
    <row r="179" spans="19:53" x14ac:dyDescent="0.25">
      <c r="S179" s="28">
        <f t="shared" si="43"/>
        <v>0.16700000000000012</v>
      </c>
      <c r="T179">
        <v>0.77153843806268507</v>
      </c>
      <c r="U179" s="28">
        <f t="shared" si="40"/>
        <v>0.64490474563974698</v>
      </c>
      <c r="AI179" s="28">
        <f t="shared" si="44"/>
        <v>0.16700000000000012</v>
      </c>
      <c r="AJ179">
        <v>2.0447401348918121E-2</v>
      </c>
      <c r="AK179" s="28">
        <f t="shared" si="41"/>
        <v>5.4687091824898663E-2</v>
      </c>
      <c r="AY179" s="28">
        <f t="shared" si="45"/>
        <v>0.16700000000000012</v>
      </c>
      <c r="AZ179">
        <v>0.27423932615131075</v>
      </c>
      <c r="BA179" s="28">
        <f t="shared" si="42"/>
        <v>0.27423932615131075</v>
      </c>
    </row>
    <row r="180" spans="19:53" x14ac:dyDescent="0.25">
      <c r="S180" s="28">
        <f t="shared" si="43"/>
        <v>0.16800000000000012</v>
      </c>
      <c r="T180">
        <v>0.63325907162694173</v>
      </c>
      <c r="U180" s="28">
        <f t="shared" si="40"/>
        <v>0.56748838506808175</v>
      </c>
      <c r="AI180" s="28">
        <f t="shared" si="44"/>
        <v>0.16800000000000012</v>
      </c>
      <c r="AJ180">
        <v>0.13171788689840389</v>
      </c>
      <c r="AK180" s="28">
        <f t="shared" si="41"/>
        <v>0.10876338370691692</v>
      </c>
      <c r="AY180" s="28">
        <f t="shared" si="45"/>
        <v>0.16800000000000012</v>
      </c>
      <c r="AZ180">
        <v>0.41264076662495802</v>
      </c>
      <c r="BA180" s="28">
        <f t="shared" si="42"/>
        <v>0.41264076662495802</v>
      </c>
    </row>
    <row r="181" spans="19:53" x14ac:dyDescent="0.25">
      <c r="S181" s="28">
        <f t="shared" si="43"/>
        <v>0.16900000000000012</v>
      </c>
      <c r="T181">
        <v>0.1596118045594653</v>
      </c>
      <c r="U181" s="28">
        <f t="shared" si="40"/>
        <v>0.30930001535081636</v>
      </c>
      <c r="AI181" s="28">
        <f t="shared" si="44"/>
        <v>0.16900000000000012</v>
      </c>
      <c r="AJ181">
        <v>0.52357554857020783</v>
      </c>
      <c r="AK181" s="28">
        <f t="shared" si="41"/>
        <v>0.21433425160154373</v>
      </c>
      <c r="AY181" s="28">
        <f t="shared" si="45"/>
        <v>0.16900000000000012</v>
      </c>
      <c r="AZ181">
        <v>0.6615192114017151</v>
      </c>
      <c r="BA181" s="28">
        <f t="shared" si="42"/>
        <v>0.6615192114017151</v>
      </c>
    </row>
    <row r="182" spans="19:53" x14ac:dyDescent="0.25">
      <c r="S182" s="28">
        <f t="shared" si="43"/>
        <v>0.17000000000000012</v>
      </c>
      <c r="T182">
        <v>0.43476668599505602</v>
      </c>
      <c r="U182" s="28">
        <f t="shared" si="40"/>
        <v>0.46732823986313776</v>
      </c>
      <c r="AI182" s="28">
        <f t="shared" si="44"/>
        <v>0.17000000000000012</v>
      </c>
      <c r="AJ182">
        <v>0.47907956175420391</v>
      </c>
      <c r="AK182" s="28">
        <f t="shared" si="41"/>
        <v>0.20263788667893906</v>
      </c>
      <c r="AY182" s="28">
        <f t="shared" si="45"/>
        <v>0.17000000000000012</v>
      </c>
      <c r="AZ182">
        <v>0.80095828119754631</v>
      </c>
      <c r="BA182" s="28">
        <f t="shared" si="42"/>
        <v>0.80095828119754631</v>
      </c>
    </row>
    <row r="183" spans="19:53" x14ac:dyDescent="0.25">
      <c r="S183" s="28">
        <f t="shared" si="43"/>
        <v>0.17100000000000012</v>
      </c>
      <c r="T183">
        <v>0.97979674672688988</v>
      </c>
      <c r="U183" s="28">
        <f t="shared" si="40"/>
        <v>0.84817929498912692</v>
      </c>
      <c r="AI183" s="28">
        <f t="shared" si="44"/>
        <v>0.17100000000000012</v>
      </c>
      <c r="AJ183">
        <v>0.7950987273781549</v>
      </c>
      <c r="AK183" s="28">
        <f t="shared" si="41"/>
        <v>0.30246620360324417</v>
      </c>
      <c r="AY183" s="28">
        <f t="shared" si="45"/>
        <v>0.17100000000000012</v>
      </c>
      <c r="AZ183">
        <v>0.58909878841517382</v>
      </c>
      <c r="BA183" s="28">
        <f t="shared" si="42"/>
        <v>0.58909878841517382</v>
      </c>
    </row>
    <row r="184" spans="19:53" x14ac:dyDescent="0.25">
      <c r="S184" s="28">
        <f t="shared" si="43"/>
        <v>0.17200000000000013</v>
      </c>
      <c r="T184">
        <v>0.93404950102237005</v>
      </c>
      <c r="U184" s="28">
        <f t="shared" si="40"/>
        <v>0.77466613720715038</v>
      </c>
      <c r="AI184" s="28">
        <f t="shared" si="44"/>
        <v>0.17200000000000013</v>
      </c>
      <c r="AJ184">
        <v>7.2542497024445332E-2</v>
      </c>
      <c r="AK184" s="28">
        <f t="shared" si="41"/>
        <v>8.6060736974874832E-2</v>
      </c>
      <c r="AY184" s="28">
        <f t="shared" si="45"/>
        <v>0.17200000000000013</v>
      </c>
      <c r="AZ184">
        <v>0.51115451521347699</v>
      </c>
      <c r="BA184" s="28">
        <f t="shared" si="42"/>
        <v>0.51115451521347699</v>
      </c>
    </row>
    <row r="185" spans="19:53" x14ac:dyDescent="0.25">
      <c r="S185" s="28">
        <f t="shared" si="43"/>
        <v>0.17300000000000013</v>
      </c>
      <c r="T185">
        <v>0.70119327372051155</v>
      </c>
      <c r="U185" s="28">
        <f t="shared" si="40"/>
        <v>0.60394210501969126</v>
      </c>
      <c r="AI185" s="28">
        <f t="shared" si="44"/>
        <v>0.17300000000000013</v>
      </c>
      <c r="AJ185">
        <v>0.7448957792901395</v>
      </c>
      <c r="AK185" s="28">
        <f t="shared" si="41"/>
        <v>0.28232199381236112</v>
      </c>
      <c r="AY185" s="28">
        <f t="shared" si="45"/>
        <v>0.17300000000000013</v>
      </c>
      <c r="AZ185">
        <v>0.66826380199591051</v>
      </c>
      <c r="BA185" s="28">
        <f t="shared" si="42"/>
        <v>0.66826380199591051</v>
      </c>
    </row>
    <row r="186" spans="19:53" x14ac:dyDescent="0.25">
      <c r="S186" s="28">
        <f t="shared" si="43"/>
        <v>0.17400000000000013</v>
      </c>
      <c r="T186">
        <v>0.81624805444502091</v>
      </c>
      <c r="U186" s="28">
        <f t="shared" si="40"/>
        <v>0.67375210135313612</v>
      </c>
      <c r="AI186" s="28">
        <f t="shared" si="44"/>
        <v>0.17400000000000013</v>
      </c>
      <c r="AJ186">
        <v>0.17017120883816034</v>
      </c>
      <c r="AK186" s="28">
        <f t="shared" si="41"/>
        <v>0.12106646337213552</v>
      </c>
      <c r="AY186" s="28">
        <f t="shared" si="45"/>
        <v>0.17400000000000013</v>
      </c>
      <c r="AZ186">
        <v>0.57896664326914271</v>
      </c>
      <c r="BA186" s="28">
        <f t="shared" si="42"/>
        <v>0.57896664326914271</v>
      </c>
    </row>
    <row r="187" spans="19:53" x14ac:dyDescent="0.25">
      <c r="S187" s="28">
        <f t="shared" si="43"/>
        <v>0.17500000000000013</v>
      </c>
      <c r="T187">
        <v>0.80315561387981815</v>
      </c>
      <c r="U187" s="28">
        <f t="shared" si="40"/>
        <v>0.66500387187036303</v>
      </c>
      <c r="AI187" s="28">
        <f t="shared" si="44"/>
        <v>0.17500000000000013</v>
      </c>
      <c r="AJ187">
        <v>0.19782097842341381</v>
      </c>
      <c r="AK187" s="28">
        <f t="shared" si="41"/>
        <v>0.12925965860643143</v>
      </c>
      <c r="AY187" s="28">
        <f t="shared" si="45"/>
        <v>0.17500000000000013</v>
      </c>
      <c r="AZ187">
        <v>0.74523148289437546</v>
      </c>
      <c r="BA187" s="28">
        <f t="shared" si="42"/>
        <v>0.74523148289437546</v>
      </c>
    </row>
    <row r="188" spans="19:53" x14ac:dyDescent="0.25">
      <c r="S188" s="28">
        <f t="shared" si="43"/>
        <v>0.17600000000000013</v>
      </c>
      <c r="T188">
        <v>0.60167241431928464</v>
      </c>
      <c r="U188" s="28">
        <f t="shared" si="40"/>
        <v>0.55117466231672974</v>
      </c>
      <c r="AI188" s="28">
        <f t="shared" si="44"/>
        <v>0.17600000000000013</v>
      </c>
      <c r="AJ188">
        <v>0.81310464796899318</v>
      </c>
      <c r="AK188" s="28">
        <f t="shared" si="41"/>
        <v>0.3105211664656421</v>
      </c>
      <c r="AY188" s="28">
        <f t="shared" si="45"/>
        <v>0.17600000000000013</v>
      </c>
      <c r="AZ188">
        <v>0.91796624652851955</v>
      </c>
      <c r="BA188" s="28">
        <f t="shared" si="42"/>
        <v>0.91796624652851955</v>
      </c>
    </row>
    <row r="189" spans="19:53" x14ac:dyDescent="0.25">
      <c r="S189" s="28">
        <f t="shared" si="43"/>
        <v>0.17700000000000013</v>
      </c>
      <c r="T189">
        <v>0.16220587786492507</v>
      </c>
      <c r="U189" s="28">
        <f t="shared" si="40"/>
        <v>0.31117852866270507</v>
      </c>
      <c r="AI189" s="28">
        <f t="shared" si="44"/>
        <v>0.17700000000000013</v>
      </c>
      <c r="AJ189">
        <v>0.5459456160161138</v>
      </c>
      <c r="AK189" s="28">
        <f t="shared" si="41"/>
        <v>0.22035709796202985</v>
      </c>
      <c r="AY189" s="28">
        <f t="shared" si="45"/>
        <v>0.17700000000000013</v>
      </c>
      <c r="AZ189">
        <v>0.78527176732688375</v>
      </c>
      <c r="BA189" s="28">
        <f t="shared" si="42"/>
        <v>0.78527176732688375</v>
      </c>
    </row>
    <row r="190" spans="19:53" x14ac:dyDescent="0.25">
      <c r="S190" s="28">
        <f t="shared" si="43"/>
        <v>0.17800000000000013</v>
      </c>
      <c r="T190">
        <v>0.41044343394268623</v>
      </c>
      <c r="U190" s="28">
        <f t="shared" si="40"/>
        <v>0.45500899190120486</v>
      </c>
      <c r="AI190" s="28">
        <f t="shared" si="44"/>
        <v>0.17800000000000013</v>
      </c>
      <c r="AJ190">
        <v>9.1433454390087585E-2</v>
      </c>
      <c r="AK190" s="28">
        <f t="shared" si="41"/>
        <v>9.4042450853878315E-2</v>
      </c>
      <c r="AY190" s="28">
        <f t="shared" si="45"/>
        <v>0.17800000000000013</v>
      </c>
      <c r="AZ190">
        <v>0.32715842158268993</v>
      </c>
      <c r="BA190" s="28">
        <f t="shared" si="42"/>
        <v>0.32715842158268993</v>
      </c>
    </row>
    <row r="191" spans="19:53" x14ac:dyDescent="0.25">
      <c r="S191" s="28">
        <f t="shared" si="43"/>
        <v>0.17900000000000013</v>
      </c>
      <c r="T191">
        <v>0.98123111667226171</v>
      </c>
      <c r="U191" s="28">
        <f t="shared" si="40"/>
        <v>0.85176332754379769</v>
      </c>
      <c r="AI191" s="28">
        <f t="shared" si="44"/>
        <v>0.17900000000000013</v>
      </c>
      <c r="AJ191">
        <v>0.28278450880459</v>
      </c>
      <c r="AK191" s="28">
        <f t="shared" si="41"/>
        <v>0.15247154744024505</v>
      </c>
      <c r="AY191" s="28">
        <f t="shared" si="45"/>
        <v>0.17900000000000013</v>
      </c>
      <c r="AZ191">
        <v>0.86892300180059201</v>
      </c>
      <c r="BA191" s="28">
        <f t="shared" si="42"/>
        <v>0.86892300180059201</v>
      </c>
    </row>
    <row r="192" spans="19:53" x14ac:dyDescent="0.25">
      <c r="S192" s="28">
        <f t="shared" si="43"/>
        <v>0.18000000000000013</v>
      </c>
      <c r="T192">
        <v>0.50749229407635732</v>
      </c>
      <c r="U192" s="28">
        <f t="shared" si="40"/>
        <v>0.50373988728560959</v>
      </c>
      <c r="AI192" s="28">
        <f t="shared" si="44"/>
        <v>0.18000000000000013</v>
      </c>
      <c r="AJ192">
        <v>0.54521317178868989</v>
      </c>
      <c r="AK192" s="28">
        <f t="shared" si="41"/>
        <v>0.22015810008405923</v>
      </c>
      <c r="AY192" s="28">
        <f t="shared" si="45"/>
        <v>0.18000000000000013</v>
      </c>
      <c r="AZ192">
        <v>0.44407483138523512</v>
      </c>
      <c r="BA192" s="28">
        <f t="shared" si="42"/>
        <v>0.44407483138523512</v>
      </c>
    </row>
    <row r="193" spans="19:53" x14ac:dyDescent="0.25">
      <c r="S193" s="28">
        <f t="shared" si="43"/>
        <v>0.18100000000000013</v>
      </c>
      <c r="T193">
        <v>0.1577501754814295</v>
      </c>
      <c r="U193" s="28">
        <f t="shared" si="40"/>
        <v>0.30794256618532329</v>
      </c>
      <c r="AI193" s="28">
        <f t="shared" si="44"/>
        <v>0.18100000000000013</v>
      </c>
      <c r="AJ193">
        <v>0.78923917355876338</v>
      </c>
      <c r="AK193" s="28">
        <f t="shared" si="41"/>
        <v>0.29995235752005667</v>
      </c>
      <c r="AY193" s="28">
        <f t="shared" si="45"/>
        <v>0.18100000000000013</v>
      </c>
      <c r="AZ193">
        <v>0.50941496017334509</v>
      </c>
      <c r="BA193" s="28">
        <f t="shared" si="42"/>
        <v>0.50941496017334509</v>
      </c>
    </row>
    <row r="194" spans="19:53" x14ac:dyDescent="0.25">
      <c r="S194" s="28">
        <f t="shared" si="43"/>
        <v>0.18200000000000013</v>
      </c>
      <c r="T194">
        <v>0.18515579699087498</v>
      </c>
      <c r="U194" s="28">
        <f t="shared" si="40"/>
        <v>0.32719958181950332</v>
      </c>
      <c r="AI194" s="28">
        <f t="shared" si="44"/>
        <v>0.18200000000000013</v>
      </c>
      <c r="AJ194">
        <v>0.84170049134800251</v>
      </c>
      <c r="AK194" s="28">
        <f t="shared" si="41"/>
        <v>0.32454153919584749</v>
      </c>
      <c r="AY194" s="28">
        <f t="shared" si="45"/>
        <v>0.18200000000000013</v>
      </c>
      <c r="AZ194">
        <v>0.26447340311899165</v>
      </c>
      <c r="BA194" s="28">
        <f t="shared" si="42"/>
        <v>0.26447340311899165</v>
      </c>
    </row>
    <row r="195" spans="19:53" x14ac:dyDescent="0.25">
      <c r="S195" s="28">
        <f t="shared" si="43"/>
        <v>0.18300000000000013</v>
      </c>
      <c r="T195">
        <v>0.6717734305856502</v>
      </c>
      <c r="U195" s="28">
        <f t="shared" si="40"/>
        <v>0.58787634468709216</v>
      </c>
      <c r="AI195" s="28">
        <f t="shared" si="44"/>
        <v>0.18300000000000013</v>
      </c>
      <c r="AJ195">
        <v>0.19544053468428602</v>
      </c>
      <c r="AK195" s="28">
        <f t="shared" si="41"/>
        <v>0.12857083012256776</v>
      </c>
      <c r="AY195" s="28">
        <f t="shared" si="45"/>
        <v>0.18300000000000013</v>
      </c>
      <c r="AZ195">
        <v>0.67485580004272594</v>
      </c>
      <c r="BA195" s="28">
        <f t="shared" si="42"/>
        <v>0.67485580004272594</v>
      </c>
    </row>
    <row r="196" spans="19:53" x14ac:dyDescent="0.25">
      <c r="S196" s="28">
        <f t="shared" si="43"/>
        <v>0.18400000000000014</v>
      </c>
      <c r="T196">
        <v>0.49516281624805447</v>
      </c>
      <c r="U196" s="28">
        <f t="shared" si="40"/>
        <v>0.49758551238298576</v>
      </c>
      <c r="AI196" s="28">
        <f t="shared" si="44"/>
        <v>0.18400000000000014</v>
      </c>
      <c r="AJ196">
        <v>0.50654622028260143</v>
      </c>
      <c r="AK196" s="28">
        <f t="shared" si="41"/>
        <v>0.20981815882051846</v>
      </c>
      <c r="AY196" s="28">
        <f t="shared" si="45"/>
        <v>0.18400000000000014</v>
      </c>
      <c r="AZ196">
        <v>0.33066805017242956</v>
      </c>
      <c r="BA196" s="28">
        <f t="shared" si="42"/>
        <v>0.33066805017242956</v>
      </c>
    </row>
    <row r="197" spans="19:53" x14ac:dyDescent="0.25">
      <c r="S197" s="28">
        <f t="shared" si="43"/>
        <v>0.18500000000000014</v>
      </c>
      <c r="T197">
        <v>0.70616779076509906</v>
      </c>
      <c r="U197" s="28">
        <f t="shared" si="40"/>
        <v>0.60670994392907751</v>
      </c>
      <c r="AI197" s="28">
        <f t="shared" si="44"/>
        <v>0.18500000000000014</v>
      </c>
      <c r="AJ197">
        <v>0.23871578112125003</v>
      </c>
      <c r="AK197" s="28">
        <f t="shared" si="41"/>
        <v>0.14071479079666591</v>
      </c>
      <c r="AY197" s="28">
        <f t="shared" si="45"/>
        <v>0.18500000000000014</v>
      </c>
      <c r="AZ197">
        <v>0.4617145298623615</v>
      </c>
      <c r="BA197" s="28">
        <f t="shared" si="42"/>
        <v>0.4617145298623615</v>
      </c>
    </row>
    <row r="198" spans="19:53" x14ac:dyDescent="0.25">
      <c r="S198" s="28">
        <f t="shared" si="43"/>
        <v>0.18600000000000014</v>
      </c>
      <c r="T198">
        <v>0.93752861110263375</v>
      </c>
      <c r="U198" s="28">
        <f t="shared" si="40"/>
        <v>0.77883284541771491</v>
      </c>
      <c r="AI198" s="28">
        <f t="shared" si="44"/>
        <v>0.18600000000000014</v>
      </c>
      <c r="AJ198">
        <v>0.19760734885708181</v>
      </c>
      <c r="AK198" s="28">
        <f t="shared" si="41"/>
        <v>0.12919795520231023</v>
      </c>
      <c r="AY198" s="28">
        <f t="shared" si="45"/>
        <v>0.18600000000000014</v>
      </c>
      <c r="AZ198">
        <v>0.99526963103122046</v>
      </c>
      <c r="BA198" s="28">
        <f t="shared" si="42"/>
        <v>0.99526963103122046</v>
      </c>
    </row>
    <row r="199" spans="19:53" x14ac:dyDescent="0.25">
      <c r="S199" s="28">
        <f t="shared" si="43"/>
        <v>0.18700000000000014</v>
      </c>
      <c r="T199">
        <v>0.4273201696829127</v>
      </c>
      <c r="U199" s="28">
        <f t="shared" si="40"/>
        <v>0.46356851450724623</v>
      </c>
      <c r="AI199" s="28">
        <f t="shared" si="44"/>
        <v>0.18700000000000014</v>
      </c>
      <c r="AJ199">
        <v>0.89910580767235326</v>
      </c>
      <c r="AK199" s="28">
        <f t="shared" si="41"/>
        <v>0.35971813775697581</v>
      </c>
      <c r="AY199" s="28">
        <f t="shared" si="45"/>
        <v>0.18700000000000014</v>
      </c>
      <c r="AZ199">
        <v>0.44828638569292278</v>
      </c>
      <c r="BA199" s="28">
        <f t="shared" si="42"/>
        <v>0.44828638569292278</v>
      </c>
    </row>
    <row r="200" spans="19:53" x14ac:dyDescent="0.25">
      <c r="S200" s="28">
        <f t="shared" si="43"/>
        <v>0.18800000000000014</v>
      </c>
      <c r="T200">
        <v>0.575640125736259</v>
      </c>
      <c r="U200" s="28">
        <f t="shared" si="40"/>
        <v>0.53792882981981738</v>
      </c>
      <c r="AI200" s="28">
        <f t="shared" si="44"/>
        <v>0.18800000000000014</v>
      </c>
      <c r="AJ200">
        <v>0.42701498458815274</v>
      </c>
      <c r="AK200" s="28">
        <f t="shared" si="41"/>
        <v>0.18928025726264674</v>
      </c>
      <c r="AY200" s="28">
        <f t="shared" si="45"/>
        <v>0.18800000000000014</v>
      </c>
      <c r="AZ200">
        <v>0.9276406140324106</v>
      </c>
      <c r="BA200" s="28">
        <f t="shared" si="42"/>
        <v>0.9276406140324106</v>
      </c>
    </row>
    <row r="201" spans="19:53" x14ac:dyDescent="0.25">
      <c r="S201" s="28">
        <f t="shared" si="43"/>
        <v>0.18900000000000014</v>
      </c>
      <c r="T201">
        <v>0.26908169804986726</v>
      </c>
      <c r="U201" s="28">
        <f t="shared" si="40"/>
        <v>0.37925979930589027</v>
      </c>
      <c r="AI201" s="28">
        <f t="shared" si="44"/>
        <v>0.18900000000000014</v>
      </c>
      <c r="AJ201">
        <v>0.34589678640095217</v>
      </c>
      <c r="AK201" s="28">
        <f t="shared" si="41"/>
        <v>0.16871681301831509</v>
      </c>
      <c r="AY201" s="28">
        <f t="shared" si="45"/>
        <v>0.18900000000000014</v>
      </c>
      <c r="AZ201">
        <v>0.47575304422132025</v>
      </c>
      <c r="BA201" s="28">
        <f t="shared" si="42"/>
        <v>0.47575304422132025</v>
      </c>
    </row>
    <row r="202" spans="19:53" x14ac:dyDescent="0.25">
      <c r="S202" s="28">
        <f t="shared" si="43"/>
        <v>0.19000000000000014</v>
      </c>
      <c r="T202">
        <v>0.29844050416577655</v>
      </c>
      <c r="U202" s="28">
        <f t="shared" si="40"/>
        <v>0.39585467565648952</v>
      </c>
      <c r="AI202" s="28">
        <f t="shared" si="44"/>
        <v>0.19000000000000014</v>
      </c>
      <c r="AJ202">
        <v>0.38160344248786887</v>
      </c>
      <c r="AK202" s="28">
        <f t="shared" si="41"/>
        <v>0.17776910443268079</v>
      </c>
      <c r="AY202" s="28">
        <f t="shared" si="45"/>
        <v>0.19000000000000014</v>
      </c>
      <c r="AZ202">
        <v>0.86861781670583205</v>
      </c>
      <c r="BA202" s="28">
        <f t="shared" si="42"/>
        <v>0.86861781670583205</v>
      </c>
    </row>
    <row r="203" spans="19:53" x14ac:dyDescent="0.25">
      <c r="S203" s="28">
        <f t="shared" si="43"/>
        <v>0.19100000000000014</v>
      </c>
      <c r="T203">
        <v>0.80654316843165375</v>
      </c>
      <c r="U203" s="28">
        <f t="shared" si="40"/>
        <v>0.66724080103226391</v>
      </c>
      <c r="AI203" s="28">
        <f t="shared" si="44"/>
        <v>0.19100000000000014</v>
      </c>
      <c r="AJ203">
        <v>0.4965666676839503</v>
      </c>
      <c r="AK203" s="28">
        <f t="shared" si="41"/>
        <v>0.20719571527574734</v>
      </c>
      <c r="AY203" s="28">
        <f t="shared" si="45"/>
        <v>0.19100000000000014</v>
      </c>
      <c r="AZ203">
        <v>9.1463972899563581E-2</v>
      </c>
      <c r="BA203" s="28">
        <f t="shared" si="42"/>
        <v>9.1463972899563595E-2</v>
      </c>
    </row>
    <row r="204" spans="19:53" x14ac:dyDescent="0.25">
      <c r="S204" s="28">
        <f t="shared" si="43"/>
        <v>0.19200000000000014</v>
      </c>
      <c r="T204">
        <v>0.21784112063966796</v>
      </c>
      <c r="U204" s="28">
        <f t="shared" si="40"/>
        <v>0.34848926454166301</v>
      </c>
      <c r="AI204" s="28">
        <f t="shared" si="44"/>
        <v>0.19200000000000014</v>
      </c>
      <c r="AJ204">
        <v>0.18805505539109471</v>
      </c>
      <c r="AK204" s="28">
        <f t="shared" si="41"/>
        <v>0.12641519652973901</v>
      </c>
      <c r="AY204" s="28">
        <f t="shared" si="45"/>
        <v>0.19200000000000014</v>
      </c>
      <c r="AZ204">
        <v>0.17905209509567552</v>
      </c>
      <c r="BA204" s="28">
        <f t="shared" si="42"/>
        <v>0.17905209509567552</v>
      </c>
    </row>
    <row r="205" spans="19:53" x14ac:dyDescent="0.25">
      <c r="S205" s="28">
        <f t="shared" si="43"/>
        <v>0.19300000000000014</v>
      </c>
      <c r="T205">
        <v>0.50474562822351754</v>
      </c>
      <c r="U205" s="28">
        <f t="shared" ref="U205:U268" si="46">_xlfn.BETA.INV(T205,$V$5,$V$6,0,1)</f>
        <v>0.50236878588400946</v>
      </c>
      <c r="AI205" s="28">
        <f t="shared" si="44"/>
        <v>0.19300000000000014</v>
      </c>
      <c r="AJ205">
        <v>0.39661854915005951</v>
      </c>
      <c r="AK205" s="28">
        <f t="shared" ref="AK205:AK268" si="47">_xlfn.BETA.INV(AJ205,$AL$5,$AL$6,0,1)</f>
        <v>0.18156969742737328</v>
      </c>
      <c r="AY205" s="28">
        <f t="shared" si="45"/>
        <v>0.19300000000000014</v>
      </c>
      <c r="AZ205">
        <v>0.26645710623493146</v>
      </c>
      <c r="BA205" s="28">
        <f t="shared" ref="BA205:BA268" si="48">_xlfn.BETA.INV(AZ205,$BB$5,$BB$6,0,1)</f>
        <v>0.26645710623493146</v>
      </c>
    </row>
    <row r="206" spans="19:53" x14ac:dyDescent="0.25">
      <c r="S206" s="28">
        <f t="shared" si="43"/>
        <v>0.19400000000000014</v>
      </c>
      <c r="T206">
        <v>0.59871211890011289</v>
      </c>
      <c r="U206" s="28">
        <f t="shared" si="46"/>
        <v>0.54966047571370269</v>
      </c>
      <c r="AI206" s="28">
        <f t="shared" si="44"/>
        <v>0.19400000000000014</v>
      </c>
      <c r="AJ206">
        <v>0.2454908902249214</v>
      </c>
      <c r="AK206" s="28">
        <f t="shared" si="47"/>
        <v>0.14255502030516456</v>
      </c>
      <c r="AY206" s="28">
        <f t="shared" si="45"/>
        <v>0.19400000000000014</v>
      </c>
      <c r="AZ206">
        <v>0.597827082125309</v>
      </c>
      <c r="BA206" s="28">
        <f t="shared" si="48"/>
        <v>0.597827082125309</v>
      </c>
    </row>
    <row r="207" spans="19:53" x14ac:dyDescent="0.25">
      <c r="S207" s="28">
        <f t="shared" ref="S207:S270" si="49">S206+0.001</f>
        <v>0.19500000000000015</v>
      </c>
      <c r="T207">
        <v>0.40180669576097905</v>
      </c>
      <c r="U207" s="28">
        <f t="shared" si="46"/>
        <v>0.45060466872774013</v>
      </c>
      <c r="AI207" s="28">
        <f t="shared" ref="AI207:AI270" si="50">AI206+0.001</f>
        <v>0.19500000000000015</v>
      </c>
      <c r="AJ207">
        <v>0.80413220618305004</v>
      </c>
      <c r="AK207" s="28">
        <f t="shared" si="47"/>
        <v>0.30644202774570195</v>
      </c>
      <c r="AY207" s="28">
        <f t="shared" ref="AY207:AY270" si="51">AY206+0.001</f>
        <v>0.19500000000000015</v>
      </c>
      <c r="AZ207">
        <v>0.39085055085909604</v>
      </c>
      <c r="BA207" s="28">
        <f t="shared" si="48"/>
        <v>0.39085055085909604</v>
      </c>
    </row>
    <row r="208" spans="19:53" x14ac:dyDescent="0.25">
      <c r="S208" s="28">
        <f t="shared" si="49"/>
        <v>0.19600000000000015</v>
      </c>
      <c r="T208">
        <v>0.39130832850123598</v>
      </c>
      <c r="U208" s="28">
        <f t="shared" si="46"/>
        <v>0.44522577473410513</v>
      </c>
      <c r="AI208" s="28">
        <f t="shared" si="50"/>
        <v>0.19600000000000015</v>
      </c>
      <c r="AJ208">
        <v>0.72606585894344922</v>
      </c>
      <c r="AK208" s="28">
        <f t="shared" si="47"/>
        <v>0.27544946092937794</v>
      </c>
      <c r="AY208" s="28">
        <f t="shared" si="51"/>
        <v>0.19600000000000015</v>
      </c>
      <c r="AZ208">
        <v>0.44679097872859891</v>
      </c>
      <c r="BA208" s="28">
        <f t="shared" si="48"/>
        <v>0.44679097872859891</v>
      </c>
    </row>
    <row r="209" spans="19:53" x14ac:dyDescent="0.25">
      <c r="S209" s="28">
        <f t="shared" si="49"/>
        <v>0.19700000000000015</v>
      </c>
      <c r="T209">
        <v>0.76488540299691765</v>
      </c>
      <c r="U209" s="28">
        <f t="shared" si="46"/>
        <v>0.64083328068113488</v>
      </c>
      <c r="AI209" s="28">
        <f t="shared" si="50"/>
        <v>0.19700000000000015</v>
      </c>
      <c r="AJ209">
        <v>0.92596209601123081</v>
      </c>
      <c r="AK209" s="28">
        <f t="shared" si="47"/>
        <v>0.38190274667361668</v>
      </c>
      <c r="AY209" s="28">
        <f t="shared" si="51"/>
        <v>0.19700000000000015</v>
      </c>
      <c r="AZ209">
        <v>8.4810937833796202E-2</v>
      </c>
      <c r="BA209" s="28">
        <f t="shared" si="48"/>
        <v>8.4810937833796188E-2</v>
      </c>
    </row>
    <row r="210" spans="19:53" x14ac:dyDescent="0.25">
      <c r="S210" s="28">
        <f t="shared" si="49"/>
        <v>0.19800000000000015</v>
      </c>
      <c r="T210">
        <v>0.50209051789910586</v>
      </c>
      <c r="U210" s="28">
        <f t="shared" si="46"/>
        <v>0.50104346940298217</v>
      </c>
      <c r="AI210" s="28">
        <f t="shared" si="50"/>
        <v>0.19800000000000015</v>
      </c>
      <c r="AJ210">
        <v>0.65132602923673211</v>
      </c>
      <c r="AK210" s="28">
        <f t="shared" si="47"/>
        <v>0.25072593918043184</v>
      </c>
      <c r="AY210" s="28">
        <f t="shared" si="51"/>
        <v>0.19800000000000015</v>
      </c>
      <c r="AZ210">
        <v>0.92059083834345534</v>
      </c>
      <c r="BA210" s="28">
        <f t="shared" si="48"/>
        <v>0.92059083834345534</v>
      </c>
    </row>
    <row r="211" spans="19:53" x14ac:dyDescent="0.25">
      <c r="S211" s="28">
        <f t="shared" si="49"/>
        <v>0.19900000000000015</v>
      </c>
      <c r="T211">
        <v>0.56385998107852409</v>
      </c>
      <c r="U211" s="28">
        <f t="shared" si="46"/>
        <v>0.53197936729471929</v>
      </c>
      <c r="AI211" s="28">
        <f t="shared" si="50"/>
        <v>0.19900000000000015</v>
      </c>
      <c r="AJ211">
        <v>0.33356730857264932</v>
      </c>
      <c r="AK211" s="28">
        <f t="shared" si="47"/>
        <v>0.16557661575907917</v>
      </c>
      <c r="AY211" s="28">
        <f t="shared" si="51"/>
        <v>0.19900000000000015</v>
      </c>
      <c r="AZ211">
        <v>0.16125980407116916</v>
      </c>
      <c r="BA211" s="28">
        <f t="shared" si="48"/>
        <v>0.16125980407116916</v>
      </c>
    </row>
    <row r="212" spans="19:53" x14ac:dyDescent="0.25">
      <c r="S212" s="28">
        <f t="shared" si="49"/>
        <v>0.20000000000000015</v>
      </c>
      <c r="T212">
        <v>0.51686147648548841</v>
      </c>
      <c r="U212" s="28">
        <f t="shared" si="46"/>
        <v>0.50841817794827415</v>
      </c>
      <c r="AI212" s="28">
        <f t="shared" si="50"/>
        <v>0.20000000000000015</v>
      </c>
      <c r="AJ212">
        <v>0.71123386333811456</v>
      </c>
      <c r="AK212" s="28">
        <f t="shared" si="47"/>
        <v>0.27024499451965245</v>
      </c>
      <c r="AY212" s="28">
        <f t="shared" si="51"/>
        <v>0.20000000000000015</v>
      </c>
      <c r="AZ212">
        <v>0.70278023621326335</v>
      </c>
      <c r="BA212" s="28">
        <f t="shared" si="48"/>
        <v>0.70278023621326335</v>
      </c>
    </row>
    <row r="213" spans="19:53" x14ac:dyDescent="0.25">
      <c r="S213" s="28">
        <f t="shared" si="49"/>
        <v>0.20100000000000015</v>
      </c>
      <c r="T213">
        <v>0.86758018738364817</v>
      </c>
      <c r="U213" s="28">
        <f t="shared" si="46"/>
        <v>0.71140154867133387</v>
      </c>
      <c r="AI213" s="28">
        <f t="shared" si="50"/>
        <v>0.20100000000000015</v>
      </c>
      <c r="AJ213">
        <v>0.80663472396008173</v>
      </c>
      <c r="AK213" s="28">
        <f t="shared" si="47"/>
        <v>0.30756619974759281</v>
      </c>
      <c r="AY213" s="28">
        <f t="shared" si="51"/>
        <v>0.20100000000000015</v>
      </c>
      <c r="AZ213">
        <v>0.26551103244117558</v>
      </c>
      <c r="BA213" s="28">
        <f t="shared" si="48"/>
        <v>0.26551103244117558</v>
      </c>
    </row>
    <row r="214" spans="19:53" x14ac:dyDescent="0.25">
      <c r="S214" s="28">
        <f t="shared" si="49"/>
        <v>0.20200000000000015</v>
      </c>
      <c r="T214">
        <v>0.8128910184026612</v>
      </c>
      <c r="U214" s="28">
        <f t="shared" si="46"/>
        <v>0.67148196603354815</v>
      </c>
      <c r="AI214" s="28">
        <f t="shared" si="50"/>
        <v>0.20200000000000015</v>
      </c>
      <c r="AJ214">
        <v>0.83111056855983156</v>
      </c>
      <c r="AK214" s="28">
        <f t="shared" si="47"/>
        <v>0.31915015288043735</v>
      </c>
      <c r="AY214" s="28">
        <f t="shared" si="51"/>
        <v>0.20200000000000015</v>
      </c>
      <c r="AZ214">
        <v>0.58143864253669852</v>
      </c>
      <c r="BA214" s="28">
        <f t="shared" si="48"/>
        <v>0.58143864253669852</v>
      </c>
    </row>
    <row r="215" spans="19:53" x14ac:dyDescent="0.25">
      <c r="S215" s="28">
        <f t="shared" si="49"/>
        <v>0.20300000000000015</v>
      </c>
      <c r="T215">
        <v>0.60515152439954834</v>
      </c>
      <c r="U215" s="28">
        <f t="shared" si="46"/>
        <v>0.55295713297012417</v>
      </c>
      <c r="AI215" s="28">
        <f t="shared" si="50"/>
        <v>0.20300000000000015</v>
      </c>
      <c r="AJ215">
        <v>0.33872493667409281</v>
      </c>
      <c r="AK215" s="28">
        <f t="shared" si="47"/>
        <v>0.16689155168171135</v>
      </c>
      <c r="AY215" s="28">
        <f t="shared" si="51"/>
        <v>0.20300000000000015</v>
      </c>
      <c r="AZ215">
        <v>0.42335276345103307</v>
      </c>
      <c r="BA215" s="28">
        <f t="shared" si="48"/>
        <v>0.42335276345103307</v>
      </c>
    </row>
    <row r="216" spans="19:53" x14ac:dyDescent="0.25">
      <c r="S216" s="28">
        <f t="shared" si="49"/>
        <v>0.20400000000000015</v>
      </c>
      <c r="T216">
        <v>0.98193304239020962</v>
      </c>
      <c r="U216" s="28">
        <f t="shared" si="46"/>
        <v>0.85358132500239936</v>
      </c>
      <c r="AI216" s="28">
        <f t="shared" si="50"/>
        <v>0.20400000000000015</v>
      </c>
      <c r="AJ216">
        <v>3.2990508743552964E-2</v>
      </c>
      <c r="AK216" s="28">
        <f t="shared" si="47"/>
        <v>6.457568259130203E-2</v>
      </c>
      <c r="AY216" s="28">
        <f t="shared" si="51"/>
        <v>0.20400000000000015</v>
      </c>
      <c r="AZ216">
        <v>0.62196722312082275</v>
      </c>
      <c r="BA216" s="28">
        <f t="shared" si="48"/>
        <v>0.62196722312082275</v>
      </c>
    </row>
    <row r="217" spans="19:53" x14ac:dyDescent="0.25">
      <c r="S217" s="28">
        <f t="shared" si="49"/>
        <v>0.20500000000000015</v>
      </c>
      <c r="T217">
        <v>0.17624439222388377</v>
      </c>
      <c r="U217" s="28">
        <f t="shared" si="46"/>
        <v>0.32109886882012462</v>
      </c>
      <c r="AI217" s="28">
        <f t="shared" si="50"/>
        <v>0.20500000000000015</v>
      </c>
      <c r="AJ217">
        <v>0.9175389873958556</v>
      </c>
      <c r="AK217" s="28">
        <f t="shared" si="47"/>
        <v>0.37434101919688823</v>
      </c>
      <c r="AY217" s="28">
        <f t="shared" si="51"/>
        <v>0.20500000000000015</v>
      </c>
      <c r="AZ217">
        <v>7.3122348704489276E-2</v>
      </c>
      <c r="BA217" s="28">
        <f t="shared" si="48"/>
        <v>7.3122348704489262E-2</v>
      </c>
    </row>
    <row r="218" spans="19:53" x14ac:dyDescent="0.25">
      <c r="S218" s="28">
        <f t="shared" si="49"/>
        <v>0.20600000000000016</v>
      </c>
      <c r="T218">
        <v>0.36295663319803462</v>
      </c>
      <c r="U218" s="28">
        <f t="shared" si="46"/>
        <v>0.43053516845241652</v>
      </c>
      <c r="AI218" s="28">
        <f t="shared" si="50"/>
        <v>0.20600000000000016</v>
      </c>
      <c r="AJ218">
        <v>5.9205908383434553E-3</v>
      </c>
      <c r="AK218" s="28">
        <f t="shared" si="47"/>
        <v>3.6211240432631235E-2</v>
      </c>
      <c r="AY218" s="28">
        <f t="shared" si="51"/>
        <v>0.20600000000000016</v>
      </c>
      <c r="AZ218">
        <v>0.41798150578325755</v>
      </c>
      <c r="BA218" s="28">
        <f t="shared" si="48"/>
        <v>0.41798150578325755</v>
      </c>
    </row>
    <row r="219" spans="19:53" x14ac:dyDescent="0.25">
      <c r="S219" s="28">
        <f t="shared" si="49"/>
        <v>0.20700000000000016</v>
      </c>
      <c r="T219">
        <v>0.7627491073335978</v>
      </c>
      <c r="U219" s="28">
        <f t="shared" si="46"/>
        <v>0.63953623582564423</v>
      </c>
      <c r="AI219" s="28">
        <f t="shared" si="50"/>
        <v>0.20700000000000016</v>
      </c>
      <c r="AJ219">
        <v>8.2583086642048401E-2</v>
      </c>
      <c r="AK219" s="28">
        <f t="shared" si="47"/>
        <v>9.0417278596494857E-2</v>
      </c>
      <c r="AY219" s="28">
        <f t="shared" si="51"/>
        <v>0.20700000000000016</v>
      </c>
      <c r="AZ219">
        <v>0.27030243842890711</v>
      </c>
      <c r="BA219" s="28">
        <f t="shared" si="48"/>
        <v>0.27030243842890711</v>
      </c>
    </row>
    <row r="220" spans="19:53" x14ac:dyDescent="0.25">
      <c r="S220" s="28">
        <f t="shared" si="49"/>
        <v>0.20800000000000016</v>
      </c>
      <c r="T220">
        <v>0.37659840693380536</v>
      </c>
      <c r="U220" s="28">
        <f t="shared" si="46"/>
        <v>0.43763632170327965</v>
      </c>
      <c r="AI220" s="28">
        <f t="shared" si="50"/>
        <v>0.20800000000000016</v>
      </c>
      <c r="AJ220">
        <v>0.62352366710409868</v>
      </c>
      <c r="AK220" s="28">
        <f t="shared" si="47"/>
        <v>0.24231534685220601</v>
      </c>
      <c r="AY220" s="28">
        <f t="shared" si="51"/>
        <v>0.20800000000000016</v>
      </c>
      <c r="AZ220">
        <v>0.60698263496810811</v>
      </c>
      <c r="BA220" s="28">
        <f t="shared" si="48"/>
        <v>0.60698263496810811</v>
      </c>
    </row>
    <row r="221" spans="19:53" x14ac:dyDescent="0.25">
      <c r="S221" s="28">
        <f t="shared" si="49"/>
        <v>0.20900000000000016</v>
      </c>
      <c r="T221">
        <v>0.5169835505233924</v>
      </c>
      <c r="U221" s="28">
        <f t="shared" si="46"/>
        <v>0.50847915190165105</v>
      </c>
      <c r="AI221" s="28">
        <f t="shared" si="50"/>
        <v>0.20900000000000016</v>
      </c>
      <c r="AJ221">
        <v>0.79882198553422645</v>
      </c>
      <c r="AK221" s="28">
        <f t="shared" si="47"/>
        <v>0.30408969259454688</v>
      </c>
      <c r="AY221" s="28">
        <f t="shared" si="51"/>
        <v>0.20900000000000016</v>
      </c>
      <c r="AZ221">
        <v>0.75356303598132268</v>
      </c>
      <c r="BA221" s="28">
        <f t="shared" si="48"/>
        <v>0.75356303598132268</v>
      </c>
    </row>
    <row r="222" spans="19:53" x14ac:dyDescent="0.25">
      <c r="S222" s="28">
        <f t="shared" si="49"/>
        <v>0.21000000000000016</v>
      </c>
      <c r="T222">
        <v>0.38572344126712849</v>
      </c>
      <c r="U222" s="28">
        <f t="shared" si="46"/>
        <v>0.44235196496351625</v>
      </c>
      <c r="AI222" s="28">
        <f t="shared" si="50"/>
        <v>0.21000000000000016</v>
      </c>
      <c r="AJ222">
        <v>4.6205023346659747E-2</v>
      </c>
      <c r="AK222" s="28">
        <f t="shared" si="47"/>
        <v>7.2838140447824468E-2</v>
      </c>
      <c r="AY222" s="28">
        <f t="shared" si="51"/>
        <v>0.21000000000000016</v>
      </c>
      <c r="AZ222">
        <v>0.83169042023987549</v>
      </c>
      <c r="BA222" s="28">
        <f t="shared" si="48"/>
        <v>0.83169042023987549</v>
      </c>
    </row>
    <row r="223" spans="19:53" x14ac:dyDescent="0.25">
      <c r="S223" s="28">
        <f t="shared" si="49"/>
        <v>0.21100000000000016</v>
      </c>
      <c r="T223">
        <v>0.70235297708059941</v>
      </c>
      <c r="U223" s="28">
        <f t="shared" si="46"/>
        <v>0.60458592857245874</v>
      </c>
      <c r="AI223" s="28">
        <f t="shared" si="50"/>
        <v>0.21100000000000016</v>
      </c>
      <c r="AJ223">
        <v>0.98159733878597366</v>
      </c>
      <c r="AK223" s="28">
        <f t="shared" si="47"/>
        <v>0.46744897604990365</v>
      </c>
      <c r="AY223" s="28">
        <f t="shared" si="51"/>
        <v>0.21100000000000016</v>
      </c>
      <c r="AZ223">
        <v>0.58037049470503865</v>
      </c>
      <c r="BA223" s="28">
        <f t="shared" si="48"/>
        <v>0.58037049470503865</v>
      </c>
    </row>
    <row r="224" spans="19:53" x14ac:dyDescent="0.25">
      <c r="S224" s="28">
        <f t="shared" si="49"/>
        <v>0.21200000000000016</v>
      </c>
      <c r="T224">
        <v>0.10641804254280221</v>
      </c>
      <c r="U224" s="28">
        <f t="shared" si="46"/>
        <v>0.26660131309924701</v>
      </c>
      <c r="AI224" s="28">
        <f t="shared" si="50"/>
        <v>0.21200000000000016</v>
      </c>
      <c r="AJ224">
        <v>0.65001373332926415</v>
      </c>
      <c r="AK224" s="28">
        <f t="shared" si="47"/>
        <v>0.25032095113233721</v>
      </c>
      <c r="AY224" s="28">
        <f t="shared" si="51"/>
        <v>0.21200000000000016</v>
      </c>
      <c r="AZ224">
        <v>0.27533799249244667</v>
      </c>
      <c r="BA224" s="28">
        <f t="shared" si="48"/>
        <v>0.27533799249244667</v>
      </c>
    </row>
    <row r="225" spans="19:53" x14ac:dyDescent="0.25">
      <c r="S225" s="28">
        <f t="shared" si="49"/>
        <v>0.21300000000000016</v>
      </c>
      <c r="T225">
        <v>0.96459852900784326</v>
      </c>
      <c r="U225" s="28">
        <f t="shared" si="46"/>
        <v>0.81745408831538247</v>
      </c>
      <c r="AI225" s="28">
        <f t="shared" si="50"/>
        <v>0.21300000000000016</v>
      </c>
      <c r="AJ225">
        <v>0.19913327433088168</v>
      </c>
      <c r="AK225" s="28">
        <f t="shared" si="47"/>
        <v>0.12963820508096072</v>
      </c>
      <c r="AY225" s="28">
        <f t="shared" si="51"/>
        <v>0.21300000000000016</v>
      </c>
      <c r="AZ225">
        <v>0.19678334910122991</v>
      </c>
      <c r="BA225" s="28">
        <f t="shared" si="48"/>
        <v>0.19678334910122988</v>
      </c>
    </row>
    <row r="226" spans="19:53" x14ac:dyDescent="0.25">
      <c r="S226" s="28">
        <f t="shared" si="49"/>
        <v>0.21400000000000016</v>
      </c>
      <c r="T226">
        <v>0.28202154606769003</v>
      </c>
      <c r="U226" s="28">
        <f t="shared" si="46"/>
        <v>0.38665124532692091</v>
      </c>
      <c r="AI226" s="28">
        <f t="shared" si="50"/>
        <v>0.21400000000000016</v>
      </c>
      <c r="AJ226">
        <v>0.45442060609759821</v>
      </c>
      <c r="AK226" s="28">
        <f t="shared" si="47"/>
        <v>0.1962785502886108</v>
      </c>
      <c r="AY226" s="28">
        <f t="shared" si="51"/>
        <v>0.21400000000000016</v>
      </c>
      <c r="AZ226">
        <v>0.42454298532059692</v>
      </c>
      <c r="BA226" s="28">
        <f t="shared" si="48"/>
        <v>0.42454298532059692</v>
      </c>
    </row>
    <row r="227" spans="19:53" x14ac:dyDescent="0.25">
      <c r="S227" s="28">
        <f t="shared" si="49"/>
        <v>0.21500000000000016</v>
      </c>
      <c r="T227">
        <v>0.84478286080507825</v>
      </c>
      <c r="U227" s="28">
        <f t="shared" si="46"/>
        <v>0.69391732535256501</v>
      </c>
      <c r="AI227" s="28">
        <f t="shared" si="50"/>
        <v>0.21500000000000016</v>
      </c>
      <c r="AJ227">
        <v>0.78289132358775593</v>
      </c>
      <c r="AK227" s="28">
        <f t="shared" si="47"/>
        <v>0.29728306933791526</v>
      </c>
      <c r="AY227" s="28">
        <f t="shared" si="51"/>
        <v>0.21500000000000016</v>
      </c>
      <c r="AZ227">
        <v>0.23145237586596271</v>
      </c>
      <c r="BA227" s="28">
        <f t="shared" si="48"/>
        <v>0.23145237586596271</v>
      </c>
    </row>
    <row r="228" spans="19:53" x14ac:dyDescent="0.25">
      <c r="S228" s="28">
        <f t="shared" si="49"/>
        <v>0.21600000000000016</v>
      </c>
      <c r="T228">
        <v>0.53856013672292247</v>
      </c>
      <c r="U228" s="28">
        <f t="shared" si="46"/>
        <v>0.51926980518438315</v>
      </c>
      <c r="AI228" s="28">
        <f t="shared" si="50"/>
        <v>0.21600000000000016</v>
      </c>
      <c r="AJ228">
        <v>0.60783715323343612</v>
      </c>
      <c r="AK228" s="28">
        <f t="shared" si="47"/>
        <v>0.23771320268043117</v>
      </c>
      <c r="AY228" s="28">
        <f t="shared" si="51"/>
        <v>0.21600000000000016</v>
      </c>
      <c r="AZ228">
        <v>0.44123661000396741</v>
      </c>
      <c r="BA228" s="28">
        <f t="shared" si="48"/>
        <v>0.44123661000396741</v>
      </c>
    </row>
    <row r="229" spans="19:53" x14ac:dyDescent="0.25">
      <c r="S229" s="28">
        <f t="shared" si="49"/>
        <v>0.21700000000000016</v>
      </c>
      <c r="T229">
        <v>2.9389324625385297E-2</v>
      </c>
      <c r="U229" s="28">
        <f t="shared" si="46"/>
        <v>0.17163157717308977</v>
      </c>
      <c r="AI229" s="28">
        <f t="shared" si="50"/>
        <v>0.21700000000000016</v>
      </c>
      <c r="AJ229">
        <v>0.92220831934568315</v>
      </c>
      <c r="AK229" s="28">
        <f t="shared" si="47"/>
        <v>0.37845234809529993</v>
      </c>
      <c r="AY229" s="28">
        <f t="shared" si="51"/>
        <v>0.21700000000000016</v>
      </c>
      <c r="AZ229">
        <v>0.11709952085940123</v>
      </c>
      <c r="BA229" s="28">
        <f t="shared" si="48"/>
        <v>0.11709952085940123</v>
      </c>
    </row>
    <row r="230" spans="19:53" x14ac:dyDescent="0.25">
      <c r="S230" s="28">
        <f t="shared" si="49"/>
        <v>0.21800000000000017</v>
      </c>
      <c r="T230">
        <v>0.18552201910458693</v>
      </c>
      <c r="U230" s="28">
        <f t="shared" si="46"/>
        <v>0.32744728755456198</v>
      </c>
      <c r="AI230" s="28">
        <f t="shared" si="50"/>
        <v>0.21800000000000017</v>
      </c>
      <c r="AJ230">
        <v>0.45094149601733452</v>
      </c>
      <c r="AK230" s="28">
        <f t="shared" si="47"/>
        <v>0.19538662880390953</v>
      </c>
      <c r="AY230" s="28">
        <f t="shared" si="51"/>
        <v>0.21800000000000017</v>
      </c>
      <c r="AZ230">
        <v>8.3437604907376325E-2</v>
      </c>
      <c r="BA230" s="28">
        <f t="shared" si="48"/>
        <v>8.3437604907376325E-2</v>
      </c>
    </row>
    <row r="231" spans="19:53" x14ac:dyDescent="0.25">
      <c r="S231" s="28">
        <f t="shared" si="49"/>
        <v>0.21900000000000017</v>
      </c>
      <c r="T231">
        <v>0.2955107272560808</v>
      </c>
      <c r="U231" s="28">
        <f t="shared" si="46"/>
        <v>0.39422580002198809</v>
      </c>
      <c r="AI231" s="28">
        <f t="shared" si="50"/>
        <v>0.21900000000000017</v>
      </c>
      <c r="AJ231">
        <v>0.43125705740531634</v>
      </c>
      <c r="AK231" s="28">
        <f t="shared" si="47"/>
        <v>0.19035983648723673</v>
      </c>
      <c r="AY231" s="28">
        <f t="shared" si="51"/>
        <v>0.21900000000000017</v>
      </c>
      <c r="AZ231">
        <v>0.97369304483169039</v>
      </c>
      <c r="BA231" s="28">
        <f t="shared" si="48"/>
        <v>0.97369304483169039</v>
      </c>
    </row>
    <row r="232" spans="19:53" x14ac:dyDescent="0.25">
      <c r="S232" s="28">
        <f t="shared" si="49"/>
        <v>0.22000000000000017</v>
      </c>
      <c r="T232">
        <v>0.33735160374767298</v>
      </c>
      <c r="U232" s="28">
        <f t="shared" si="46"/>
        <v>0.41701303428646824</v>
      </c>
      <c r="AI232" s="28">
        <f t="shared" si="50"/>
        <v>0.22000000000000017</v>
      </c>
      <c r="AJ232">
        <v>0.3448286385692923</v>
      </c>
      <c r="AK232" s="28">
        <f t="shared" si="47"/>
        <v>0.16844518059163432</v>
      </c>
      <c r="AY232" s="28">
        <f t="shared" si="51"/>
        <v>0.22000000000000017</v>
      </c>
      <c r="AZ232">
        <v>0.12228766747032074</v>
      </c>
      <c r="BA232" s="28">
        <f t="shared" si="48"/>
        <v>0.12228766747032076</v>
      </c>
    </row>
    <row r="233" spans="19:53" x14ac:dyDescent="0.25">
      <c r="S233" s="28">
        <f t="shared" si="49"/>
        <v>0.22100000000000017</v>
      </c>
      <c r="T233">
        <v>0.27549058503982665</v>
      </c>
      <c r="U233" s="28">
        <f t="shared" si="46"/>
        <v>0.38293684380880105</v>
      </c>
      <c r="AI233" s="28">
        <f t="shared" si="50"/>
        <v>0.22100000000000017</v>
      </c>
      <c r="AJ233">
        <v>0.87792596209601126</v>
      </c>
      <c r="AK233" s="28">
        <f t="shared" si="47"/>
        <v>0.34529696479466343</v>
      </c>
      <c r="AY233" s="28">
        <f t="shared" si="51"/>
        <v>0.22100000000000017</v>
      </c>
      <c r="AZ233">
        <v>0.15732291634876552</v>
      </c>
      <c r="BA233" s="28">
        <f t="shared" si="48"/>
        <v>0.15732291634876552</v>
      </c>
    </row>
    <row r="234" spans="19:53" x14ac:dyDescent="0.25">
      <c r="S234" s="28">
        <f t="shared" si="49"/>
        <v>0.22200000000000017</v>
      </c>
      <c r="T234">
        <v>0.23261207922605059</v>
      </c>
      <c r="U234" s="28">
        <f t="shared" si="46"/>
        <v>0.35764102851835394</v>
      </c>
      <c r="AI234" s="28">
        <f t="shared" si="50"/>
        <v>0.22200000000000017</v>
      </c>
      <c r="AJ234">
        <v>0.44495986816003907</v>
      </c>
      <c r="AK234" s="28">
        <f t="shared" si="47"/>
        <v>0.19385576455054276</v>
      </c>
      <c r="AY234" s="28">
        <f t="shared" si="51"/>
        <v>0.22200000000000017</v>
      </c>
      <c r="AZ234">
        <v>0.29258095034638509</v>
      </c>
      <c r="BA234" s="28">
        <f t="shared" si="48"/>
        <v>0.29258095034638509</v>
      </c>
    </row>
    <row r="235" spans="19:53" x14ac:dyDescent="0.25">
      <c r="S235" s="28">
        <f t="shared" si="49"/>
        <v>0.22300000000000017</v>
      </c>
      <c r="T235">
        <v>0.65950498977629934</v>
      </c>
      <c r="U235" s="28">
        <f t="shared" si="46"/>
        <v>0.58131178923990823</v>
      </c>
      <c r="AI235" s="28">
        <f t="shared" si="50"/>
        <v>0.22300000000000017</v>
      </c>
      <c r="AJ235">
        <v>0.78151799066133609</v>
      </c>
      <c r="AK235" s="28">
        <f t="shared" si="47"/>
        <v>0.29671267215607766</v>
      </c>
      <c r="AY235" s="28">
        <f t="shared" si="51"/>
        <v>0.22300000000000017</v>
      </c>
      <c r="AZ235">
        <v>0.61656544694357129</v>
      </c>
      <c r="BA235" s="28">
        <f t="shared" si="48"/>
        <v>0.61656544694357129</v>
      </c>
    </row>
    <row r="236" spans="19:53" x14ac:dyDescent="0.25">
      <c r="S236" s="28">
        <f t="shared" si="49"/>
        <v>0.22400000000000017</v>
      </c>
      <c r="T236">
        <v>0.1456343272194586</v>
      </c>
      <c r="U236" s="28">
        <f t="shared" si="46"/>
        <v>0.29890468292756267</v>
      </c>
      <c r="AI236" s="28">
        <f t="shared" si="50"/>
        <v>0.22400000000000017</v>
      </c>
      <c r="AJ236">
        <v>0.54887539292580956</v>
      </c>
      <c r="AK236" s="28">
        <f t="shared" si="47"/>
        <v>0.22115438480606231</v>
      </c>
      <c r="AY236" s="28">
        <f t="shared" si="51"/>
        <v>0.22400000000000017</v>
      </c>
      <c r="AZ236">
        <v>0.60335093234046444</v>
      </c>
      <c r="BA236" s="28">
        <f t="shared" si="48"/>
        <v>0.60335093234046444</v>
      </c>
    </row>
    <row r="237" spans="19:53" x14ac:dyDescent="0.25">
      <c r="S237" s="28">
        <f t="shared" si="49"/>
        <v>0.22500000000000017</v>
      </c>
      <c r="T237">
        <v>0.90185247352519304</v>
      </c>
      <c r="U237" s="28">
        <f t="shared" si="46"/>
        <v>0.74099644651607144</v>
      </c>
      <c r="AI237" s="28">
        <f t="shared" si="50"/>
        <v>0.22500000000000017</v>
      </c>
      <c r="AJ237">
        <v>0.74535355693227945</v>
      </c>
      <c r="AK237" s="28">
        <f t="shared" si="47"/>
        <v>0.28249309991777238</v>
      </c>
      <c r="AY237" s="28">
        <f t="shared" si="51"/>
        <v>0.22500000000000017</v>
      </c>
      <c r="AZ237">
        <v>0.82293160802026433</v>
      </c>
      <c r="BA237" s="28">
        <f t="shared" si="48"/>
        <v>0.82293160802026433</v>
      </c>
    </row>
    <row r="238" spans="19:53" x14ac:dyDescent="0.25">
      <c r="S238" s="28">
        <f t="shared" si="49"/>
        <v>0.22600000000000017</v>
      </c>
      <c r="T238">
        <v>0.94402905362102119</v>
      </c>
      <c r="U238" s="28">
        <f t="shared" si="46"/>
        <v>0.78700152243885757</v>
      </c>
      <c r="AI238" s="28">
        <f t="shared" si="50"/>
        <v>0.22600000000000017</v>
      </c>
      <c r="AJ238">
        <v>0.67140720847193824</v>
      </c>
      <c r="AK238" s="28">
        <f t="shared" si="47"/>
        <v>0.25703308152223492</v>
      </c>
      <c r="AY238" s="28">
        <f t="shared" si="51"/>
        <v>0.22600000000000017</v>
      </c>
      <c r="AZ238">
        <v>0.95599230933561208</v>
      </c>
      <c r="BA238" s="28">
        <f t="shared" si="48"/>
        <v>0.95599230933561208</v>
      </c>
    </row>
    <row r="239" spans="19:53" x14ac:dyDescent="0.25">
      <c r="S239" s="28">
        <f t="shared" si="49"/>
        <v>0.22700000000000017</v>
      </c>
      <c r="T239">
        <v>0.52159184545426807</v>
      </c>
      <c r="U239" s="28">
        <f t="shared" si="46"/>
        <v>0.5107813991467911</v>
      </c>
      <c r="AI239" s="28">
        <f t="shared" si="50"/>
        <v>0.22700000000000017</v>
      </c>
      <c r="AJ239">
        <v>0.81313516647846917</v>
      </c>
      <c r="AK239" s="28">
        <f t="shared" si="47"/>
        <v>0.31053527608508658</v>
      </c>
      <c r="AY239" s="28">
        <f t="shared" si="51"/>
        <v>0.22700000000000017</v>
      </c>
      <c r="AZ239">
        <v>0.68688009277626882</v>
      </c>
      <c r="BA239" s="28">
        <f t="shared" si="48"/>
        <v>0.68688009277626882</v>
      </c>
    </row>
    <row r="240" spans="19:53" x14ac:dyDescent="0.25">
      <c r="S240" s="28">
        <f t="shared" si="49"/>
        <v>0.22800000000000017</v>
      </c>
      <c r="T240">
        <v>0.26795251319925534</v>
      </c>
      <c r="U240" s="28">
        <f t="shared" si="46"/>
        <v>0.37860851932737816</v>
      </c>
      <c r="AI240" s="28">
        <f t="shared" si="50"/>
        <v>0.22800000000000017</v>
      </c>
      <c r="AJ240">
        <v>0.72945341349528492</v>
      </c>
      <c r="AK240" s="28">
        <f t="shared" si="47"/>
        <v>0.27666295178831568</v>
      </c>
      <c r="AY240" s="28">
        <f t="shared" si="51"/>
        <v>0.22800000000000017</v>
      </c>
      <c r="AZ240">
        <v>8.7771233252967928E-2</v>
      </c>
      <c r="BA240" s="28">
        <f t="shared" si="48"/>
        <v>8.7771233252967915E-2</v>
      </c>
    </row>
    <row r="241" spans="19:53" x14ac:dyDescent="0.25">
      <c r="S241" s="28">
        <f t="shared" si="49"/>
        <v>0.22900000000000018</v>
      </c>
      <c r="T241">
        <v>0.31766716513565479</v>
      </c>
      <c r="U241" s="28">
        <f t="shared" si="46"/>
        <v>0.40641325790083088</v>
      </c>
      <c r="AI241" s="28">
        <f t="shared" si="50"/>
        <v>0.22900000000000018</v>
      </c>
      <c r="AJ241">
        <v>0.15289773247474595</v>
      </c>
      <c r="AK241" s="28">
        <f t="shared" si="47"/>
        <v>0.1156955210302744</v>
      </c>
      <c r="AY241" s="28">
        <f t="shared" si="51"/>
        <v>0.22900000000000018</v>
      </c>
      <c r="AZ241">
        <v>0.65254676961577196</v>
      </c>
      <c r="BA241" s="28">
        <f t="shared" si="48"/>
        <v>0.65254676961577196</v>
      </c>
    </row>
    <row r="242" spans="19:53" x14ac:dyDescent="0.25">
      <c r="S242" s="28">
        <f t="shared" si="49"/>
        <v>0.23000000000000018</v>
      </c>
      <c r="T242">
        <v>0.62373729667043065</v>
      </c>
      <c r="U242" s="28">
        <f t="shared" si="46"/>
        <v>0.56253766587754439</v>
      </c>
      <c r="AI242" s="28">
        <f t="shared" si="50"/>
        <v>0.23000000000000018</v>
      </c>
      <c r="AJ242">
        <v>0.27491073335978272</v>
      </c>
      <c r="AK242" s="28">
        <f t="shared" si="47"/>
        <v>0.15040391163576561</v>
      </c>
      <c r="AY242" s="28">
        <f t="shared" si="51"/>
        <v>0.23000000000000018</v>
      </c>
      <c r="AZ242">
        <v>0.51081881160924103</v>
      </c>
      <c r="BA242" s="28">
        <f t="shared" si="48"/>
        <v>0.51081881160924103</v>
      </c>
    </row>
    <row r="243" spans="19:53" x14ac:dyDescent="0.25">
      <c r="S243" s="28">
        <f t="shared" si="49"/>
        <v>0.23100000000000018</v>
      </c>
      <c r="T243">
        <v>0.87441633350627157</v>
      </c>
      <c r="U243" s="28">
        <f t="shared" si="46"/>
        <v>0.7169435577507226</v>
      </c>
      <c r="AI243" s="28">
        <f t="shared" si="50"/>
        <v>0.23100000000000018</v>
      </c>
      <c r="AJ243">
        <v>0.50276192510757778</v>
      </c>
      <c r="AK243" s="28">
        <f t="shared" si="47"/>
        <v>0.20882174701037048</v>
      </c>
      <c r="AY243" s="28">
        <f t="shared" si="51"/>
        <v>0.23100000000000018</v>
      </c>
      <c r="AZ243">
        <v>0.21341593676564838</v>
      </c>
      <c r="BA243" s="28">
        <f t="shared" si="48"/>
        <v>0.21341593676564838</v>
      </c>
    </row>
    <row r="244" spans="19:53" x14ac:dyDescent="0.25">
      <c r="S244" s="28">
        <f t="shared" si="49"/>
        <v>0.23200000000000018</v>
      </c>
      <c r="T244">
        <v>0.51185644093142491</v>
      </c>
      <c r="U244" s="28">
        <f t="shared" si="46"/>
        <v>0.50591871183570825</v>
      </c>
      <c r="AI244" s="28">
        <f t="shared" si="50"/>
        <v>0.23200000000000018</v>
      </c>
      <c r="AJ244">
        <v>0.22449415570543535</v>
      </c>
      <c r="AK244" s="28">
        <f t="shared" si="47"/>
        <v>0.13680398070693695</v>
      </c>
      <c r="AY244" s="28">
        <f t="shared" si="51"/>
        <v>0.23200000000000018</v>
      </c>
      <c r="AZ244">
        <v>0.96829126865443893</v>
      </c>
      <c r="BA244" s="28">
        <f t="shared" si="48"/>
        <v>0.96829126865443893</v>
      </c>
    </row>
    <row r="245" spans="19:53" x14ac:dyDescent="0.25">
      <c r="S245" s="28">
        <f t="shared" si="49"/>
        <v>0.23300000000000018</v>
      </c>
      <c r="T245">
        <v>0.24320200201422162</v>
      </c>
      <c r="U245" s="28">
        <f t="shared" si="46"/>
        <v>0.36405163800977619</v>
      </c>
      <c r="AI245" s="28">
        <f t="shared" si="50"/>
        <v>0.23300000000000018</v>
      </c>
      <c r="AJ245">
        <v>0.78240302743613999</v>
      </c>
      <c r="AK245" s="28">
        <f t="shared" si="47"/>
        <v>0.297079978318603</v>
      </c>
      <c r="AY245" s="28">
        <f t="shared" si="51"/>
        <v>0.23300000000000018</v>
      </c>
      <c r="AZ245">
        <v>0.53123569444868313</v>
      </c>
      <c r="BA245" s="28">
        <f t="shared" si="48"/>
        <v>0.53123569444868313</v>
      </c>
    </row>
    <row r="246" spans="19:53" x14ac:dyDescent="0.25">
      <c r="S246" s="28">
        <f t="shared" si="49"/>
        <v>0.23400000000000018</v>
      </c>
      <c r="T246">
        <v>0.18207342753379924</v>
      </c>
      <c r="U246" s="28">
        <f t="shared" si="46"/>
        <v>0.32510549929427346</v>
      </c>
      <c r="AI246" s="28">
        <f t="shared" si="50"/>
        <v>0.23400000000000018</v>
      </c>
      <c r="AJ246">
        <v>0.62251655629139069</v>
      </c>
      <c r="AK246" s="28">
        <f t="shared" si="47"/>
        <v>0.24201696877362466</v>
      </c>
      <c r="AY246" s="28">
        <f t="shared" si="51"/>
        <v>0.23400000000000018</v>
      </c>
      <c r="AZ246">
        <v>0.61314737388225959</v>
      </c>
      <c r="BA246" s="28">
        <f t="shared" si="48"/>
        <v>0.61314737388225959</v>
      </c>
    </row>
    <row r="247" spans="19:53" x14ac:dyDescent="0.25">
      <c r="S247" s="28">
        <f t="shared" si="49"/>
        <v>0.23500000000000018</v>
      </c>
      <c r="T247">
        <v>0.27484969634083073</v>
      </c>
      <c r="U247" s="28">
        <f t="shared" si="46"/>
        <v>0.38257059684832001</v>
      </c>
      <c r="AI247" s="28">
        <f t="shared" si="50"/>
        <v>0.23500000000000018</v>
      </c>
      <c r="AJ247">
        <v>1.1505478072450942E-2</v>
      </c>
      <c r="AK247" s="28">
        <f t="shared" si="47"/>
        <v>4.5042454709046713E-2</v>
      </c>
      <c r="AY247" s="28">
        <f t="shared" si="51"/>
        <v>0.23500000000000018</v>
      </c>
      <c r="AZ247">
        <v>0.79494613483077492</v>
      </c>
      <c r="BA247" s="28">
        <f t="shared" si="48"/>
        <v>0.79494613483077492</v>
      </c>
    </row>
    <row r="248" spans="19:53" x14ac:dyDescent="0.25">
      <c r="S248" s="28">
        <f t="shared" si="49"/>
        <v>0.23600000000000018</v>
      </c>
      <c r="T248">
        <v>0.84401989806817834</v>
      </c>
      <c r="U248" s="28">
        <f t="shared" si="46"/>
        <v>0.69335553384320148</v>
      </c>
      <c r="AI248" s="28">
        <f t="shared" si="50"/>
        <v>0.23600000000000018</v>
      </c>
      <c r="AJ248">
        <v>0.26416821802423168</v>
      </c>
      <c r="AK248" s="28">
        <f t="shared" si="47"/>
        <v>0.14756215899796568</v>
      </c>
      <c r="AY248" s="28">
        <f t="shared" si="51"/>
        <v>0.23600000000000018</v>
      </c>
      <c r="AZ248">
        <v>0.24774925992614522</v>
      </c>
      <c r="BA248" s="28">
        <f t="shared" si="48"/>
        <v>0.24774925992614522</v>
      </c>
    </row>
    <row r="249" spans="19:53" x14ac:dyDescent="0.25">
      <c r="S249" s="28">
        <f t="shared" si="49"/>
        <v>0.23700000000000018</v>
      </c>
      <c r="T249">
        <v>0.36689352092043825</v>
      </c>
      <c r="U249" s="28">
        <f t="shared" si="46"/>
        <v>0.43259120160673581</v>
      </c>
      <c r="AI249" s="28">
        <f t="shared" si="50"/>
        <v>0.23700000000000018</v>
      </c>
      <c r="AJ249">
        <v>0.30335398419141207</v>
      </c>
      <c r="AK249" s="28">
        <f t="shared" si="47"/>
        <v>0.15782145663056424</v>
      </c>
      <c r="AY249" s="28">
        <f t="shared" si="51"/>
        <v>0.23700000000000018</v>
      </c>
      <c r="AZ249">
        <v>0.55223242896816915</v>
      </c>
      <c r="BA249" s="28">
        <f t="shared" si="48"/>
        <v>0.55223242896816915</v>
      </c>
    </row>
    <row r="250" spans="19:53" x14ac:dyDescent="0.25">
      <c r="S250" s="28">
        <f t="shared" si="49"/>
        <v>0.23800000000000018</v>
      </c>
      <c r="T250">
        <v>0.28836939603869749</v>
      </c>
      <c r="U250" s="28">
        <f t="shared" si="46"/>
        <v>0.39023150126834083</v>
      </c>
      <c r="AI250" s="28">
        <f t="shared" si="50"/>
        <v>0.23800000000000018</v>
      </c>
      <c r="AJ250">
        <v>0.12601092562639241</v>
      </c>
      <c r="AK250" s="28">
        <f t="shared" si="47"/>
        <v>0.10681641734136543</v>
      </c>
      <c r="AY250" s="28">
        <f t="shared" si="51"/>
        <v>0.23800000000000018</v>
      </c>
      <c r="AZ250">
        <v>0.17697683645130771</v>
      </c>
      <c r="BA250" s="28">
        <f t="shared" si="48"/>
        <v>0.17697683645130771</v>
      </c>
    </row>
    <row r="251" spans="19:53" x14ac:dyDescent="0.25">
      <c r="S251" s="28">
        <f t="shared" si="49"/>
        <v>0.23900000000000018</v>
      </c>
      <c r="T251">
        <v>1.0101626636555072E-2</v>
      </c>
      <c r="U251" s="28">
        <f t="shared" si="46"/>
        <v>0.12152555824835419</v>
      </c>
      <c r="AI251" s="28">
        <f t="shared" si="50"/>
        <v>0.23900000000000018</v>
      </c>
      <c r="AJ251">
        <v>0.34275337992492444</v>
      </c>
      <c r="AK251" s="28">
        <f t="shared" si="47"/>
        <v>0.16791722987660965</v>
      </c>
      <c r="AY251" s="28">
        <f t="shared" si="51"/>
        <v>0.23900000000000018</v>
      </c>
      <c r="AZ251">
        <v>0.60774559770500813</v>
      </c>
      <c r="BA251" s="28">
        <f t="shared" si="48"/>
        <v>0.60774559770500813</v>
      </c>
    </row>
    <row r="252" spans="19:53" x14ac:dyDescent="0.25">
      <c r="S252" s="28">
        <f t="shared" si="49"/>
        <v>0.24000000000000019</v>
      </c>
      <c r="T252">
        <v>1.6632587664418469E-2</v>
      </c>
      <c r="U252" s="28">
        <f t="shared" si="46"/>
        <v>0.14255752982737552</v>
      </c>
      <c r="AI252" s="28">
        <f t="shared" si="50"/>
        <v>0.24000000000000019</v>
      </c>
      <c r="AJ252">
        <v>0.62218085268715473</v>
      </c>
      <c r="AK252" s="28">
        <f t="shared" si="47"/>
        <v>0.24191760094790771</v>
      </c>
      <c r="AY252" s="28">
        <f t="shared" si="51"/>
        <v>0.24000000000000019</v>
      </c>
      <c r="AZ252">
        <v>0.14206366161076692</v>
      </c>
      <c r="BA252" s="28">
        <f t="shared" si="48"/>
        <v>0.14206366161076692</v>
      </c>
    </row>
    <row r="253" spans="19:53" x14ac:dyDescent="0.25">
      <c r="S253" s="28">
        <f t="shared" si="49"/>
        <v>0.24100000000000019</v>
      </c>
      <c r="T253">
        <v>9.0762047181615652E-2</v>
      </c>
      <c r="U253" s="28">
        <f t="shared" si="46"/>
        <v>0.25191299490068431</v>
      </c>
      <c r="AI253" s="28">
        <f t="shared" si="50"/>
        <v>0.24100000000000019</v>
      </c>
      <c r="AJ253">
        <v>0.54353465376750998</v>
      </c>
      <c r="AK253" s="28">
        <f t="shared" si="47"/>
        <v>0.2197025454418482</v>
      </c>
      <c r="AY253" s="28">
        <f t="shared" si="51"/>
        <v>0.24100000000000019</v>
      </c>
      <c r="AZ253">
        <v>0.33405560472426526</v>
      </c>
      <c r="BA253" s="28">
        <f t="shared" si="48"/>
        <v>0.33405560472426526</v>
      </c>
    </row>
    <row r="254" spans="19:53" x14ac:dyDescent="0.25">
      <c r="S254" s="28">
        <f t="shared" si="49"/>
        <v>0.24200000000000019</v>
      </c>
      <c r="T254">
        <v>0.26056703390606401</v>
      </c>
      <c r="U254" s="28">
        <f t="shared" si="46"/>
        <v>0.374322478794411</v>
      </c>
      <c r="AI254" s="28">
        <f t="shared" si="50"/>
        <v>0.24200000000000019</v>
      </c>
      <c r="AJ254">
        <v>0.3554490798669393</v>
      </c>
      <c r="AK254" s="28">
        <f t="shared" si="47"/>
        <v>0.1711431099544457</v>
      </c>
      <c r="AY254" s="28">
        <f t="shared" si="51"/>
        <v>0.24200000000000019</v>
      </c>
      <c r="AZ254">
        <v>4.8402356028931545E-2</v>
      </c>
      <c r="BA254" s="28">
        <f t="shared" si="48"/>
        <v>4.8402356028931552E-2</v>
      </c>
    </row>
    <row r="255" spans="19:53" x14ac:dyDescent="0.25">
      <c r="S255" s="28">
        <f t="shared" si="49"/>
        <v>0.24300000000000019</v>
      </c>
      <c r="T255">
        <v>5.4811243018890961E-2</v>
      </c>
      <c r="U255" s="28">
        <f t="shared" si="46"/>
        <v>0.21148282717311873</v>
      </c>
      <c r="AI255" s="28">
        <f t="shared" si="50"/>
        <v>0.24300000000000019</v>
      </c>
      <c r="AJ255">
        <v>0.12674336985381635</v>
      </c>
      <c r="AK255" s="28">
        <f t="shared" si="47"/>
        <v>0.10706840903487863</v>
      </c>
      <c r="AY255" s="28">
        <f t="shared" si="51"/>
        <v>0.24300000000000019</v>
      </c>
      <c r="AZ255">
        <v>0.50865199743644518</v>
      </c>
      <c r="BA255" s="28">
        <f t="shared" si="48"/>
        <v>0.50865199743644518</v>
      </c>
    </row>
    <row r="256" spans="19:53" x14ac:dyDescent="0.25">
      <c r="S256" s="28">
        <f t="shared" si="49"/>
        <v>0.24400000000000019</v>
      </c>
      <c r="T256">
        <v>0.82113101596118043</v>
      </c>
      <c r="U256" s="28">
        <f t="shared" si="46"/>
        <v>0.67708940148092034</v>
      </c>
      <c r="AI256" s="28">
        <f t="shared" si="50"/>
        <v>0.24400000000000019</v>
      </c>
      <c r="AJ256">
        <v>0.88650166325876645</v>
      </c>
      <c r="AK256" s="28">
        <f t="shared" si="47"/>
        <v>0.35088372603127826</v>
      </c>
      <c r="AY256" s="28">
        <f t="shared" si="51"/>
        <v>0.24400000000000019</v>
      </c>
      <c r="AZ256">
        <v>0.39558091982787563</v>
      </c>
      <c r="BA256" s="28">
        <f t="shared" si="48"/>
        <v>0.39558091982787563</v>
      </c>
    </row>
    <row r="257" spans="19:53" x14ac:dyDescent="0.25">
      <c r="S257" s="28">
        <f t="shared" si="49"/>
        <v>0.24500000000000019</v>
      </c>
      <c r="T257">
        <v>0.39475692007202368</v>
      </c>
      <c r="U257" s="28">
        <f t="shared" si="46"/>
        <v>0.44699591638705627</v>
      </c>
      <c r="AI257" s="28">
        <f t="shared" si="50"/>
        <v>0.24500000000000019</v>
      </c>
      <c r="AJ257">
        <v>0.80202642902920618</v>
      </c>
      <c r="AK257" s="28">
        <f t="shared" si="47"/>
        <v>0.30550390212677658</v>
      </c>
      <c r="AY257" s="28">
        <f t="shared" si="51"/>
        <v>0.24500000000000019</v>
      </c>
      <c r="AZ257">
        <v>0.19888912625507371</v>
      </c>
      <c r="BA257" s="28">
        <f t="shared" si="48"/>
        <v>0.19888912625507371</v>
      </c>
    </row>
    <row r="258" spans="19:53" x14ac:dyDescent="0.25">
      <c r="S258" s="28">
        <f t="shared" si="49"/>
        <v>0.24600000000000019</v>
      </c>
      <c r="T258">
        <v>0.59672841578417313</v>
      </c>
      <c r="U258" s="28">
        <f t="shared" si="46"/>
        <v>0.54864704905984207</v>
      </c>
      <c r="AI258" s="28">
        <f t="shared" si="50"/>
        <v>0.24600000000000019</v>
      </c>
      <c r="AJ258">
        <v>0.72466200750755339</v>
      </c>
      <c r="AK258" s="28">
        <f t="shared" si="47"/>
        <v>0.27494936810739123</v>
      </c>
      <c r="AY258" s="28">
        <f t="shared" si="51"/>
        <v>0.24600000000000019</v>
      </c>
      <c r="AZ258">
        <v>9.5431379131443214E-2</v>
      </c>
      <c r="BA258" s="28">
        <f t="shared" si="48"/>
        <v>9.54313791314432E-2</v>
      </c>
    </row>
    <row r="259" spans="19:53" x14ac:dyDescent="0.25">
      <c r="S259" s="28">
        <f t="shared" si="49"/>
        <v>0.24700000000000019</v>
      </c>
      <c r="T259">
        <v>0.10052797021393475</v>
      </c>
      <c r="U259" s="28">
        <f t="shared" si="46"/>
        <v>0.2612253644515512</v>
      </c>
      <c r="AI259" s="28">
        <f t="shared" si="50"/>
        <v>0.24700000000000019</v>
      </c>
      <c r="AJ259">
        <v>0.68889431440168458</v>
      </c>
      <c r="AK259" s="28">
        <f t="shared" si="47"/>
        <v>0.26270897488789913</v>
      </c>
      <c r="AY259" s="28">
        <f t="shared" si="51"/>
        <v>0.24700000000000019</v>
      </c>
      <c r="AZ259">
        <v>0.8902859584337901</v>
      </c>
      <c r="BA259" s="28">
        <f t="shared" si="48"/>
        <v>0.8902859584337901</v>
      </c>
    </row>
    <row r="260" spans="19:53" x14ac:dyDescent="0.25">
      <c r="S260" s="28">
        <f t="shared" si="49"/>
        <v>0.24800000000000019</v>
      </c>
      <c r="T260">
        <v>0.12463759269997253</v>
      </c>
      <c r="U260" s="28">
        <f t="shared" si="46"/>
        <v>0.28227707547436881</v>
      </c>
      <c r="AI260" s="28">
        <f t="shared" si="50"/>
        <v>0.24800000000000019</v>
      </c>
      <c r="AJ260">
        <v>0.88036744285409096</v>
      </c>
      <c r="AK260" s="28">
        <f t="shared" si="47"/>
        <v>0.34685603739439275</v>
      </c>
      <c r="AY260" s="28">
        <f t="shared" si="51"/>
        <v>0.24800000000000019</v>
      </c>
      <c r="AZ260">
        <v>0.34080019531846062</v>
      </c>
      <c r="BA260" s="28">
        <f t="shared" si="48"/>
        <v>0.34080019531846062</v>
      </c>
    </row>
    <row r="261" spans="19:53" x14ac:dyDescent="0.25">
      <c r="S261" s="28">
        <f t="shared" si="49"/>
        <v>0.24900000000000019</v>
      </c>
      <c r="T261">
        <v>0.35151219214453566</v>
      </c>
      <c r="U261" s="28">
        <f t="shared" si="46"/>
        <v>0.42452492303971578</v>
      </c>
      <c r="AI261" s="28">
        <f t="shared" si="50"/>
        <v>0.24900000000000019</v>
      </c>
      <c r="AJ261">
        <v>0.71108127079073458</v>
      </c>
      <c r="AK261" s="28">
        <f t="shared" si="47"/>
        <v>0.27019232919417613</v>
      </c>
      <c r="AY261" s="28">
        <f t="shared" si="51"/>
        <v>0.24900000000000019</v>
      </c>
      <c r="AZ261">
        <v>0.11841181676686911</v>
      </c>
      <c r="BA261" s="28">
        <f t="shared" si="48"/>
        <v>0.11841181676686914</v>
      </c>
    </row>
    <row r="262" spans="19:53" x14ac:dyDescent="0.25">
      <c r="S262" s="28">
        <f t="shared" si="49"/>
        <v>0.25000000000000017</v>
      </c>
      <c r="T262">
        <v>0.5560777611621448</v>
      </c>
      <c r="U262" s="28">
        <f t="shared" si="46"/>
        <v>0.5280611759001469</v>
      </c>
      <c r="AI262" s="28">
        <f t="shared" si="50"/>
        <v>0.25000000000000017</v>
      </c>
      <c r="AJ262">
        <v>0.53047273171178322</v>
      </c>
      <c r="AK262" s="28">
        <f t="shared" si="47"/>
        <v>0.21617957607538474</v>
      </c>
      <c r="AY262" s="28">
        <f t="shared" si="51"/>
        <v>0.25000000000000017</v>
      </c>
      <c r="AZ262">
        <v>0.99526963103122046</v>
      </c>
      <c r="BA262" s="28">
        <f t="shared" si="48"/>
        <v>0.99526963103122046</v>
      </c>
    </row>
    <row r="263" spans="19:53" x14ac:dyDescent="0.25">
      <c r="S263" s="28">
        <f t="shared" si="49"/>
        <v>0.25100000000000017</v>
      </c>
      <c r="T263">
        <v>0.43867305520798366</v>
      </c>
      <c r="U263" s="28">
        <f t="shared" si="46"/>
        <v>0.4692969451448456</v>
      </c>
      <c r="AI263" s="28">
        <f t="shared" si="50"/>
        <v>0.25100000000000017</v>
      </c>
      <c r="AJ263">
        <v>5.7008575701162759E-2</v>
      </c>
      <c r="AK263" s="28">
        <f t="shared" si="47"/>
        <v>7.8653310992262804E-2</v>
      </c>
      <c r="AY263" s="28">
        <f t="shared" si="51"/>
        <v>0.25100000000000017</v>
      </c>
      <c r="AZ263">
        <v>0.44422742393261511</v>
      </c>
      <c r="BA263" s="28">
        <f t="shared" si="48"/>
        <v>0.44422742393261511</v>
      </c>
    </row>
    <row r="264" spans="19:53" x14ac:dyDescent="0.25">
      <c r="S264" s="28">
        <f t="shared" si="49"/>
        <v>0.25200000000000017</v>
      </c>
      <c r="T264">
        <v>0.34653767509994809</v>
      </c>
      <c r="U264" s="28">
        <f t="shared" si="46"/>
        <v>0.42189598896720254</v>
      </c>
      <c r="AI264" s="28">
        <f t="shared" si="50"/>
        <v>0.25200000000000017</v>
      </c>
      <c r="AJ264">
        <v>0.26493118076113165</v>
      </c>
      <c r="AK264" s="28">
        <f t="shared" si="47"/>
        <v>0.14776483846841695</v>
      </c>
      <c r="AY264" s="28">
        <f t="shared" si="51"/>
        <v>0.25200000000000017</v>
      </c>
      <c r="AZ264">
        <v>0.23346659749137852</v>
      </c>
      <c r="BA264" s="28">
        <f t="shared" si="48"/>
        <v>0.23346659749137852</v>
      </c>
    </row>
    <row r="265" spans="19:53" x14ac:dyDescent="0.25">
      <c r="S265" s="28">
        <f t="shared" si="49"/>
        <v>0.25300000000000017</v>
      </c>
      <c r="T265">
        <v>0.32279427472762229</v>
      </c>
      <c r="U265" s="28">
        <f t="shared" si="46"/>
        <v>0.4091932529993732</v>
      </c>
      <c r="AI265" s="28">
        <f t="shared" si="50"/>
        <v>0.25300000000000017</v>
      </c>
      <c r="AJ265">
        <v>0.55336161381878113</v>
      </c>
      <c r="AK265" s="28">
        <f t="shared" si="47"/>
        <v>0.22237932791792159</v>
      </c>
      <c r="AY265" s="28">
        <f t="shared" si="51"/>
        <v>0.25300000000000017</v>
      </c>
      <c r="AZ265">
        <v>0.83364360484633926</v>
      </c>
      <c r="BA265" s="28">
        <f t="shared" si="48"/>
        <v>0.83364360484633926</v>
      </c>
    </row>
    <row r="266" spans="19:53" x14ac:dyDescent="0.25">
      <c r="S266" s="28">
        <f t="shared" si="49"/>
        <v>0.25400000000000017</v>
      </c>
      <c r="T266">
        <v>0.69450972014526813</v>
      </c>
      <c r="U266" s="28">
        <f t="shared" si="46"/>
        <v>0.60024817569726996</v>
      </c>
      <c r="AI266" s="28">
        <f t="shared" si="50"/>
        <v>0.25400000000000017</v>
      </c>
      <c r="AJ266">
        <v>0.62678914761803028</v>
      </c>
      <c r="AK266" s="28">
        <f t="shared" si="47"/>
        <v>0.24328567699562509</v>
      </c>
      <c r="AY266" s="28">
        <f t="shared" si="51"/>
        <v>0.25400000000000017</v>
      </c>
      <c r="AZ266">
        <v>0.49992370372631001</v>
      </c>
      <c r="BA266" s="28">
        <f t="shared" si="48"/>
        <v>0.49992370372631001</v>
      </c>
    </row>
    <row r="267" spans="19:53" x14ac:dyDescent="0.25">
      <c r="S267" s="28">
        <f t="shared" si="49"/>
        <v>0.25500000000000017</v>
      </c>
      <c r="T267">
        <v>0.97814874721518597</v>
      </c>
      <c r="U267" s="28">
        <f t="shared" si="46"/>
        <v>0.84425655739273597</v>
      </c>
      <c r="AI267" s="28">
        <f t="shared" si="50"/>
        <v>0.25500000000000017</v>
      </c>
      <c r="AJ267">
        <v>6.4516129032258063E-2</v>
      </c>
      <c r="AK267" s="28">
        <f t="shared" si="47"/>
        <v>8.2350343149473343E-2</v>
      </c>
      <c r="AY267" s="28">
        <f t="shared" si="51"/>
        <v>0.25500000000000017</v>
      </c>
      <c r="AZ267">
        <v>0.48884548478652301</v>
      </c>
      <c r="BA267" s="28">
        <f t="shared" si="48"/>
        <v>0.48884548478652301</v>
      </c>
    </row>
    <row r="268" spans="19:53" x14ac:dyDescent="0.25">
      <c r="S268" s="28">
        <f t="shared" si="49"/>
        <v>0.25600000000000017</v>
      </c>
      <c r="T268">
        <v>0.53004547257911927</v>
      </c>
      <c r="U268" s="28">
        <f t="shared" si="46"/>
        <v>0.51500774364439939</v>
      </c>
      <c r="AI268" s="28">
        <f t="shared" si="50"/>
        <v>0.25600000000000017</v>
      </c>
      <c r="AJ268">
        <v>0.85491500595110936</v>
      </c>
      <c r="AK268" s="28">
        <f t="shared" si="47"/>
        <v>0.33165530079582384</v>
      </c>
      <c r="AY268" s="28">
        <f t="shared" si="51"/>
        <v>0.25600000000000017</v>
      </c>
      <c r="AZ268">
        <v>0.89434492019409773</v>
      </c>
      <c r="BA268" s="28">
        <f t="shared" si="48"/>
        <v>0.89434492019409773</v>
      </c>
    </row>
    <row r="269" spans="19:53" x14ac:dyDescent="0.25">
      <c r="S269" s="28">
        <f t="shared" si="49"/>
        <v>0.25700000000000017</v>
      </c>
      <c r="T269">
        <v>0.3686635944700461</v>
      </c>
      <c r="U269" s="28">
        <f t="shared" ref="U269:U332" si="52">_xlfn.BETA.INV(T269,$V$5,$V$6,0,1)</f>
        <v>0.43351380186833621</v>
      </c>
      <c r="AI269" s="28">
        <f t="shared" si="50"/>
        <v>0.25700000000000017</v>
      </c>
      <c r="AJ269">
        <v>0.4400769066438795</v>
      </c>
      <c r="AK269" s="28">
        <f t="shared" ref="AK269:AK332" si="53">_xlfn.BETA.INV(AJ269,$AL$5,$AL$6,0,1)</f>
        <v>0.19260835245656252</v>
      </c>
      <c r="AY269" s="28">
        <f t="shared" si="51"/>
        <v>0.25700000000000017</v>
      </c>
      <c r="AZ269">
        <v>5.4689168980986969E-2</v>
      </c>
      <c r="BA269" s="28">
        <f t="shared" ref="BA269:BA332" si="54">_xlfn.BETA.INV(AZ269,$BB$5,$BB$6,0,1)</f>
        <v>5.4689168980986962E-2</v>
      </c>
    </row>
    <row r="270" spans="19:53" x14ac:dyDescent="0.25">
      <c r="S270" s="28">
        <f t="shared" si="49"/>
        <v>0.25800000000000017</v>
      </c>
      <c r="T270">
        <v>0.76180303353984191</v>
      </c>
      <c r="U270" s="28">
        <f t="shared" si="52"/>
        <v>0.63896338648845652</v>
      </c>
      <c r="AI270" s="28">
        <f t="shared" si="50"/>
        <v>0.25800000000000017</v>
      </c>
      <c r="AJ270">
        <v>0.51441999572740871</v>
      </c>
      <c r="AK270" s="28">
        <f t="shared" si="53"/>
        <v>0.21189946701784246</v>
      </c>
      <c r="AY270" s="28">
        <f t="shared" si="51"/>
        <v>0.25800000000000017</v>
      </c>
      <c r="AZ270">
        <v>0.46201971495712152</v>
      </c>
      <c r="BA270" s="28">
        <f t="shared" si="54"/>
        <v>0.46201971495712152</v>
      </c>
    </row>
    <row r="271" spans="19:53" x14ac:dyDescent="0.25">
      <c r="S271" s="28">
        <f t="shared" ref="S271:S334" si="55">S270+0.001</f>
        <v>0.25900000000000017</v>
      </c>
      <c r="T271">
        <v>0.17905209509567552</v>
      </c>
      <c r="U271" s="28">
        <f t="shared" si="52"/>
        <v>0.32303652285178563</v>
      </c>
      <c r="AI271" s="28">
        <f t="shared" ref="AI271:AI334" si="56">AI270+0.001</f>
        <v>0.25900000000000017</v>
      </c>
      <c r="AJ271">
        <v>0.2055726798303171</v>
      </c>
      <c r="AK271" s="28">
        <f t="shared" si="53"/>
        <v>0.13148389336911251</v>
      </c>
      <c r="AY271" s="28">
        <f t="shared" ref="AY271:AY334" si="57">AY270+0.001</f>
        <v>0.25900000000000017</v>
      </c>
      <c r="AZ271">
        <v>1.7731254005554368E-2</v>
      </c>
      <c r="BA271" s="28">
        <f t="shared" si="54"/>
        <v>1.7731254005554375E-2</v>
      </c>
    </row>
    <row r="272" spans="19:53" x14ac:dyDescent="0.25">
      <c r="S272" s="28">
        <f t="shared" si="55"/>
        <v>0.26000000000000018</v>
      </c>
      <c r="T272">
        <v>0.66624958037049475</v>
      </c>
      <c r="U272" s="28">
        <f t="shared" si="52"/>
        <v>0.5849117565663875</v>
      </c>
      <c r="AI272" s="28">
        <f t="shared" si="56"/>
        <v>0.26000000000000018</v>
      </c>
      <c r="AJ272">
        <v>0.67809076204718166</v>
      </c>
      <c r="AK272" s="28">
        <f t="shared" si="53"/>
        <v>0.25918099660733618</v>
      </c>
      <c r="AY272" s="28">
        <f t="shared" si="57"/>
        <v>0.26000000000000018</v>
      </c>
      <c r="AZ272">
        <v>0.18878749961851862</v>
      </c>
      <c r="BA272" s="28">
        <f t="shared" si="54"/>
        <v>0.18878749961851865</v>
      </c>
    </row>
    <row r="273" spans="19:53" x14ac:dyDescent="0.25">
      <c r="S273" s="28">
        <f t="shared" si="55"/>
        <v>0.26100000000000018</v>
      </c>
      <c r="T273">
        <v>0.90118106631672112</v>
      </c>
      <c r="U273" s="28">
        <f t="shared" si="52"/>
        <v>0.74036679183534493</v>
      </c>
      <c r="AI273" s="28">
        <f t="shared" si="56"/>
        <v>0.26100000000000018</v>
      </c>
      <c r="AJ273">
        <v>0.25696584978789638</v>
      </c>
      <c r="AK273" s="28">
        <f t="shared" si="53"/>
        <v>0.1456419878033659</v>
      </c>
      <c r="AY273" s="28">
        <f t="shared" si="57"/>
        <v>0.26100000000000018</v>
      </c>
      <c r="AZ273">
        <v>0.14694662312692647</v>
      </c>
      <c r="BA273" s="28">
        <f t="shared" si="54"/>
        <v>0.14694662312692647</v>
      </c>
    </row>
    <row r="274" spans="19:53" x14ac:dyDescent="0.25">
      <c r="S274" s="28">
        <f t="shared" si="55"/>
        <v>0.26200000000000018</v>
      </c>
      <c r="T274">
        <v>0.86620685445722834</v>
      </c>
      <c r="U274" s="28">
        <f t="shared" si="52"/>
        <v>0.71030640290905689</v>
      </c>
      <c r="AI274" s="28">
        <f t="shared" si="56"/>
        <v>0.26200000000000018</v>
      </c>
      <c r="AJ274">
        <v>0.12836085085604418</v>
      </c>
      <c r="AK274" s="28">
        <f t="shared" si="53"/>
        <v>0.10762265025260676</v>
      </c>
      <c r="AY274" s="28">
        <f t="shared" si="57"/>
        <v>0.26200000000000018</v>
      </c>
      <c r="AZ274">
        <v>0.40110477004303108</v>
      </c>
      <c r="BA274" s="28">
        <f t="shared" si="54"/>
        <v>0.40110477004303108</v>
      </c>
    </row>
    <row r="275" spans="19:53" x14ac:dyDescent="0.25">
      <c r="S275" s="28">
        <f t="shared" si="55"/>
        <v>0.26300000000000018</v>
      </c>
      <c r="T275">
        <v>0.18387401959288308</v>
      </c>
      <c r="U275" s="28">
        <f t="shared" si="52"/>
        <v>0.32633078949263211</v>
      </c>
      <c r="AI275" s="28">
        <f t="shared" si="56"/>
        <v>0.26300000000000018</v>
      </c>
      <c r="AJ275">
        <v>0.39835810419019135</v>
      </c>
      <c r="AK275" s="28">
        <f t="shared" si="53"/>
        <v>0.18201016187530275</v>
      </c>
      <c r="AY275" s="28">
        <f t="shared" si="57"/>
        <v>0.26300000000000018</v>
      </c>
      <c r="AZ275">
        <v>0.12521744438001647</v>
      </c>
      <c r="BA275" s="28">
        <f t="shared" si="54"/>
        <v>0.12521744438001647</v>
      </c>
    </row>
    <row r="276" spans="19:53" x14ac:dyDescent="0.25">
      <c r="S276" s="28">
        <f t="shared" si="55"/>
        <v>0.26400000000000018</v>
      </c>
      <c r="T276">
        <v>0.42616046632282478</v>
      </c>
      <c r="U276" s="28">
        <f t="shared" si="52"/>
        <v>0.4629821168659688</v>
      </c>
      <c r="AI276" s="28">
        <f t="shared" si="56"/>
        <v>0.26400000000000018</v>
      </c>
      <c r="AJ276">
        <v>0.31052583391827143</v>
      </c>
      <c r="AK276" s="28">
        <f t="shared" si="53"/>
        <v>0.15967186981375212</v>
      </c>
      <c r="AY276" s="28">
        <f t="shared" si="57"/>
        <v>0.26400000000000018</v>
      </c>
      <c r="AZ276">
        <v>0.37546922208319344</v>
      </c>
      <c r="BA276" s="28">
        <f t="shared" si="54"/>
        <v>0.37546922208319344</v>
      </c>
    </row>
    <row r="277" spans="19:53" x14ac:dyDescent="0.25">
      <c r="S277" s="28">
        <f t="shared" si="55"/>
        <v>0.26500000000000018</v>
      </c>
      <c r="T277">
        <v>0.1129490035706656</v>
      </c>
      <c r="U277" s="28">
        <f t="shared" si="52"/>
        <v>0.27237550016962014</v>
      </c>
      <c r="AI277" s="28">
        <f t="shared" si="56"/>
        <v>0.26500000000000018</v>
      </c>
      <c r="AJ277">
        <v>0.78414258247627189</v>
      </c>
      <c r="AK277" s="28">
        <f t="shared" si="53"/>
        <v>0.29780492741981868</v>
      </c>
      <c r="AY277" s="28">
        <f t="shared" si="57"/>
        <v>0.26500000000000018</v>
      </c>
      <c r="AZ277">
        <v>0.2098452711569567</v>
      </c>
      <c r="BA277" s="28">
        <f t="shared" si="54"/>
        <v>0.2098452711569567</v>
      </c>
    </row>
    <row r="278" spans="19:53" x14ac:dyDescent="0.25">
      <c r="S278" s="28">
        <f t="shared" si="55"/>
        <v>0.26600000000000018</v>
      </c>
      <c r="T278">
        <v>0.31308938871425518</v>
      </c>
      <c r="U278" s="28">
        <f t="shared" si="52"/>
        <v>0.40391895111469595</v>
      </c>
      <c r="AI278" s="28">
        <f t="shared" si="56"/>
        <v>0.26600000000000018</v>
      </c>
      <c r="AJ278">
        <v>0.10351878414258248</v>
      </c>
      <c r="AK278" s="28">
        <f t="shared" si="53"/>
        <v>9.8728120760298146E-2</v>
      </c>
      <c r="AY278" s="28">
        <f t="shared" si="57"/>
        <v>0.26600000000000018</v>
      </c>
      <c r="AZ278">
        <v>0.89242225409710985</v>
      </c>
      <c r="BA278" s="28">
        <f t="shared" si="54"/>
        <v>0.89242225409710985</v>
      </c>
    </row>
    <row r="279" spans="19:53" x14ac:dyDescent="0.25">
      <c r="S279" s="28">
        <f t="shared" si="55"/>
        <v>0.26700000000000018</v>
      </c>
      <c r="T279">
        <v>0.92669454023865472</v>
      </c>
      <c r="U279" s="28">
        <f t="shared" si="52"/>
        <v>0.76626198191820727</v>
      </c>
      <c r="AI279" s="28">
        <f t="shared" si="56"/>
        <v>0.26700000000000018</v>
      </c>
      <c r="AJ279">
        <v>0.31275368511001922</v>
      </c>
      <c r="AK279" s="28">
        <f t="shared" si="53"/>
        <v>0.16024532865253754</v>
      </c>
      <c r="AY279" s="28">
        <f t="shared" si="57"/>
        <v>0.26700000000000018</v>
      </c>
      <c r="AZ279">
        <v>0.96487319559312723</v>
      </c>
      <c r="BA279" s="28">
        <f t="shared" si="54"/>
        <v>0.96487319559312723</v>
      </c>
    </row>
    <row r="280" spans="19:53" x14ac:dyDescent="0.25">
      <c r="S280" s="28">
        <f t="shared" si="55"/>
        <v>0.26800000000000018</v>
      </c>
      <c r="T280">
        <v>0.95712149418622394</v>
      </c>
      <c r="U280" s="28">
        <f t="shared" si="52"/>
        <v>0.80537682896140939</v>
      </c>
      <c r="AI280" s="28">
        <f t="shared" si="56"/>
        <v>0.26800000000000018</v>
      </c>
      <c r="AJ280">
        <v>0.51829584643086035</v>
      </c>
      <c r="AK280" s="28">
        <f t="shared" si="53"/>
        <v>0.21292820469752138</v>
      </c>
      <c r="AY280" s="28">
        <f t="shared" si="57"/>
        <v>0.26800000000000018</v>
      </c>
      <c r="AZ280">
        <v>0.85558641315958128</v>
      </c>
      <c r="BA280" s="28">
        <f t="shared" si="54"/>
        <v>0.85558641315958128</v>
      </c>
    </row>
    <row r="281" spans="19:53" x14ac:dyDescent="0.25">
      <c r="S281" s="28">
        <f t="shared" si="55"/>
        <v>0.26900000000000018</v>
      </c>
      <c r="T281">
        <v>0.21277504806665243</v>
      </c>
      <c r="U281" s="28">
        <f t="shared" si="52"/>
        <v>0.34528881081958107</v>
      </c>
      <c r="AI281" s="28">
        <f t="shared" si="56"/>
        <v>0.26900000000000018</v>
      </c>
      <c r="AJ281">
        <v>0.89571825312051756</v>
      </c>
      <c r="AK281" s="28">
        <f t="shared" si="53"/>
        <v>0.35726321454818921</v>
      </c>
      <c r="AY281" s="28">
        <f t="shared" si="57"/>
        <v>0.26900000000000018</v>
      </c>
      <c r="AZ281">
        <v>0.95440534684286016</v>
      </c>
      <c r="BA281" s="28">
        <f t="shared" si="54"/>
        <v>0.95440534684286016</v>
      </c>
    </row>
    <row r="282" spans="19:53" x14ac:dyDescent="0.25">
      <c r="S282" s="28">
        <f t="shared" si="55"/>
        <v>0.27000000000000018</v>
      </c>
      <c r="T282">
        <v>2.3377178258613851E-2</v>
      </c>
      <c r="U282" s="28">
        <f t="shared" si="52"/>
        <v>0.15921116585301051</v>
      </c>
      <c r="AI282" s="28">
        <f t="shared" si="56"/>
        <v>0.27000000000000018</v>
      </c>
      <c r="AJ282">
        <v>0.80031739249855038</v>
      </c>
      <c r="AK282" s="28">
        <f t="shared" si="53"/>
        <v>0.30474767339222708</v>
      </c>
      <c r="AY282" s="28">
        <f t="shared" si="57"/>
        <v>0.27000000000000018</v>
      </c>
      <c r="AZ282">
        <v>0.55928220465712453</v>
      </c>
      <c r="BA282" s="28">
        <f t="shared" si="54"/>
        <v>0.55928220465712453</v>
      </c>
    </row>
    <row r="283" spans="19:53" x14ac:dyDescent="0.25">
      <c r="S283" s="28">
        <f t="shared" si="55"/>
        <v>0.27100000000000019</v>
      </c>
      <c r="T283">
        <v>0.5025482955412458</v>
      </c>
      <c r="U283" s="28">
        <f t="shared" si="52"/>
        <v>0.50127196849938471</v>
      </c>
      <c r="AI283" s="28">
        <f t="shared" si="56"/>
        <v>0.27100000000000019</v>
      </c>
      <c r="AJ283">
        <v>0.41895809808648948</v>
      </c>
      <c r="AK283" s="28">
        <f t="shared" si="53"/>
        <v>0.1872327188414343</v>
      </c>
      <c r="AY283" s="28">
        <f t="shared" si="57"/>
        <v>0.27100000000000019</v>
      </c>
      <c r="AZ283">
        <v>0.89745780816064946</v>
      </c>
      <c r="BA283" s="28">
        <f t="shared" si="54"/>
        <v>0.89745780816064946</v>
      </c>
    </row>
    <row r="284" spans="19:53" x14ac:dyDescent="0.25">
      <c r="S284" s="28">
        <f t="shared" si="55"/>
        <v>0.27200000000000019</v>
      </c>
      <c r="T284">
        <v>0.90005188146610915</v>
      </c>
      <c r="U284" s="28">
        <f t="shared" si="52"/>
        <v>0.73931314296359707</v>
      </c>
      <c r="AI284" s="28">
        <f t="shared" si="56"/>
        <v>0.27200000000000019</v>
      </c>
      <c r="AJ284">
        <v>0.73708304086428422</v>
      </c>
      <c r="AK284" s="28">
        <f t="shared" si="53"/>
        <v>0.27943208921493567</v>
      </c>
      <c r="AY284" s="28">
        <f t="shared" si="57"/>
        <v>0.27200000000000019</v>
      </c>
      <c r="AZ284">
        <v>0.35358745078890347</v>
      </c>
      <c r="BA284" s="28">
        <f t="shared" si="54"/>
        <v>0.35358745078890347</v>
      </c>
    </row>
    <row r="285" spans="19:53" x14ac:dyDescent="0.25">
      <c r="S285" s="28">
        <f t="shared" si="55"/>
        <v>0.27300000000000019</v>
      </c>
      <c r="T285">
        <v>0.99905392620624411</v>
      </c>
      <c r="U285" s="28">
        <f t="shared" si="52"/>
        <v>0.94171782465609188</v>
      </c>
      <c r="AI285" s="28">
        <f t="shared" si="56"/>
        <v>0.27300000000000019</v>
      </c>
      <c r="AJ285">
        <v>0.24619281594286935</v>
      </c>
      <c r="AK285" s="28">
        <f t="shared" si="53"/>
        <v>0.14274489718570857</v>
      </c>
      <c r="AY285" s="28">
        <f t="shared" si="57"/>
        <v>0.27300000000000019</v>
      </c>
      <c r="AZ285">
        <v>0.28577532273323769</v>
      </c>
      <c r="BA285" s="28">
        <f t="shared" si="54"/>
        <v>0.28577532273323769</v>
      </c>
    </row>
    <row r="286" spans="19:53" x14ac:dyDescent="0.25">
      <c r="S286" s="28">
        <f t="shared" si="55"/>
        <v>0.27400000000000019</v>
      </c>
      <c r="T286">
        <v>0.93856624042481762</v>
      </c>
      <c r="U286" s="28">
        <f t="shared" si="52"/>
        <v>0.78010186122701997</v>
      </c>
      <c r="AI286" s="28">
        <f t="shared" si="56"/>
        <v>0.27400000000000019</v>
      </c>
      <c r="AJ286">
        <v>0.87099826044495987</v>
      </c>
      <c r="AK286" s="28">
        <f t="shared" si="53"/>
        <v>0.34099891518876113</v>
      </c>
      <c r="AY286" s="28">
        <f t="shared" si="57"/>
        <v>0.27400000000000019</v>
      </c>
      <c r="AZ286">
        <v>0.95028534806360054</v>
      </c>
      <c r="BA286" s="28">
        <f t="shared" si="54"/>
        <v>0.95028534806360054</v>
      </c>
    </row>
    <row r="287" spans="19:53" x14ac:dyDescent="0.25">
      <c r="S287" s="28">
        <f t="shared" si="55"/>
        <v>0.27500000000000019</v>
      </c>
      <c r="T287">
        <v>0.57792901394695884</v>
      </c>
      <c r="U287" s="28">
        <f t="shared" si="52"/>
        <v>0.53908769019950498</v>
      </c>
      <c r="AI287" s="28">
        <f t="shared" si="56"/>
        <v>0.27500000000000019</v>
      </c>
      <c r="AJ287">
        <v>0.412823877681814</v>
      </c>
      <c r="AK287" s="28">
        <f t="shared" si="53"/>
        <v>0.18567595638300588</v>
      </c>
      <c r="AY287" s="28">
        <f t="shared" si="57"/>
        <v>0.27500000000000019</v>
      </c>
      <c r="AZ287">
        <v>0.98507644886623735</v>
      </c>
      <c r="BA287" s="28">
        <f t="shared" si="54"/>
        <v>0.98507644886623735</v>
      </c>
    </row>
    <row r="288" spans="19:53" x14ac:dyDescent="0.25">
      <c r="S288" s="28">
        <f t="shared" si="55"/>
        <v>0.27600000000000019</v>
      </c>
      <c r="T288">
        <v>0.28370006408886989</v>
      </c>
      <c r="U288" s="28">
        <f t="shared" si="52"/>
        <v>0.38760076028102713</v>
      </c>
      <c r="AI288" s="28">
        <f t="shared" si="56"/>
        <v>0.27600000000000019</v>
      </c>
      <c r="AJ288">
        <v>0.42088076418347725</v>
      </c>
      <c r="AK288" s="28">
        <f t="shared" si="53"/>
        <v>0.18772102117844849</v>
      </c>
      <c r="AY288" s="28">
        <f t="shared" si="57"/>
        <v>0.27600000000000019</v>
      </c>
      <c r="AZ288">
        <v>6.0884426404614396E-2</v>
      </c>
      <c r="BA288" s="28">
        <f t="shared" si="54"/>
        <v>6.0884426404614389E-2</v>
      </c>
    </row>
    <row r="289" spans="19:53" x14ac:dyDescent="0.25">
      <c r="S289" s="28">
        <f t="shared" si="55"/>
        <v>0.27700000000000019</v>
      </c>
      <c r="T289">
        <v>0.80205694753868217</v>
      </c>
      <c r="U289" s="28">
        <f t="shared" si="52"/>
        <v>0.66428218790926308</v>
      </c>
      <c r="AI289" s="28">
        <f t="shared" si="56"/>
        <v>0.27700000000000019</v>
      </c>
      <c r="AJ289">
        <v>0.3490401928769799</v>
      </c>
      <c r="AK289" s="28">
        <f t="shared" si="53"/>
        <v>0.16951579014025922</v>
      </c>
      <c r="AY289" s="28">
        <f t="shared" si="57"/>
        <v>0.27700000000000019</v>
      </c>
      <c r="AZ289">
        <v>0.9974364452040162</v>
      </c>
      <c r="BA289" s="28">
        <f t="shared" si="54"/>
        <v>0.9974364452040162</v>
      </c>
    </row>
    <row r="290" spans="19:53" x14ac:dyDescent="0.25">
      <c r="S290" s="28">
        <f t="shared" si="55"/>
        <v>0.27800000000000019</v>
      </c>
      <c r="T290">
        <v>0.31800286873989075</v>
      </c>
      <c r="U290" s="28">
        <f t="shared" si="52"/>
        <v>0.40659571599688921</v>
      </c>
      <c r="AI290" s="28">
        <f t="shared" si="56"/>
        <v>0.27800000000000019</v>
      </c>
      <c r="AJ290">
        <v>0.64870143742179631</v>
      </c>
      <c r="AK290" s="28">
        <f t="shared" si="53"/>
        <v>0.24991680026651297</v>
      </c>
      <c r="AY290" s="28">
        <f t="shared" si="57"/>
        <v>0.27800000000000019</v>
      </c>
      <c r="AZ290">
        <v>8.2094790490432445E-2</v>
      </c>
      <c r="BA290" s="28">
        <f t="shared" si="54"/>
        <v>8.2094790490432445E-2</v>
      </c>
    </row>
    <row r="291" spans="19:53" x14ac:dyDescent="0.25">
      <c r="S291" s="28">
        <f t="shared" si="55"/>
        <v>0.27900000000000019</v>
      </c>
      <c r="T291">
        <v>0.12292855616931669</v>
      </c>
      <c r="U291" s="28">
        <f t="shared" si="52"/>
        <v>0.28086120864073438</v>
      </c>
      <c r="AI291" s="28">
        <f t="shared" si="56"/>
        <v>0.27900000000000019</v>
      </c>
      <c r="AJ291">
        <v>0.17447431867427596</v>
      </c>
      <c r="AK291" s="28">
        <f t="shared" si="53"/>
        <v>0.12237149177925973</v>
      </c>
      <c r="AY291" s="28">
        <f t="shared" si="57"/>
        <v>0.27900000000000019</v>
      </c>
      <c r="AZ291">
        <v>0.48655659657582323</v>
      </c>
      <c r="BA291" s="28">
        <f t="shared" si="54"/>
        <v>0.48655659657582323</v>
      </c>
    </row>
    <row r="292" spans="19:53" x14ac:dyDescent="0.25">
      <c r="S292" s="28">
        <f t="shared" si="55"/>
        <v>0.28000000000000019</v>
      </c>
      <c r="T292">
        <v>0.4519180883205664</v>
      </c>
      <c r="U292" s="28">
        <f t="shared" si="52"/>
        <v>0.47595598663387989</v>
      </c>
      <c r="AI292" s="28">
        <f t="shared" si="56"/>
        <v>0.28000000000000019</v>
      </c>
      <c r="AJ292">
        <v>0.79116183965575126</v>
      </c>
      <c r="AK292" s="28">
        <f t="shared" si="53"/>
        <v>0.30077179839476531</v>
      </c>
      <c r="AY292" s="28">
        <f t="shared" si="57"/>
        <v>0.28000000000000019</v>
      </c>
      <c r="AZ292">
        <v>0.77373577074495681</v>
      </c>
      <c r="BA292" s="28">
        <f t="shared" si="54"/>
        <v>0.77373577074495681</v>
      </c>
    </row>
    <row r="293" spans="19:53" x14ac:dyDescent="0.25">
      <c r="S293" s="28">
        <f t="shared" si="55"/>
        <v>0.28100000000000019</v>
      </c>
      <c r="T293">
        <v>0.32703634754478589</v>
      </c>
      <c r="U293" s="28">
        <f t="shared" si="52"/>
        <v>0.41148289305187574</v>
      </c>
      <c r="AI293" s="28">
        <f t="shared" si="56"/>
        <v>0.28100000000000019</v>
      </c>
      <c r="AJ293">
        <v>0.45432905056917022</v>
      </c>
      <c r="AK293" s="28">
        <f t="shared" si="53"/>
        <v>0.19625506365796772</v>
      </c>
      <c r="AY293" s="28">
        <f t="shared" si="57"/>
        <v>0.28100000000000019</v>
      </c>
      <c r="AZ293">
        <v>0.48246711630603961</v>
      </c>
      <c r="BA293" s="28">
        <f t="shared" si="54"/>
        <v>0.48246711630603961</v>
      </c>
    </row>
    <row r="294" spans="19:53" x14ac:dyDescent="0.25">
      <c r="S294" s="28">
        <f t="shared" si="55"/>
        <v>0.28200000000000019</v>
      </c>
      <c r="T294">
        <v>0.33555101168858914</v>
      </c>
      <c r="U294" s="28">
        <f t="shared" si="52"/>
        <v>0.41605140458005502</v>
      </c>
      <c r="AI294" s="28">
        <f t="shared" si="56"/>
        <v>0.28200000000000019</v>
      </c>
      <c r="AJ294">
        <v>0.13959166234321116</v>
      </c>
      <c r="AK294" s="28">
        <f t="shared" si="53"/>
        <v>0.11139115377714429</v>
      </c>
      <c r="AY294" s="28">
        <f t="shared" si="57"/>
        <v>0.28200000000000019</v>
      </c>
      <c r="AZ294">
        <v>0.93014313180944241</v>
      </c>
      <c r="BA294" s="28">
        <f t="shared" si="54"/>
        <v>0.93014313180944241</v>
      </c>
    </row>
    <row r="295" spans="19:53" x14ac:dyDescent="0.25">
      <c r="S295" s="28">
        <f t="shared" si="55"/>
        <v>0.2830000000000002</v>
      </c>
      <c r="T295">
        <v>0.24762718588824123</v>
      </c>
      <c r="U295" s="28">
        <f t="shared" si="52"/>
        <v>0.36669622828142989</v>
      </c>
      <c r="AI295" s="28">
        <f t="shared" si="56"/>
        <v>0.2830000000000002</v>
      </c>
      <c r="AJ295">
        <v>0.91631824701681575</v>
      </c>
      <c r="AK295" s="28">
        <f t="shared" si="53"/>
        <v>0.3732967604615961</v>
      </c>
      <c r="AY295" s="28">
        <f t="shared" si="57"/>
        <v>0.2830000000000002</v>
      </c>
      <c r="AZ295">
        <v>0.51152073732718895</v>
      </c>
      <c r="BA295" s="28">
        <f t="shared" si="54"/>
        <v>0.51152073732718895</v>
      </c>
    </row>
    <row r="296" spans="19:53" x14ac:dyDescent="0.25">
      <c r="S296" s="28">
        <f t="shared" si="55"/>
        <v>0.2840000000000002</v>
      </c>
      <c r="T296">
        <v>0.68053224280526137</v>
      </c>
      <c r="U296" s="28">
        <f t="shared" si="52"/>
        <v>0.59260882243998492</v>
      </c>
      <c r="AI296" s="28">
        <f t="shared" si="56"/>
        <v>0.2840000000000002</v>
      </c>
      <c r="AJ296">
        <v>1.7670216986602375E-2</v>
      </c>
      <c r="AK296" s="28">
        <f t="shared" si="53"/>
        <v>5.2030998057281196E-2</v>
      </c>
      <c r="AY296" s="28">
        <f t="shared" si="57"/>
        <v>0.2840000000000002</v>
      </c>
      <c r="AZ296">
        <v>0.55626087221900078</v>
      </c>
      <c r="BA296" s="28">
        <f t="shared" si="54"/>
        <v>0.55626087221900078</v>
      </c>
    </row>
    <row r="297" spans="19:53" x14ac:dyDescent="0.25">
      <c r="S297" s="28">
        <f t="shared" si="55"/>
        <v>0.2850000000000002</v>
      </c>
      <c r="T297">
        <v>0.42878505813776058</v>
      </c>
      <c r="U297" s="28">
        <f t="shared" si="52"/>
        <v>0.46430888340656007</v>
      </c>
      <c r="AI297" s="28">
        <f t="shared" si="56"/>
        <v>0.2850000000000002</v>
      </c>
      <c r="AJ297">
        <v>0.13129062776573991</v>
      </c>
      <c r="AK297" s="28">
        <f t="shared" si="53"/>
        <v>0.10861890203325149</v>
      </c>
      <c r="AY297" s="28">
        <f t="shared" si="57"/>
        <v>0.2850000000000002</v>
      </c>
      <c r="AZ297">
        <v>0.86922818689535208</v>
      </c>
      <c r="BA297" s="28">
        <f t="shared" si="54"/>
        <v>0.86922818689535208</v>
      </c>
    </row>
    <row r="298" spans="19:53" x14ac:dyDescent="0.25">
      <c r="S298" s="28">
        <f t="shared" si="55"/>
        <v>0.2860000000000002</v>
      </c>
      <c r="T298">
        <v>0.88067262794885093</v>
      </c>
      <c r="U298" s="28">
        <f t="shared" si="52"/>
        <v>0.72215686346447705</v>
      </c>
      <c r="AI298" s="28">
        <f t="shared" si="56"/>
        <v>0.2860000000000002</v>
      </c>
      <c r="AJ298">
        <v>0.90002136295663315</v>
      </c>
      <c r="AK298" s="28">
        <f t="shared" si="53"/>
        <v>0.36039264038998775</v>
      </c>
      <c r="AY298" s="28">
        <f t="shared" si="57"/>
        <v>0.2860000000000002</v>
      </c>
      <c r="AZ298">
        <v>0.6471144749290445</v>
      </c>
      <c r="BA298" s="28">
        <f t="shared" si="54"/>
        <v>0.6471144749290445</v>
      </c>
    </row>
    <row r="299" spans="19:53" x14ac:dyDescent="0.25">
      <c r="S299" s="28">
        <f t="shared" si="55"/>
        <v>0.2870000000000002</v>
      </c>
      <c r="T299">
        <v>0.42280343028046508</v>
      </c>
      <c r="U299" s="28">
        <f t="shared" si="52"/>
        <v>0.46128325367062673</v>
      </c>
      <c r="AI299" s="28">
        <f t="shared" si="56"/>
        <v>0.2870000000000002</v>
      </c>
      <c r="AJ299">
        <v>0.67696157719656969</v>
      </c>
      <c r="AK299" s="28">
        <f t="shared" si="53"/>
        <v>0.25881629793818428</v>
      </c>
      <c r="AY299" s="28">
        <f t="shared" si="57"/>
        <v>0.2870000000000002</v>
      </c>
      <c r="AZ299">
        <v>0.48878444776757102</v>
      </c>
      <c r="BA299" s="28">
        <f t="shared" si="54"/>
        <v>0.48878444776757102</v>
      </c>
    </row>
    <row r="300" spans="19:53" x14ac:dyDescent="0.25">
      <c r="S300" s="28">
        <f t="shared" si="55"/>
        <v>0.2880000000000002</v>
      </c>
      <c r="T300">
        <v>0.63979003265480516</v>
      </c>
      <c r="U300" s="28">
        <f t="shared" si="52"/>
        <v>0.57090266445398696</v>
      </c>
      <c r="AI300" s="28">
        <f t="shared" si="56"/>
        <v>0.2880000000000002</v>
      </c>
      <c r="AJ300">
        <v>0.36225470748008665</v>
      </c>
      <c r="AK300" s="28">
        <f t="shared" si="53"/>
        <v>0.17286912498591833</v>
      </c>
      <c r="AY300" s="28">
        <f t="shared" si="57"/>
        <v>0.2880000000000002</v>
      </c>
      <c r="AZ300">
        <v>0.96050904873805965</v>
      </c>
      <c r="BA300" s="28">
        <f t="shared" si="54"/>
        <v>0.96050904873805965</v>
      </c>
    </row>
    <row r="301" spans="19:53" x14ac:dyDescent="0.25">
      <c r="S301" s="28">
        <f t="shared" si="55"/>
        <v>0.2890000000000002</v>
      </c>
      <c r="T301">
        <v>0.34882656331064793</v>
      </c>
      <c r="U301" s="28">
        <f t="shared" si="52"/>
        <v>0.42310691413930279</v>
      </c>
      <c r="AI301" s="28">
        <f t="shared" si="56"/>
        <v>0.2890000000000002</v>
      </c>
      <c r="AJ301">
        <v>0.9625232703634754</v>
      </c>
      <c r="AK301" s="28">
        <f t="shared" si="53"/>
        <v>0.42626729243362282</v>
      </c>
      <c r="AY301" s="28">
        <f t="shared" si="57"/>
        <v>0.2890000000000002</v>
      </c>
      <c r="AZ301">
        <v>0.48643452253791924</v>
      </c>
      <c r="BA301" s="28">
        <f t="shared" si="54"/>
        <v>0.48643452253791924</v>
      </c>
    </row>
    <row r="302" spans="19:53" x14ac:dyDescent="0.25">
      <c r="S302" s="28">
        <f t="shared" si="55"/>
        <v>0.2900000000000002</v>
      </c>
      <c r="T302">
        <v>0.97122104556413469</v>
      </c>
      <c r="U302" s="28">
        <f t="shared" si="52"/>
        <v>0.82955182712644726</v>
      </c>
      <c r="AI302" s="28">
        <f t="shared" si="56"/>
        <v>0.2900000000000002</v>
      </c>
      <c r="AJ302">
        <v>0.57948545793023465</v>
      </c>
      <c r="AK302" s="28">
        <f t="shared" si="53"/>
        <v>0.22961915081133699</v>
      </c>
      <c r="AY302" s="28">
        <f t="shared" si="57"/>
        <v>0.2900000000000002</v>
      </c>
      <c r="AZ302">
        <v>0.79201635792107916</v>
      </c>
      <c r="BA302" s="28">
        <f t="shared" si="54"/>
        <v>0.79201635792107916</v>
      </c>
    </row>
    <row r="303" spans="19:53" x14ac:dyDescent="0.25">
      <c r="S303" s="28">
        <f t="shared" si="55"/>
        <v>0.2910000000000002</v>
      </c>
      <c r="T303">
        <v>0.86669515060884428</v>
      </c>
      <c r="U303" s="28">
        <f t="shared" si="52"/>
        <v>0.71069511414970643</v>
      </c>
      <c r="AI303" s="28">
        <f t="shared" si="56"/>
        <v>0.2910000000000002</v>
      </c>
      <c r="AJ303">
        <v>0.81676686910611285</v>
      </c>
      <c r="AK303" s="28">
        <f t="shared" si="53"/>
        <v>0.31222619585441935</v>
      </c>
      <c r="AY303" s="28">
        <f t="shared" si="57"/>
        <v>0.2910000000000002</v>
      </c>
      <c r="AZ303">
        <v>0.60536515396588031</v>
      </c>
      <c r="BA303" s="28">
        <f t="shared" si="54"/>
        <v>0.60536515396588031</v>
      </c>
    </row>
    <row r="304" spans="19:53" x14ac:dyDescent="0.25">
      <c r="S304" s="28">
        <f t="shared" si="55"/>
        <v>0.2920000000000002</v>
      </c>
      <c r="T304">
        <v>0.35892818994720299</v>
      </c>
      <c r="U304" s="28">
        <f t="shared" si="52"/>
        <v>0.42842536940926546</v>
      </c>
      <c r="AI304" s="28">
        <f t="shared" si="56"/>
        <v>0.2920000000000002</v>
      </c>
      <c r="AJ304">
        <v>0.3163243507187109</v>
      </c>
      <c r="AK304" s="28">
        <f t="shared" si="53"/>
        <v>0.16116318786107794</v>
      </c>
      <c r="AY304" s="28">
        <f t="shared" si="57"/>
        <v>0.2920000000000002</v>
      </c>
      <c r="AZ304">
        <v>0.33399456770531327</v>
      </c>
      <c r="BA304" s="28">
        <f t="shared" si="54"/>
        <v>0.33399456770531327</v>
      </c>
    </row>
    <row r="305" spans="19:53" x14ac:dyDescent="0.25">
      <c r="S305" s="28">
        <f t="shared" si="55"/>
        <v>0.2930000000000002</v>
      </c>
      <c r="T305">
        <v>0.44724875637073885</v>
      </c>
      <c r="U305" s="28">
        <f t="shared" si="52"/>
        <v>0.47361107092799926</v>
      </c>
      <c r="AI305" s="28">
        <f t="shared" si="56"/>
        <v>0.2930000000000002</v>
      </c>
      <c r="AJ305">
        <v>0.25507370220038456</v>
      </c>
      <c r="AK305" s="28">
        <f t="shared" si="53"/>
        <v>0.14513539271890122</v>
      </c>
      <c r="AY305" s="28">
        <f t="shared" si="57"/>
        <v>0.2930000000000002</v>
      </c>
      <c r="AZ305">
        <v>6.5340128788109991E-2</v>
      </c>
      <c r="BA305" s="28">
        <f t="shared" si="54"/>
        <v>6.5340128788109977E-2</v>
      </c>
    </row>
    <row r="306" spans="19:53" x14ac:dyDescent="0.25">
      <c r="S306" s="28">
        <f t="shared" si="55"/>
        <v>0.29400000000000021</v>
      </c>
      <c r="T306">
        <v>0.68379772331919308</v>
      </c>
      <c r="U306" s="28">
        <f t="shared" si="52"/>
        <v>0.59438364858961046</v>
      </c>
      <c r="AI306" s="28">
        <f t="shared" si="56"/>
        <v>0.29400000000000021</v>
      </c>
      <c r="AJ306">
        <v>0.4111453596606342</v>
      </c>
      <c r="AK306" s="28">
        <f t="shared" si="53"/>
        <v>0.18525025290048544</v>
      </c>
      <c r="AY306" s="28">
        <f t="shared" si="57"/>
        <v>0.29400000000000021</v>
      </c>
      <c r="AZ306">
        <v>0.34946745200964385</v>
      </c>
      <c r="BA306" s="28">
        <f t="shared" si="54"/>
        <v>0.34946745200964385</v>
      </c>
    </row>
    <row r="307" spans="19:53" x14ac:dyDescent="0.25">
      <c r="S307" s="28">
        <f t="shared" si="55"/>
        <v>0.29500000000000021</v>
      </c>
      <c r="T307">
        <v>0.37919248023926511</v>
      </c>
      <c r="U307" s="28">
        <f t="shared" si="52"/>
        <v>0.43897954289356633</v>
      </c>
      <c r="AI307" s="28">
        <f t="shared" si="56"/>
        <v>0.29500000000000021</v>
      </c>
      <c r="AJ307">
        <v>0.67195654164250618</v>
      </c>
      <c r="AK307" s="28">
        <f t="shared" si="53"/>
        <v>0.25720866157584732</v>
      </c>
      <c r="AY307" s="28">
        <f t="shared" si="57"/>
        <v>0.29500000000000021</v>
      </c>
      <c r="AZ307">
        <v>0.87258522293771168</v>
      </c>
      <c r="BA307" s="28">
        <f t="shared" si="54"/>
        <v>0.87258522293771168</v>
      </c>
    </row>
    <row r="308" spans="19:53" x14ac:dyDescent="0.25">
      <c r="S308" s="28">
        <f t="shared" si="55"/>
        <v>0.29600000000000021</v>
      </c>
      <c r="T308">
        <v>0.84884182256538587</v>
      </c>
      <c r="U308" s="28">
        <f t="shared" si="52"/>
        <v>0.69692959461990378</v>
      </c>
      <c r="AI308" s="28">
        <f t="shared" si="56"/>
        <v>0.29600000000000021</v>
      </c>
      <c r="AJ308">
        <v>0.26441236610003965</v>
      </c>
      <c r="AK308" s="28">
        <f t="shared" si="53"/>
        <v>0.14762703117335524</v>
      </c>
      <c r="AY308" s="28">
        <f t="shared" si="57"/>
        <v>0.29600000000000021</v>
      </c>
      <c r="AZ308">
        <v>0.2468031861323893</v>
      </c>
      <c r="BA308" s="28">
        <f t="shared" si="54"/>
        <v>0.2468031861323893</v>
      </c>
    </row>
    <row r="309" spans="19:53" x14ac:dyDescent="0.25">
      <c r="S309" s="28">
        <f t="shared" si="55"/>
        <v>0.29700000000000021</v>
      </c>
      <c r="T309">
        <v>0.95947141941587577</v>
      </c>
      <c r="U309" s="28">
        <f t="shared" si="52"/>
        <v>0.80902261494304173</v>
      </c>
      <c r="AI309" s="28">
        <f t="shared" si="56"/>
        <v>0.29700000000000021</v>
      </c>
      <c r="AJ309">
        <v>0.17636646626178779</v>
      </c>
      <c r="AK309" s="28">
        <f t="shared" si="53"/>
        <v>0.12294154945538195</v>
      </c>
      <c r="AY309" s="28">
        <f t="shared" si="57"/>
        <v>0.29700000000000021</v>
      </c>
      <c r="AZ309">
        <v>0.58388012329477823</v>
      </c>
      <c r="BA309" s="28">
        <f t="shared" si="54"/>
        <v>0.58388012329477823</v>
      </c>
    </row>
    <row r="310" spans="19:53" x14ac:dyDescent="0.25">
      <c r="S310" s="28">
        <f t="shared" si="55"/>
        <v>0.29800000000000021</v>
      </c>
      <c r="T310">
        <v>7.93481246375927E-3</v>
      </c>
      <c r="U310" s="28">
        <f t="shared" si="52"/>
        <v>0.11257788657982462</v>
      </c>
      <c r="AI310" s="28">
        <f t="shared" si="56"/>
        <v>0.29800000000000021</v>
      </c>
      <c r="AJ310">
        <v>0.43067720572527241</v>
      </c>
      <c r="AK310" s="28">
        <f t="shared" si="53"/>
        <v>0.19021220044970844</v>
      </c>
      <c r="AY310" s="28">
        <f t="shared" si="57"/>
        <v>0.29800000000000021</v>
      </c>
      <c r="AZ310">
        <v>0.82183294167912835</v>
      </c>
      <c r="BA310" s="28">
        <f t="shared" si="54"/>
        <v>0.82183294167912835</v>
      </c>
    </row>
    <row r="311" spans="19:53" x14ac:dyDescent="0.25">
      <c r="S311" s="28">
        <f t="shared" si="55"/>
        <v>0.29900000000000021</v>
      </c>
      <c r="T311">
        <v>0.40455336161381877</v>
      </c>
      <c r="U311" s="28">
        <f t="shared" si="52"/>
        <v>0.45200726609803532</v>
      </c>
      <c r="AI311" s="28">
        <f t="shared" si="56"/>
        <v>0.29900000000000021</v>
      </c>
      <c r="AJ311">
        <v>2.2888882106997896E-2</v>
      </c>
      <c r="AK311" s="28">
        <f t="shared" si="53"/>
        <v>5.6847841026766578E-2</v>
      </c>
      <c r="AY311" s="28">
        <f t="shared" si="57"/>
        <v>0.29900000000000021</v>
      </c>
      <c r="AZ311">
        <v>0.97531052583391831</v>
      </c>
      <c r="BA311" s="28">
        <f t="shared" si="54"/>
        <v>0.97531052583391831</v>
      </c>
    </row>
    <row r="312" spans="19:53" x14ac:dyDescent="0.25">
      <c r="S312" s="28">
        <f t="shared" si="55"/>
        <v>0.30000000000000021</v>
      </c>
      <c r="T312">
        <v>3.9155247657704395E-2</v>
      </c>
      <c r="U312" s="28">
        <f t="shared" si="52"/>
        <v>0.18878652537804277</v>
      </c>
      <c r="AI312" s="28">
        <f t="shared" si="56"/>
        <v>0.30000000000000021</v>
      </c>
      <c r="AJ312">
        <v>0.70381786553544723</v>
      </c>
      <c r="AK312" s="28">
        <f t="shared" si="53"/>
        <v>0.2677050624825108</v>
      </c>
      <c r="AY312" s="28">
        <f t="shared" si="57"/>
        <v>0.30000000000000021</v>
      </c>
      <c r="AZ312">
        <v>0.56871242408520772</v>
      </c>
      <c r="BA312" s="28">
        <f t="shared" si="54"/>
        <v>0.56871242408520772</v>
      </c>
    </row>
    <row r="313" spans="19:53" x14ac:dyDescent="0.25">
      <c r="S313" s="28">
        <f t="shared" si="55"/>
        <v>0.30100000000000021</v>
      </c>
      <c r="T313">
        <v>0.80993072298348945</v>
      </c>
      <c r="U313" s="28">
        <f t="shared" si="52"/>
        <v>0.66949591343156589</v>
      </c>
      <c r="AI313" s="28">
        <f t="shared" si="56"/>
        <v>0.30100000000000021</v>
      </c>
      <c r="AJ313">
        <v>0.21930600909451584</v>
      </c>
      <c r="AK313" s="28">
        <f t="shared" si="53"/>
        <v>0.1353594758617849</v>
      </c>
      <c r="AY313" s="28">
        <f t="shared" si="57"/>
        <v>0.30100000000000021</v>
      </c>
      <c r="AZ313">
        <v>0.15976439710684531</v>
      </c>
      <c r="BA313" s="28">
        <f t="shared" si="54"/>
        <v>0.15976439710684531</v>
      </c>
    </row>
    <row r="314" spans="19:53" x14ac:dyDescent="0.25">
      <c r="S314" s="28">
        <f t="shared" si="55"/>
        <v>0.30200000000000021</v>
      </c>
      <c r="T314">
        <v>0.53013702810754726</v>
      </c>
      <c r="U314" s="28">
        <f t="shared" si="52"/>
        <v>0.51505354183535734</v>
      </c>
      <c r="AI314" s="28">
        <f t="shared" si="56"/>
        <v>0.30200000000000021</v>
      </c>
      <c r="AJ314">
        <v>0.70473342081972712</v>
      </c>
      <c r="AK314" s="28">
        <f t="shared" si="53"/>
        <v>0.26801650123431286</v>
      </c>
      <c r="AY314" s="28">
        <f t="shared" si="57"/>
        <v>0.30200000000000021</v>
      </c>
      <c r="AZ314">
        <v>0.17453535569322795</v>
      </c>
      <c r="BA314" s="28">
        <f t="shared" si="54"/>
        <v>0.17453535569322795</v>
      </c>
    </row>
    <row r="315" spans="19:53" x14ac:dyDescent="0.25">
      <c r="S315" s="28">
        <f t="shared" si="55"/>
        <v>0.30300000000000021</v>
      </c>
      <c r="T315">
        <v>0.60359508041627252</v>
      </c>
      <c r="U315" s="28">
        <f t="shared" si="52"/>
        <v>0.55215931592476475</v>
      </c>
      <c r="AI315" s="28">
        <f t="shared" si="56"/>
        <v>0.30300000000000021</v>
      </c>
      <c r="AJ315">
        <v>0.53318887905514689</v>
      </c>
      <c r="AK315" s="28">
        <f t="shared" si="53"/>
        <v>0.21690903149147722</v>
      </c>
      <c r="AY315" s="28">
        <f t="shared" si="57"/>
        <v>0.30300000000000021</v>
      </c>
      <c r="AZ315">
        <v>0.56059450056459248</v>
      </c>
      <c r="BA315" s="28">
        <f t="shared" si="54"/>
        <v>0.56059450056459248</v>
      </c>
    </row>
    <row r="316" spans="19:53" x14ac:dyDescent="0.25">
      <c r="S316" s="28">
        <f t="shared" si="55"/>
        <v>0.30400000000000021</v>
      </c>
      <c r="T316">
        <v>0.18616290780358288</v>
      </c>
      <c r="U316" s="28">
        <f t="shared" si="52"/>
        <v>0.32788022005108369</v>
      </c>
      <c r="AI316" s="28">
        <f t="shared" si="56"/>
        <v>0.30400000000000021</v>
      </c>
      <c r="AJ316">
        <v>0.55244605853450113</v>
      </c>
      <c r="AK316" s="28">
        <f t="shared" si="53"/>
        <v>0.22212893048302385</v>
      </c>
      <c r="AY316" s="28">
        <f t="shared" si="57"/>
        <v>0.30400000000000021</v>
      </c>
      <c r="AZ316">
        <v>0.22803430280465103</v>
      </c>
      <c r="BA316" s="28">
        <f t="shared" si="54"/>
        <v>0.22803430280465106</v>
      </c>
    </row>
    <row r="317" spans="19:53" x14ac:dyDescent="0.25">
      <c r="S317" s="28">
        <f t="shared" si="55"/>
        <v>0.30500000000000022</v>
      </c>
      <c r="T317">
        <v>1.3550218207342753E-2</v>
      </c>
      <c r="U317" s="28">
        <f t="shared" si="52"/>
        <v>0.1334657322454455</v>
      </c>
      <c r="AI317" s="28">
        <f t="shared" si="56"/>
        <v>0.30500000000000022</v>
      </c>
      <c r="AJ317">
        <v>0.40409558397167883</v>
      </c>
      <c r="AK317" s="28">
        <f t="shared" si="53"/>
        <v>0.18346337862557813</v>
      </c>
      <c r="AY317" s="28">
        <f t="shared" si="57"/>
        <v>0.30500000000000022</v>
      </c>
      <c r="AZ317">
        <v>0.89901425214392527</v>
      </c>
      <c r="BA317" s="28">
        <f t="shared" si="54"/>
        <v>0.89901425214392527</v>
      </c>
    </row>
    <row r="318" spans="19:53" x14ac:dyDescent="0.25">
      <c r="S318" s="28">
        <f t="shared" si="55"/>
        <v>0.30600000000000022</v>
      </c>
      <c r="T318">
        <v>0.35450300607318341</v>
      </c>
      <c r="U318" s="28">
        <f t="shared" si="52"/>
        <v>0.42610058128536221</v>
      </c>
      <c r="AI318" s="28">
        <f t="shared" si="56"/>
        <v>0.30600000000000022</v>
      </c>
      <c r="AJ318">
        <v>0.35084078493606374</v>
      </c>
      <c r="AK318" s="28">
        <f t="shared" si="53"/>
        <v>0.16997320363164531</v>
      </c>
      <c r="AY318" s="28">
        <f t="shared" si="57"/>
        <v>0.30600000000000022</v>
      </c>
      <c r="AZ318">
        <v>0.91644032105471973</v>
      </c>
      <c r="BA318" s="28">
        <f t="shared" si="54"/>
        <v>0.91644032105471973</v>
      </c>
    </row>
    <row r="319" spans="19:53" x14ac:dyDescent="0.25">
      <c r="S319" s="28">
        <f t="shared" si="55"/>
        <v>0.30700000000000022</v>
      </c>
      <c r="T319">
        <v>0.71721549119541006</v>
      </c>
      <c r="U319" s="28">
        <f t="shared" si="52"/>
        <v>0.61291690247854813</v>
      </c>
      <c r="AI319" s="28">
        <f t="shared" si="56"/>
        <v>0.30700000000000022</v>
      </c>
      <c r="AJ319">
        <v>0.81569872127445298</v>
      </c>
      <c r="AK319" s="28">
        <f t="shared" si="53"/>
        <v>0.31172639959391302</v>
      </c>
      <c r="AY319" s="28">
        <f t="shared" si="57"/>
        <v>0.30700000000000022</v>
      </c>
      <c r="AZ319">
        <v>0.12216559343241676</v>
      </c>
      <c r="BA319" s="28">
        <f t="shared" si="54"/>
        <v>0.12216559343241676</v>
      </c>
    </row>
    <row r="320" spans="19:53" x14ac:dyDescent="0.25">
      <c r="S320" s="28">
        <f t="shared" si="55"/>
        <v>0.30800000000000022</v>
      </c>
      <c r="T320">
        <v>0.40745262001403854</v>
      </c>
      <c r="U320" s="28">
        <f t="shared" si="52"/>
        <v>0.45348581047678715</v>
      </c>
      <c r="AI320" s="28">
        <f t="shared" si="56"/>
        <v>0.30800000000000022</v>
      </c>
      <c r="AJ320">
        <v>0.575670644245735</v>
      </c>
      <c r="AK320" s="28">
        <f t="shared" si="53"/>
        <v>0.22854983199527801</v>
      </c>
      <c r="AY320" s="28">
        <f t="shared" si="57"/>
        <v>0.30800000000000022</v>
      </c>
      <c r="AZ320">
        <v>0.18362987151707511</v>
      </c>
      <c r="BA320" s="28">
        <f t="shared" si="54"/>
        <v>0.18362987151707511</v>
      </c>
    </row>
    <row r="321" spans="19:53" x14ac:dyDescent="0.25">
      <c r="S321" s="28">
        <f t="shared" si="55"/>
        <v>0.30900000000000022</v>
      </c>
      <c r="T321">
        <v>0.69646290475173189</v>
      </c>
      <c r="U321" s="28">
        <f t="shared" si="52"/>
        <v>0.60132481341180855</v>
      </c>
      <c r="AI321" s="28">
        <f t="shared" si="56"/>
        <v>0.30900000000000022</v>
      </c>
      <c r="AJ321">
        <v>0.12268440809350871</v>
      </c>
      <c r="AK321" s="28">
        <f t="shared" si="53"/>
        <v>0.10566377309156193</v>
      </c>
      <c r="AY321" s="28">
        <f t="shared" si="57"/>
        <v>0.30900000000000022</v>
      </c>
      <c r="AZ321">
        <v>0.10531937620166631</v>
      </c>
      <c r="BA321" s="28">
        <f t="shared" si="54"/>
        <v>0.10531937620166633</v>
      </c>
    </row>
    <row r="322" spans="19:53" x14ac:dyDescent="0.25">
      <c r="S322" s="28">
        <f t="shared" si="55"/>
        <v>0.31000000000000022</v>
      </c>
      <c r="T322">
        <v>0.16583758049256875</v>
      </c>
      <c r="U322" s="28">
        <f t="shared" si="52"/>
        <v>0.31378374675241916</v>
      </c>
      <c r="AI322" s="28">
        <f t="shared" si="56"/>
        <v>0.31000000000000022</v>
      </c>
      <c r="AJ322">
        <v>0.62913907284768211</v>
      </c>
      <c r="AK322" s="28">
        <f t="shared" si="53"/>
        <v>0.24398669827917019</v>
      </c>
      <c r="AY322" s="28">
        <f t="shared" si="57"/>
        <v>0.31000000000000022</v>
      </c>
      <c r="AZ322">
        <v>9.5736564226203191E-2</v>
      </c>
      <c r="BA322" s="28">
        <f t="shared" si="54"/>
        <v>9.5736564226203177E-2</v>
      </c>
    </row>
    <row r="323" spans="19:53" x14ac:dyDescent="0.25">
      <c r="S323" s="28">
        <f t="shared" si="55"/>
        <v>0.31100000000000022</v>
      </c>
      <c r="T323">
        <v>2.0142216254158147E-3</v>
      </c>
      <c r="U323" s="28">
        <f t="shared" si="52"/>
        <v>7.3457602052811516E-2</v>
      </c>
      <c r="AI323" s="28">
        <f t="shared" si="56"/>
        <v>0.31100000000000022</v>
      </c>
      <c r="AJ323">
        <v>0.28183843501083405</v>
      </c>
      <c r="AK323" s="28">
        <f t="shared" si="53"/>
        <v>0.15222374349110535</v>
      </c>
      <c r="AY323" s="28">
        <f t="shared" si="57"/>
        <v>0.31100000000000022</v>
      </c>
      <c r="AZ323">
        <v>0.13672292245246742</v>
      </c>
      <c r="BA323" s="28">
        <f t="shared" si="54"/>
        <v>0.13672292245246742</v>
      </c>
    </row>
    <row r="324" spans="19:53" x14ac:dyDescent="0.25">
      <c r="S324" s="28">
        <f t="shared" si="55"/>
        <v>0.31200000000000022</v>
      </c>
      <c r="T324">
        <v>0.50010681478316599</v>
      </c>
      <c r="U324" s="28">
        <f t="shared" si="52"/>
        <v>0.50005331577018808</v>
      </c>
      <c r="AI324" s="28">
        <f t="shared" si="56"/>
        <v>0.31200000000000022</v>
      </c>
      <c r="AJ324">
        <v>0.46348460341196934</v>
      </c>
      <c r="AK324" s="28">
        <f t="shared" si="53"/>
        <v>0.19860798879633373</v>
      </c>
      <c r="AY324" s="28">
        <f t="shared" si="57"/>
        <v>0.31200000000000022</v>
      </c>
      <c r="AZ324">
        <v>0.64067506942960906</v>
      </c>
      <c r="BA324" s="28">
        <f t="shared" si="54"/>
        <v>0.64067506942960906</v>
      </c>
    </row>
    <row r="325" spans="19:53" x14ac:dyDescent="0.25">
      <c r="S325" s="28">
        <f t="shared" si="55"/>
        <v>0.31300000000000022</v>
      </c>
      <c r="T325">
        <v>0.26676229132969148</v>
      </c>
      <c r="U325" s="28">
        <f t="shared" si="52"/>
        <v>0.37792089927189265</v>
      </c>
      <c r="AI325" s="28">
        <f t="shared" si="56"/>
        <v>0.31300000000000022</v>
      </c>
      <c r="AJ325">
        <v>3.1983397930845057E-2</v>
      </c>
      <c r="AK325" s="28">
        <f t="shared" si="53"/>
        <v>6.3873728018273082E-2</v>
      </c>
      <c r="AY325" s="28">
        <f t="shared" si="57"/>
        <v>0.31300000000000022</v>
      </c>
      <c r="AZ325">
        <v>0.75737784966582233</v>
      </c>
      <c r="BA325" s="28">
        <f t="shared" si="54"/>
        <v>0.75737784966582233</v>
      </c>
    </row>
    <row r="326" spans="19:53" x14ac:dyDescent="0.25">
      <c r="S326" s="28">
        <f t="shared" si="55"/>
        <v>0.31400000000000022</v>
      </c>
      <c r="T326">
        <v>0.84160893581957452</v>
      </c>
      <c r="U326" s="28">
        <f t="shared" si="52"/>
        <v>0.69158922160851077</v>
      </c>
      <c r="AI326" s="28">
        <f t="shared" si="56"/>
        <v>0.31400000000000022</v>
      </c>
      <c r="AJ326">
        <v>0.88793603320413828</v>
      </c>
      <c r="AK326" s="28">
        <f t="shared" si="53"/>
        <v>0.3518495912936167</v>
      </c>
      <c r="AY326" s="28">
        <f t="shared" si="57"/>
        <v>0.31400000000000022</v>
      </c>
      <c r="AZ326">
        <v>0.49378948332163458</v>
      </c>
      <c r="BA326" s="28">
        <f t="shared" si="54"/>
        <v>0.49378948332163458</v>
      </c>
    </row>
    <row r="327" spans="19:53" x14ac:dyDescent="0.25">
      <c r="S327" s="28">
        <f t="shared" si="55"/>
        <v>0.31500000000000022</v>
      </c>
      <c r="T327">
        <v>1.9531846064638203E-2</v>
      </c>
      <c r="U327" s="28">
        <f t="shared" si="52"/>
        <v>0.15016404257334434</v>
      </c>
      <c r="AI327" s="28">
        <f t="shared" si="56"/>
        <v>0.31500000000000022</v>
      </c>
      <c r="AJ327">
        <v>0.4302804651020844</v>
      </c>
      <c r="AK327" s="28">
        <f t="shared" si="53"/>
        <v>0.19011119895828463</v>
      </c>
      <c r="AY327" s="28">
        <f t="shared" si="57"/>
        <v>0.31500000000000022</v>
      </c>
      <c r="AZ327">
        <v>0.60847804193243205</v>
      </c>
      <c r="BA327" s="28">
        <f t="shared" si="54"/>
        <v>0.60847804193243205</v>
      </c>
    </row>
    <row r="328" spans="19:53" x14ac:dyDescent="0.25">
      <c r="S328" s="28">
        <f t="shared" si="55"/>
        <v>0.31600000000000023</v>
      </c>
      <c r="T328">
        <v>0.69798883022553182</v>
      </c>
      <c r="U328" s="28">
        <f t="shared" si="52"/>
        <v>0.60216756950933958</v>
      </c>
      <c r="AI328" s="28">
        <f t="shared" si="56"/>
        <v>0.31600000000000023</v>
      </c>
      <c r="AJ328">
        <v>0.58964812158574176</v>
      </c>
      <c r="AK328" s="28">
        <f t="shared" si="53"/>
        <v>0.23248975610662859</v>
      </c>
      <c r="AY328" s="28">
        <f t="shared" si="57"/>
        <v>0.31600000000000023</v>
      </c>
      <c r="AZ328">
        <v>4.2085024567400126E-2</v>
      </c>
      <c r="BA328" s="28">
        <f t="shared" si="54"/>
        <v>4.2085024567400126E-2</v>
      </c>
    </row>
    <row r="329" spans="19:53" x14ac:dyDescent="0.25">
      <c r="S329" s="28">
        <f t="shared" si="55"/>
        <v>0.31700000000000023</v>
      </c>
      <c r="T329">
        <v>0.76757103183080533</v>
      </c>
      <c r="U329" s="28">
        <f t="shared" si="52"/>
        <v>0.64247087780371692</v>
      </c>
      <c r="AI329" s="28">
        <f t="shared" si="56"/>
        <v>0.31700000000000023</v>
      </c>
      <c r="AJ329">
        <v>0.90203558458204902</v>
      </c>
      <c r="AK329" s="28">
        <f t="shared" si="53"/>
        <v>0.36189369644686775</v>
      </c>
      <c r="AY329" s="28">
        <f t="shared" si="57"/>
        <v>0.31700000000000023</v>
      </c>
      <c r="AZ329">
        <v>0.65974913785210731</v>
      </c>
      <c r="BA329" s="28">
        <f t="shared" si="54"/>
        <v>0.65974913785210731</v>
      </c>
    </row>
    <row r="330" spans="19:53" x14ac:dyDescent="0.25">
      <c r="S330" s="28">
        <f t="shared" si="55"/>
        <v>0.31800000000000023</v>
      </c>
      <c r="T330">
        <v>0.51887569811090428</v>
      </c>
      <c r="U330" s="28">
        <f t="shared" si="52"/>
        <v>0.50942432805307658</v>
      </c>
      <c r="AI330" s="28">
        <f t="shared" si="56"/>
        <v>0.31800000000000023</v>
      </c>
      <c r="AJ330">
        <v>0.6437269203772088</v>
      </c>
      <c r="AK330" s="28">
        <f t="shared" si="53"/>
        <v>0.24839226186551333</v>
      </c>
      <c r="AY330" s="28">
        <f t="shared" si="57"/>
        <v>0.31800000000000023</v>
      </c>
      <c r="AZ330">
        <v>0.79692983794671468</v>
      </c>
      <c r="BA330" s="28">
        <f t="shared" si="54"/>
        <v>0.79692983794671468</v>
      </c>
    </row>
    <row r="331" spans="19:53" x14ac:dyDescent="0.25">
      <c r="S331" s="28">
        <f t="shared" si="55"/>
        <v>0.31900000000000023</v>
      </c>
      <c r="T331">
        <v>6.0151982177190463E-2</v>
      </c>
      <c r="U331" s="28">
        <f t="shared" si="52"/>
        <v>0.21831294435335563</v>
      </c>
      <c r="AI331" s="28">
        <f t="shared" si="56"/>
        <v>0.31900000000000023</v>
      </c>
      <c r="AJ331">
        <v>0.7312845240638447</v>
      </c>
      <c r="AK331" s="28">
        <f t="shared" si="53"/>
        <v>0.27732293072646386</v>
      </c>
      <c r="AY331" s="28">
        <f t="shared" si="57"/>
        <v>0.31900000000000023</v>
      </c>
      <c r="AZ331">
        <v>0.67821283608508565</v>
      </c>
      <c r="BA331" s="28">
        <f t="shared" si="54"/>
        <v>0.67821283608508565</v>
      </c>
    </row>
    <row r="332" spans="19:53" x14ac:dyDescent="0.25">
      <c r="S332" s="28">
        <f t="shared" si="55"/>
        <v>0.32000000000000023</v>
      </c>
      <c r="T332">
        <v>0.52494888149662766</v>
      </c>
      <c r="U332" s="28">
        <f t="shared" si="52"/>
        <v>0.51245920879920459</v>
      </c>
      <c r="AI332" s="28">
        <f t="shared" si="56"/>
        <v>0.32000000000000023</v>
      </c>
      <c r="AJ332">
        <v>0.98327585680715357</v>
      </c>
      <c r="AK332" s="28">
        <f t="shared" si="53"/>
        <v>0.47265023104777004</v>
      </c>
      <c r="AY332" s="28">
        <f t="shared" si="57"/>
        <v>0.32000000000000023</v>
      </c>
      <c r="AZ332">
        <v>0.86645100253303631</v>
      </c>
      <c r="BA332" s="28">
        <f t="shared" si="54"/>
        <v>0.86645100253303631</v>
      </c>
    </row>
    <row r="333" spans="19:53" x14ac:dyDescent="0.25">
      <c r="S333" s="28">
        <f t="shared" si="55"/>
        <v>0.32100000000000023</v>
      </c>
      <c r="T333">
        <v>0.9421979430524613</v>
      </c>
      <c r="U333" s="28">
        <f t="shared" ref="U333:U396" si="58">_xlfn.BETA.INV(T333,$V$5,$V$6,0,1)</f>
        <v>0.78464599005336</v>
      </c>
      <c r="AI333" s="28">
        <f t="shared" si="56"/>
        <v>0.32100000000000023</v>
      </c>
      <c r="AJ333">
        <v>0.82555619983520001</v>
      </c>
      <c r="AK333" s="28">
        <f t="shared" ref="AK333:AK396" si="59">_xlfn.BETA.INV(AJ333,$AL$5,$AL$6,0,1)</f>
        <v>0.31642036821415997</v>
      </c>
      <c r="AY333" s="28">
        <f t="shared" si="57"/>
        <v>0.32100000000000023</v>
      </c>
      <c r="AZ333">
        <v>0.17404705954161198</v>
      </c>
      <c r="BA333" s="28">
        <f t="shared" ref="BA333:BA396" si="60">_xlfn.BETA.INV(AZ333,$BB$5,$BB$6,0,1)</f>
        <v>0.17404705954161198</v>
      </c>
    </row>
    <row r="334" spans="19:53" x14ac:dyDescent="0.25">
      <c r="S334" s="28">
        <f t="shared" si="55"/>
        <v>0.32200000000000023</v>
      </c>
      <c r="T334">
        <v>0.52272103030487993</v>
      </c>
      <c r="U334" s="28">
        <f t="shared" si="58"/>
        <v>0.51134568393620228</v>
      </c>
      <c r="AI334" s="28">
        <f t="shared" si="56"/>
        <v>0.32200000000000023</v>
      </c>
      <c r="AJ334">
        <v>0.57771538438062686</v>
      </c>
      <c r="AK334" s="28">
        <f t="shared" si="59"/>
        <v>0.22912244289529504</v>
      </c>
      <c r="AY334" s="28">
        <f t="shared" si="57"/>
        <v>0.32200000000000023</v>
      </c>
      <c r="AZ334">
        <v>2.8168584246345409E-2</v>
      </c>
      <c r="BA334" s="28">
        <f t="shared" si="60"/>
        <v>2.8168584246345406E-2</v>
      </c>
    </row>
    <row r="335" spans="19:53" x14ac:dyDescent="0.25">
      <c r="S335" s="28">
        <f t="shared" ref="S335:S398" si="61">S334+0.001</f>
        <v>0.32300000000000023</v>
      </c>
      <c r="T335">
        <v>0.98312326425977359</v>
      </c>
      <c r="U335" s="28">
        <f t="shared" si="58"/>
        <v>0.8567705411928499</v>
      </c>
      <c r="AI335" s="28">
        <f t="shared" ref="AI335:AI398" si="62">AI334+0.001</f>
        <v>0.32300000000000023</v>
      </c>
      <c r="AJ335">
        <v>0.76308481093783376</v>
      </c>
      <c r="AK335" s="28">
        <f t="shared" si="59"/>
        <v>0.2892827988458212</v>
      </c>
      <c r="AY335" s="28">
        <f t="shared" ref="AY335:AY398" si="63">AY334+0.001</f>
        <v>0.32300000000000023</v>
      </c>
      <c r="AZ335">
        <v>0.45289468062379834</v>
      </c>
      <c r="BA335" s="28">
        <f t="shared" si="60"/>
        <v>0.45289468062379834</v>
      </c>
    </row>
    <row r="336" spans="19:53" x14ac:dyDescent="0.25">
      <c r="S336" s="28">
        <f t="shared" si="61"/>
        <v>0.32400000000000023</v>
      </c>
      <c r="T336">
        <v>0.39991454817346722</v>
      </c>
      <c r="U336" s="28">
        <f t="shared" si="58"/>
        <v>0.4496373444294316</v>
      </c>
      <c r="AI336" s="28">
        <f t="shared" si="62"/>
        <v>0.32400000000000023</v>
      </c>
      <c r="AJ336">
        <v>0.54484694967497782</v>
      </c>
      <c r="AK336" s="28">
        <f t="shared" si="59"/>
        <v>0.22005864923948382</v>
      </c>
      <c r="AY336" s="28">
        <f t="shared" si="63"/>
        <v>0.32400000000000023</v>
      </c>
      <c r="AZ336">
        <v>0.76390881069368577</v>
      </c>
      <c r="BA336" s="28">
        <f t="shared" si="60"/>
        <v>0.76390881069368577</v>
      </c>
    </row>
    <row r="337" spans="19:53" x14ac:dyDescent="0.25">
      <c r="S337" s="28">
        <f t="shared" si="61"/>
        <v>0.32500000000000023</v>
      </c>
      <c r="T337">
        <v>4.4038209173863946E-2</v>
      </c>
      <c r="U337" s="28">
        <f t="shared" si="58"/>
        <v>0.196377530744475</v>
      </c>
      <c r="AI337" s="28">
        <f t="shared" si="62"/>
        <v>0.32500000000000023</v>
      </c>
      <c r="AJ337">
        <v>0.69527268288216804</v>
      </c>
      <c r="AK337" s="28">
        <f t="shared" si="59"/>
        <v>0.2648261966115496</v>
      </c>
      <c r="AY337" s="28">
        <f t="shared" si="63"/>
        <v>0.32500000000000023</v>
      </c>
      <c r="AZ337">
        <v>0.93633838923306989</v>
      </c>
      <c r="BA337" s="28">
        <f t="shared" si="60"/>
        <v>0.93633838923306989</v>
      </c>
    </row>
    <row r="338" spans="19:53" x14ac:dyDescent="0.25">
      <c r="S338" s="28">
        <f t="shared" si="61"/>
        <v>0.32600000000000023</v>
      </c>
      <c r="T338">
        <v>6.2135685293130287E-2</v>
      </c>
      <c r="U338" s="28">
        <f t="shared" si="58"/>
        <v>0.22075795930862618</v>
      </c>
      <c r="AI338" s="28">
        <f t="shared" si="62"/>
        <v>0.32600000000000023</v>
      </c>
      <c r="AJ338">
        <v>0.72899563585314497</v>
      </c>
      <c r="AK338" s="28">
        <f t="shared" si="59"/>
        <v>0.27649840308524831</v>
      </c>
      <c r="AY338" s="28">
        <f t="shared" si="63"/>
        <v>0.32600000000000023</v>
      </c>
      <c r="AZ338">
        <v>2.0203253273110143E-2</v>
      </c>
      <c r="BA338" s="28">
        <f t="shared" si="60"/>
        <v>2.020325327311014E-2</v>
      </c>
    </row>
    <row r="339" spans="19:53" x14ac:dyDescent="0.25">
      <c r="S339" s="28">
        <f t="shared" si="61"/>
        <v>0.32700000000000023</v>
      </c>
      <c r="T339">
        <v>0.75362407300027467</v>
      </c>
      <c r="U339" s="28">
        <f t="shared" si="58"/>
        <v>0.63404958742268802</v>
      </c>
      <c r="AI339" s="28">
        <f t="shared" si="62"/>
        <v>0.32700000000000023</v>
      </c>
      <c r="AJ339">
        <v>0.75646229438154244</v>
      </c>
      <c r="AK339" s="28">
        <f t="shared" si="59"/>
        <v>0.28670872156150806</v>
      </c>
      <c r="AY339" s="28">
        <f t="shared" si="63"/>
        <v>0.32700000000000023</v>
      </c>
      <c r="AZ339">
        <v>0.7125156407361064</v>
      </c>
      <c r="BA339" s="28">
        <f t="shared" si="60"/>
        <v>0.7125156407361064</v>
      </c>
    </row>
    <row r="340" spans="19:53" x14ac:dyDescent="0.25">
      <c r="S340" s="28">
        <f t="shared" si="61"/>
        <v>0.32800000000000024</v>
      </c>
      <c r="T340">
        <v>0.15027314065981018</v>
      </c>
      <c r="U340" s="28">
        <f t="shared" si="58"/>
        <v>0.30240821372843829</v>
      </c>
      <c r="AI340" s="28">
        <f t="shared" si="62"/>
        <v>0.32800000000000024</v>
      </c>
      <c r="AJ340">
        <v>3.7598803674428541E-2</v>
      </c>
      <c r="AK340" s="28">
        <f t="shared" si="59"/>
        <v>6.7640183143335766E-2</v>
      </c>
      <c r="AY340" s="28">
        <f t="shared" si="63"/>
        <v>0.32800000000000024</v>
      </c>
      <c r="AZ340">
        <v>6.1067537461470381E-2</v>
      </c>
      <c r="BA340" s="28">
        <f t="shared" si="60"/>
        <v>6.1067537461470374E-2</v>
      </c>
    </row>
    <row r="341" spans="19:53" x14ac:dyDescent="0.25">
      <c r="S341" s="28">
        <f t="shared" si="61"/>
        <v>0.32900000000000024</v>
      </c>
      <c r="T341">
        <v>0.92165898617511521</v>
      </c>
      <c r="U341" s="28">
        <f t="shared" si="58"/>
        <v>0.76078657067833566</v>
      </c>
      <c r="AI341" s="28">
        <f t="shared" si="62"/>
        <v>0.32900000000000024</v>
      </c>
      <c r="AJ341">
        <v>0.35486922818689537</v>
      </c>
      <c r="AK341" s="28">
        <f t="shared" si="59"/>
        <v>0.17099595977530657</v>
      </c>
      <c r="AY341" s="28">
        <f t="shared" si="63"/>
        <v>0.32900000000000024</v>
      </c>
      <c r="AZ341">
        <v>0.46699423200170903</v>
      </c>
      <c r="BA341" s="28">
        <f t="shared" si="60"/>
        <v>0.46699423200170903</v>
      </c>
    </row>
    <row r="342" spans="19:53" x14ac:dyDescent="0.25">
      <c r="S342" s="28">
        <f t="shared" si="61"/>
        <v>0.33000000000000024</v>
      </c>
      <c r="T342">
        <v>9.985656300546282E-2</v>
      </c>
      <c r="U342" s="28">
        <f t="shared" si="58"/>
        <v>0.26060167197766243</v>
      </c>
      <c r="AI342" s="28">
        <f t="shared" si="62"/>
        <v>0.33000000000000024</v>
      </c>
      <c r="AJ342">
        <v>0.66664632099368271</v>
      </c>
      <c r="AK342" s="28">
        <f t="shared" si="59"/>
        <v>0.25551841272126707</v>
      </c>
      <c r="AY342" s="28">
        <f t="shared" si="63"/>
        <v>0.33000000000000024</v>
      </c>
      <c r="AZ342">
        <v>0.21024201178014465</v>
      </c>
      <c r="BA342" s="28">
        <f t="shared" si="60"/>
        <v>0.21024201178014468</v>
      </c>
    </row>
    <row r="343" spans="19:53" x14ac:dyDescent="0.25">
      <c r="S343" s="28">
        <f t="shared" si="61"/>
        <v>0.33100000000000024</v>
      </c>
      <c r="T343">
        <v>0.4587847529526658</v>
      </c>
      <c r="U343" s="28">
        <f t="shared" si="58"/>
        <v>0.47939986119949102</v>
      </c>
      <c r="AI343" s="28">
        <f t="shared" si="62"/>
        <v>0.33100000000000024</v>
      </c>
      <c r="AJ343">
        <v>0.20377208777123326</v>
      </c>
      <c r="AK343" s="28">
        <f t="shared" si="59"/>
        <v>0.13096973685935578</v>
      </c>
      <c r="AY343" s="28">
        <f t="shared" si="63"/>
        <v>0.33100000000000024</v>
      </c>
      <c r="AZ343">
        <v>0.64976958525345618</v>
      </c>
      <c r="BA343" s="28">
        <f t="shared" si="60"/>
        <v>0.64976958525345618</v>
      </c>
    </row>
    <row r="344" spans="19:53" x14ac:dyDescent="0.25">
      <c r="S344" s="28">
        <f t="shared" si="61"/>
        <v>0.33200000000000024</v>
      </c>
      <c r="T344">
        <v>8.9480269783623764E-2</v>
      </c>
      <c r="U344" s="28">
        <f t="shared" si="58"/>
        <v>0.25064992175404377</v>
      </c>
      <c r="AI344" s="28">
        <f t="shared" si="62"/>
        <v>0.33200000000000024</v>
      </c>
      <c r="AJ344">
        <v>0.88543351542710658</v>
      </c>
      <c r="AK344" s="28">
        <f t="shared" si="59"/>
        <v>0.35017055496308458</v>
      </c>
      <c r="AY344" s="28">
        <f t="shared" si="63"/>
        <v>0.33200000000000024</v>
      </c>
      <c r="AZ344">
        <v>0.16666158024842068</v>
      </c>
      <c r="BA344" s="28">
        <f t="shared" si="60"/>
        <v>0.16666158024842065</v>
      </c>
    </row>
    <row r="345" spans="19:53" x14ac:dyDescent="0.25">
      <c r="S345" s="28">
        <f t="shared" si="61"/>
        <v>0.33300000000000024</v>
      </c>
      <c r="T345">
        <v>0.41044343394268623</v>
      </c>
      <c r="U345" s="28">
        <f t="shared" si="58"/>
        <v>0.45500899190120486</v>
      </c>
      <c r="AI345" s="28">
        <f t="shared" si="62"/>
        <v>0.33300000000000024</v>
      </c>
      <c r="AJ345">
        <v>0.32999664296395764</v>
      </c>
      <c r="AK345" s="28">
        <f t="shared" si="59"/>
        <v>0.16466500415753008</v>
      </c>
      <c r="AY345" s="28">
        <f t="shared" si="63"/>
        <v>0.33300000000000024</v>
      </c>
      <c r="AZ345">
        <v>7.9714346751304663E-2</v>
      </c>
      <c r="BA345" s="28">
        <f t="shared" si="60"/>
        <v>7.9714346751304663E-2</v>
      </c>
    </row>
    <row r="346" spans="19:53" x14ac:dyDescent="0.25">
      <c r="S346" s="28">
        <f t="shared" si="61"/>
        <v>0.33400000000000024</v>
      </c>
      <c r="T346">
        <v>0.30204168828394423</v>
      </c>
      <c r="U346" s="28">
        <f t="shared" si="58"/>
        <v>0.39784929978151728</v>
      </c>
      <c r="AI346" s="28">
        <f t="shared" si="62"/>
        <v>0.33400000000000024</v>
      </c>
      <c r="AJ346">
        <v>0.92162846766563922</v>
      </c>
      <c r="AK346" s="28">
        <f t="shared" si="59"/>
        <v>0.37793127699607321</v>
      </c>
      <c r="AY346" s="28">
        <f t="shared" si="63"/>
        <v>0.33400000000000024</v>
      </c>
      <c r="AZ346">
        <v>0.53865169225135046</v>
      </c>
      <c r="BA346" s="28">
        <f t="shared" si="60"/>
        <v>0.53865169225135046</v>
      </c>
    </row>
    <row r="347" spans="19:53" x14ac:dyDescent="0.25">
      <c r="S347" s="28">
        <f t="shared" si="61"/>
        <v>0.33500000000000024</v>
      </c>
      <c r="T347">
        <v>8.3010345774712363E-2</v>
      </c>
      <c r="U347" s="28">
        <f t="shared" si="58"/>
        <v>0.24411303482153218</v>
      </c>
      <c r="AI347" s="28">
        <f t="shared" si="62"/>
        <v>0.33500000000000024</v>
      </c>
      <c r="AJ347">
        <v>0.68858912930692462</v>
      </c>
      <c r="AK347" s="28">
        <f t="shared" si="59"/>
        <v>0.26260832669721723</v>
      </c>
      <c r="AY347" s="28">
        <f t="shared" si="63"/>
        <v>0.33500000000000024</v>
      </c>
      <c r="AZ347">
        <v>0.29950865199743643</v>
      </c>
      <c r="BA347" s="28">
        <f t="shared" si="60"/>
        <v>0.29950865199743643</v>
      </c>
    </row>
    <row r="348" spans="19:53" x14ac:dyDescent="0.25">
      <c r="S348" s="28">
        <f t="shared" si="61"/>
        <v>0.33600000000000024</v>
      </c>
      <c r="T348">
        <v>0.81569872127445298</v>
      </c>
      <c r="U348" s="28">
        <f t="shared" si="58"/>
        <v>0.67337929681390496</v>
      </c>
      <c r="AI348" s="28">
        <f t="shared" si="62"/>
        <v>0.33600000000000024</v>
      </c>
      <c r="AJ348">
        <v>0.30875576036866359</v>
      </c>
      <c r="AK348" s="28">
        <f t="shared" si="59"/>
        <v>0.1592158014723086</v>
      </c>
      <c r="AY348" s="28">
        <f t="shared" si="63"/>
        <v>0.33600000000000024</v>
      </c>
      <c r="AZ348">
        <v>0.90826136051515249</v>
      </c>
      <c r="BA348" s="28">
        <f t="shared" si="60"/>
        <v>0.90826136051515249</v>
      </c>
    </row>
    <row r="349" spans="19:53" x14ac:dyDescent="0.25">
      <c r="S349" s="28">
        <f t="shared" si="61"/>
        <v>0.33700000000000024</v>
      </c>
      <c r="T349">
        <v>0.56227301858577228</v>
      </c>
      <c r="U349" s="28">
        <f t="shared" si="58"/>
        <v>0.53117963528614198</v>
      </c>
      <c r="AI349" s="28">
        <f t="shared" si="62"/>
        <v>0.33700000000000024</v>
      </c>
      <c r="AJ349">
        <v>0.54582354197820981</v>
      </c>
      <c r="AK349" s="28">
        <f t="shared" si="59"/>
        <v>0.22032392272115686</v>
      </c>
      <c r="AY349" s="28">
        <f t="shared" si="63"/>
        <v>0.33700000000000024</v>
      </c>
      <c r="AZ349">
        <v>0.99533066805017245</v>
      </c>
      <c r="BA349" s="28">
        <f t="shared" si="60"/>
        <v>0.99533066805017245</v>
      </c>
    </row>
    <row r="350" spans="19:53" x14ac:dyDescent="0.25">
      <c r="S350" s="28">
        <f t="shared" si="61"/>
        <v>0.33800000000000024</v>
      </c>
      <c r="T350">
        <v>0.47450178533280435</v>
      </c>
      <c r="U350" s="28">
        <f t="shared" si="58"/>
        <v>0.48726617896913393</v>
      </c>
      <c r="AI350" s="28">
        <f t="shared" si="62"/>
        <v>0.33800000000000024</v>
      </c>
      <c r="AJ350">
        <v>0.45933408612323373</v>
      </c>
      <c r="AK350" s="28">
        <f t="shared" si="59"/>
        <v>0.1975402384078101</v>
      </c>
      <c r="AY350" s="28">
        <f t="shared" si="63"/>
        <v>0.33800000000000024</v>
      </c>
      <c r="AZ350">
        <v>0.73226111636707658</v>
      </c>
      <c r="BA350" s="28">
        <f t="shared" si="60"/>
        <v>0.73226111636707658</v>
      </c>
    </row>
    <row r="351" spans="19:53" x14ac:dyDescent="0.25">
      <c r="S351" s="28">
        <f t="shared" si="61"/>
        <v>0.33900000000000025</v>
      </c>
      <c r="T351">
        <v>0.82451857051301614</v>
      </c>
      <c r="U351" s="28">
        <f t="shared" si="58"/>
        <v>0.67943021655078195</v>
      </c>
      <c r="AI351" s="28">
        <f t="shared" si="62"/>
        <v>0.33900000000000025</v>
      </c>
      <c r="AJ351">
        <v>0.59239478743858154</v>
      </c>
      <c r="AK351" s="28">
        <f t="shared" si="59"/>
        <v>0.23327128246316797</v>
      </c>
      <c r="AY351" s="28">
        <f t="shared" si="63"/>
        <v>0.33900000000000025</v>
      </c>
      <c r="AZ351">
        <v>0.8137455366679891</v>
      </c>
      <c r="BA351" s="28">
        <f t="shared" si="60"/>
        <v>0.8137455366679891</v>
      </c>
    </row>
    <row r="352" spans="19:53" x14ac:dyDescent="0.25">
      <c r="S352" s="28">
        <f t="shared" si="61"/>
        <v>0.34000000000000025</v>
      </c>
      <c r="T352">
        <v>0.38700521866512039</v>
      </c>
      <c r="U352" s="28">
        <f t="shared" si="58"/>
        <v>0.44301232778827399</v>
      </c>
      <c r="AI352" s="28">
        <f t="shared" si="62"/>
        <v>0.34000000000000025</v>
      </c>
      <c r="AJ352">
        <v>0.82964568010498363</v>
      </c>
      <c r="AK352" s="28">
        <f t="shared" si="59"/>
        <v>0.31842396109313031</v>
      </c>
      <c r="AY352" s="28">
        <f t="shared" si="63"/>
        <v>0.34000000000000025</v>
      </c>
      <c r="AZ352">
        <v>0.33237708670308541</v>
      </c>
      <c r="BA352" s="28">
        <f t="shared" si="60"/>
        <v>0.33237708670308541</v>
      </c>
    </row>
    <row r="353" spans="19:53" x14ac:dyDescent="0.25">
      <c r="S353" s="28">
        <f t="shared" si="61"/>
        <v>0.34100000000000025</v>
      </c>
      <c r="T353">
        <v>0.74422437208166758</v>
      </c>
      <c r="U353" s="28">
        <f t="shared" si="58"/>
        <v>0.62848346278585376</v>
      </c>
      <c r="AI353" s="28">
        <f t="shared" si="62"/>
        <v>0.34100000000000025</v>
      </c>
      <c r="AJ353">
        <v>0.93676564836573384</v>
      </c>
      <c r="AK353" s="28">
        <f t="shared" si="59"/>
        <v>0.39268435309030014</v>
      </c>
      <c r="AY353" s="28">
        <f t="shared" si="63"/>
        <v>0.34100000000000025</v>
      </c>
      <c r="AZ353">
        <v>6.6805017242957856E-2</v>
      </c>
      <c r="BA353" s="28">
        <f t="shared" si="60"/>
        <v>6.6805017242957843E-2</v>
      </c>
    </row>
    <row r="354" spans="19:53" x14ac:dyDescent="0.25">
      <c r="S354" s="28">
        <f t="shared" si="61"/>
        <v>0.34200000000000025</v>
      </c>
      <c r="T354">
        <v>0.39143040253913997</v>
      </c>
      <c r="U354" s="28">
        <f t="shared" si="58"/>
        <v>0.44528849076633625</v>
      </c>
      <c r="AI354" s="28">
        <f t="shared" si="62"/>
        <v>0.34200000000000025</v>
      </c>
      <c r="AJ354">
        <v>0.47483748893704031</v>
      </c>
      <c r="AK354" s="28">
        <f t="shared" si="59"/>
        <v>0.20153870032853097</v>
      </c>
      <c r="AY354" s="28">
        <f t="shared" si="63"/>
        <v>0.34200000000000025</v>
      </c>
      <c r="AZ354">
        <v>0.75377666554765466</v>
      </c>
      <c r="BA354" s="28">
        <f t="shared" si="60"/>
        <v>0.75377666554765466</v>
      </c>
    </row>
    <row r="355" spans="19:53" x14ac:dyDescent="0.25">
      <c r="S355" s="28">
        <f t="shared" si="61"/>
        <v>0.34300000000000025</v>
      </c>
      <c r="T355">
        <v>0.23413800469985047</v>
      </c>
      <c r="U355" s="28">
        <f t="shared" si="58"/>
        <v>0.35857214317716374</v>
      </c>
      <c r="AI355" s="28">
        <f t="shared" si="62"/>
        <v>0.34300000000000025</v>
      </c>
      <c r="AJ355">
        <v>0.83449812311166727</v>
      </c>
      <c r="AK355" s="28">
        <f t="shared" si="59"/>
        <v>0.32084720241983411</v>
      </c>
      <c r="AY355" s="28">
        <f t="shared" si="63"/>
        <v>0.34300000000000025</v>
      </c>
      <c r="AZ355">
        <v>0.23850215155491805</v>
      </c>
      <c r="BA355" s="28">
        <f t="shared" si="60"/>
        <v>0.23850215155491805</v>
      </c>
    </row>
    <row r="356" spans="19:53" x14ac:dyDescent="0.25">
      <c r="S356" s="28">
        <f t="shared" si="61"/>
        <v>0.34400000000000025</v>
      </c>
      <c r="T356">
        <v>3.0213324381237222E-2</v>
      </c>
      <c r="U356" s="28">
        <f t="shared" si="58"/>
        <v>0.17320503437171056</v>
      </c>
      <c r="AI356" s="28">
        <f t="shared" si="62"/>
        <v>0.34400000000000025</v>
      </c>
      <c r="AJ356">
        <v>0.67696157719656969</v>
      </c>
      <c r="AK356" s="28">
        <f t="shared" si="59"/>
        <v>0.25881629793818428</v>
      </c>
      <c r="AY356" s="28">
        <f t="shared" si="63"/>
        <v>0.34400000000000025</v>
      </c>
      <c r="AZ356">
        <v>0.99853511154515218</v>
      </c>
      <c r="BA356" s="28">
        <f t="shared" si="60"/>
        <v>0.99853511154515218</v>
      </c>
    </row>
    <row r="357" spans="19:53" x14ac:dyDescent="0.25">
      <c r="S357" s="28">
        <f t="shared" si="61"/>
        <v>0.34500000000000025</v>
      </c>
      <c r="T357">
        <v>0.13773003326517533</v>
      </c>
      <c r="U357" s="28">
        <f t="shared" si="58"/>
        <v>0.29280103672900337</v>
      </c>
      <c r="AI357" s="28">
        <f t="shared" si="62"/>
        <v>0.34500000000000025</v>
      </c>
      <c r="AJ357">
        <v>0.35554063539536729</v>
      </c>
      <c r="AK357" s="28">
        <f t="shared" si="59"/>
        <v>0.17116634278241855</v>
      </c>
      <c r="AY357" s="28">
        <f t="shared" si="63"/>
        <v>0.34500000000000025</v>
      </c>
      <c r="AZ357">
        <v>2.2461622974333934E-2</v>
      </c>
      <c r="BA357" s="28">
        <f t="shared" si="60"/>
        <v>2.246162297433393E-2</v>
      </c>
    </row>
    <row r="358" spans="19:53" x14ac:dyDescent="0.25">
      <c r="S358" s="28">
        <f t="shared" si="61"/>
        <v>0.34600000000000025</v>
      </c>
      <c r="T358">
        <v>0.4230475783562731</v>
      </c>
      <c r="U358" s="28">
        <f t="shared" si="58"/>
        <v>0.4614068787849786</v>
      </c>
      <c r="AI358" s="28">
        <f t="shared" si="62"/>
        <v>0.34600000000000025</v>
      </c>
      <c r="AJ358">
        <v>0.29129917294839319</v>
      </c>
      <c r="AK358" s="28">
        <f t="shared" si="59"/>
        <v>0.15469452966736214</v>
      </c>
      <c r="AY358" s="28">
        <f t="shared" si="63"/>
        <v>0.34600000000000025</v>
      </c>
      <c r="AZ358">
        <v>0.69823297830133979</v>
      </c>
      <c r="BA358" s="28">
        <f t="shared" si="60"/>
        <v>0.69823297830133979</v>
      </c>
    </row>
    <row r="359" spans="19:53" x14ac:dyDescent="0.25">
      <c r="S359" s="28">
        <f t="shared" si="61"/>
        <v>0.34700000000000025</v>
      </c>
      <c r="T359">
        <v>0.95773186437574387</v>
      </c>
      <c r="U359" s="28">
        <f t="shared" si="58"/>
        <v>0.80631180854871587</v>
      </c>
      <c r="AI359" s="28">
        <f t="shared" si="62"/>
        <v>0.34700000000000025</v>
      </c>
      <c r="AJ359">
        <v>0.30127872554704427</v>
      </c>
      <c r="AK359" s="28">
        <f t="shared" si="59"/>
        <v>0.15728470580846551</v>
      </c>
      <c r="AY359" s="28">
        <f t="shared" si="63"/>
        <v>0.34700000000000025</v>
      </c>
      <c r="AZ359">
        <v>0.94918668172246468</v>
      </c>
      <c r="BA359" s="28">
        <f t="shared" si="60"/>
        <v>0.94918668172246468</v>
      </c>
    </row>
    <row r="360" spans="19:53" x14ac:dyDescent="0.25">
      <c r="S360" s="28">
        <f t="shared" si="61"/>
        <v>0.34800000000000025</v>
      </c>
      <c r="T360">
        <v>3.8819544053468429E-2</v>
      </c>
      <c r="U360" s="28">
        <f t="shared" si="58"/>
        <v>0.18824383585107576</v>
      </c>
      <c r="AI360" s="28">
        <f t="shared" si="62"/>
        <v>0.34800000000000025</v>
      </c>
      <c r="AJ360">
        <v>0.12363048188726462</v>
      </c>
      <c r="AK360" s="28">
        <f t="shared" si="59"/>
        <v>0.10599297497188338</v>
      </c>
      <c r="AY360" s="28">
        <f t="shared" si="63"/>
        <v>0.34800000000000025</v>
      </c>
      <c r="AZ360">
        <v>0.29865413373210853</v>
      </c>
      <c r="BA360" s="28">
        <f t="shared" si="60"/>
        <v>0.29865413373210853</v>
      </c>
    </row>
    <row r="361" spans="19:53" x14ac:dyDescent="0.25">
      <c r="S361" s="28">
        <f t="shared" si="61"/>
        <v>0.34900000000000025</v>
      </c>
      <c r="T361">
        <v>0.66948454237495036</v>
      </c>
      <c r="U361" s="28">
        <f t="shared" si="58"/>
        <v>0.58664610412533258</v>
      </c>
      <c r="AI361" s="28">
        <f t="shared" si="62"/>
        <v>0.34900000000000025</v>
      </c>
      <c r="AJ361">
        <v>0.68703268532364881</v>
      </c>
      <c r="AK361" s="28">
        <f t="shared" si="59"/>
        <v>0.26209593270956455</v>
      </c>
      <c r="AY361" s="28">
        <f t="shared" si="63"/>
        <v>0.34900000000000025</v>
      </c>
      <c r="AZ361">
        <v>0.63228247932370985</v>
      </c>
      <c r="BA361" s="28">
        <f t="shared" si="60"/>
        <v>0.63228247932370985</v>
      </c>
    </row>
    <row r="362" spans="19:53" x14ac:dyDescent="0.25">
      <c r="S362" s="28">
        <f t="shared" si="61"/>
        <v>0.35000000000000026</v>
      </c>
      <c r="T362">
        <v>0.8681600390636921</v>
      </c>
      <c r="U362" s="28">
        <f t="shared" si="58"/>
        <v>0.71186572117755731</v>
      </c>
      <c r="AI362" s="28">
        <f t="shared" si="62"/>
        <v>0.35000000000000026</v>
      </c>
      <c r="AJ362">
        <v>0.64339121677297284</v>
      </c>
      <c r="AK362" s="28">
        <f t="shared" si="59"/>
        <v>0.24828979882793556</v>
      </c>
      <c r="AY362" s="28">
        <f t="shared" si="63"/>
        <v>0.35000000000000026</v>
      </c>
      <c r="AZ362">
        <v>0.9183324686422315</v>
      </c>
      <c r="BA362" s="28">
        <f t="shared" si="60"/>
        <v>0.9183324686422315</v>
      </c>
    </row>
    <row r="363" spans="19:53" x14ac:dyDescent="0.25">
      <c r="S363" s="28">
        <f t="shared" si="61"/>
        <v>0.35100000000000026</v>
      </c>
      <c r="T363">
        <v>0.3631092257454146</v>
      </c>
      <c r="U363" s="28">
        <f t="shared" si="58"/>
        <v>0.43061496537833271</v>
      </c>
      <c r="AI363" s="28">
        <f t="shared" si="62"/>
        <v>0.35100000000000026</v>
      </c>
      <c r="AJ363">
        <v>0.12131107516708883</v>
      </c>
      <c r="AK363" s="28">
        <f t="shared" si="59"/>
        <v>0.10518389357954862</v>
      </c>
      <c r="AY363" s="28">
        <f t="shared" si="63"/>
        <v>0.35100000000000026</v>
      </c>
      <c r="AZ363">
        <v>0.4000671407208472</v>
      </c>
      <c r="BA363" s="28">
        <f t="shared" si="60"/>
        <v>0.4000671407208472</v>
      </c>
    </row>
    <row r="364" spans="19:53" x14ac:dyDescent="0.25">
      <c r="S364" s="28">
        <f t="shared" si="61"/>
        <v>0.35200000000000026</v>
      </c>
      <c r="T364">
        <v>1.6815698721274454E-2</v>
      </c>
      <c r="U364" s="28">
        <f t="shared" si="58"/>
        <v>0.14306206591727275</v>
      </c>
      <c r="AI364" s="28">
        <f t="shared" si="62"/>
        <v>0.35200000000000026</v>
      </c>
      <c r="AJ364">
        <v>0.28656880397961365</v>
      </c>
      <c r="AK364" s="28">
        <f t="shared" si="59"/>
        <v>0.15346111837801557</v>
      </c>
      <c r="AY364" s="28">
        <f t="shared" si="63"/>
        <v>0.35200000000000026</v>
      </c>
      <c r="AZ364">
        <v>0.83321634571367531</v>
      </c>
      <c r="BA364" s="28">
        <f t="shared" si="60"/>
        <v>0.83321634571367531</v>
      </c>
    </row>
    <row r="365" spans="19:53" x14ac:dyDescent="0.25">
      <c r="S365" s="28">
        <f t="shared" si="61"/>
        <v>0.35300000000000026</v>
      </c>
      <c r="T365">
        <v>0.90484328745384079</v>
      </c>
      <c r="U365" s="28">
        <f t="shared" si="58"/>
        <v>0.74383072610693701</v>
      </c>
      <c r="AI365" s="28">
        <f t="shared" si="62"/>
        <v>0.35300000000000026</v>
      </c>
      <c r="AJ365">
        <v>0.57338175603503527</v>
      </c>
      <c r="AK365" s="28">
        <f t="shared" si="59"/>
        <v>0.22791031985447407</v>
      </c>
      <c r="AY365" s="28">
        <f t="shared" si="63"/>
        <v>0.35300000000000026</v>
      </c>
      <c r="AZ365">
        <v>0.70470290231025112</v>
      </c>
      <c r="BA365" s="28">
        <f t="shared" si="60"/>
        <v>0.70470290231025112</v>
      </c>
    </row>
    <row r="366" spans="19:53" x14ac:dyDescent="0.25">
      <c r="S366" s="28">
        <f t="shared" si="61"/>
        <v>0.35400000000000026</v>
      </c>
      <c r="T366">
        <v>0.3979918820764794</v>
      </c>
      <c r="U366" s="28">
        <f t="shared" si="58"/>
        <v>0.44865348371209185</v>
      </c>
      <c r="AI366" s="28">
        <f t="shared" si="62"/>
        <v>0.35400000000000026</v>
      </c>
      <c r="AJ366">
        <v>0.12659077730643636</v>
      </c>
      <c r="AK366" s="28">
        <f t="shared" si="59"/>
        <v>0.1070159633665938</v>
      </c>
      <c r="AY366" s="28">
        <f t="shared" si="63"/>
        <v>0.35400000000000026</v>
      </c>
      <c r="AZ366">
        <v>0.6590777306436354</v>
      </c>
      <c r="BA366" s="28">
        <f t="shared" si="60"/>
        <v>0.6590777306436354</v>
      </c>
    </row>
    <row r="367" spans="19:53" x14ac:dyDescent="0.25">
      <c r="S367" s="28">
        <f t="shared" si="61"/>
        <v>0.35500000000000026</v>
      </c>
      <c r="T367">
        <v>0.8332773827326273</v>
      </c>
      <c r="U367" s="28">
        <f t="shared" si="58"/>
        <v>0.68558562170335668</v>
      </c>
      <c r="AI367" s="28">
        <f t="shared" si="62"/>
        <v>0.35500000000000026</v>
      </c>
      <c r="AJ367">
        <v>0.44224372081667529</v>
      </c>
      <c r="AK367" s="28">
        <f t="shared" si="59"/>
        <v>0.19316165138477148</v>
      </c>
      <c r="AY367" s="28">
        <f t="shared" si="63"/>
        <v>0.35500000000000026</v>
      </c>
      <c r="AZ367">
        <v>0.34476760155034031</v>
      </c>
      <c r="BA367" s="28">
        <f t="shared" si="60"/>
        <v>0.34476760155034031</v>
      </c>
    </row>
    <row r="368" spans="19:53" x14ac:dyDescent="0.25">
      <c r="S368" s="28">
        <f t="shared" si="61"/>
        <v>0.35600000000000026</v>
      </c>
      <c r="T368">
        <v>0.12445448164311655</v>
      </c>
      <c r="U368" s="28">
        <f t="shared" si="58"/>
        <v>0.28212586934420458</v>
      </c>
      <c r="AI368" s="28">
        <f t="shared" si="62"/>
        <v>0.35600000000000026</v>
      </c>
      <c r="AJ368">
        <v>0.4205145420697653</v>
      </c>
      <c r="AK368" s="28">
        <f t="shared" si="59"/>
        <v>0.18762799686434048</v>
      </c>
      <c r="AY368" s="28">
        <f t="shared" si="63"/>
        <v>0.35600000000000026</v>
      </c>
      <c r="AZ368">
        <v>0.37519455549790948</v>
      </c>
      <c r="BA368" s="28">
        <f t="shared" si="60"/>
        <v>0.37519455549790948</v>
      </c>
    </row>
    <row r="369" spans="19:53" x14ac:dyDescent="0.25">
      <c r="S369" s="28">
        <f t="shared" si="61"/>
        <v>0.35700000000000026</v>
      </c>
      <c r="T369">
        <v>0.93594164860988194</v>
      </c>
      <c r="U369" s="28">
        <f t="shared" si="58"/>
        <v>0.77691577508486864</v>
      </c>
      <c r="AI369" s="28">
        <f t="shared" si="62"/>
        <v>0.35700000000000026</v>
      </c>
      <c r="AJ369">
        <v>0.65688039796136355</v>
      </c>
      <c r="AK369" s="28">
        <f t="shared" si="59"/>
        <v>0.25244951506049151</v>
      </c>
      <c r="AY369" s="28">
        <f t="shared" si="63"/>
        <v>0.35700000000000026</v>
      </c>
      <c r="AZ369">
        <v>0.31965086825159461</v>
      </c>
      <c r="BA369" s="28">
        <f t="shared" si="60"/>
        <v>0.31965086825159461</v>
      </c>
    </row>
    <row r="370" spans="19:53" x14ac:dyDescent="0.25">
      <c r="S370" s="28">
        <f t="shared" si="61"/>
        <v>0.35800000000000026</v>
      </c>
      <c r="T370">
        <v>0.51811273537400437</v>
      </c>
      <c r="U370" s="28">
        <f t="shared" si="58"/>
        <v>0.50904319015127153</v>
      </c>
      <c r="AI370" s="28">
        <f t="shared" si="62"/>
        <v>0.35800000000000026</v>
      </c>
      <c r="AJ370">
        <v>9.3813898129215367E-2</v>
      </c>
      <c r="AK370" s="28">
        <f t="shared" si="59"/>
        <v>9.4987841374262E-2</v>
      </c>
      <c r="AY370" s="28">
        <f t="shared" si="63"/>
        <v>0.35800000000000026</v>
      </c>
      <c r="AZ370">
        <v>0.98391674550614949</v>
      </c>
      <c r="BA370" s="28">
        <f t="shared" si="60"/>
        <v>0.98391674550614949</v>
      </c>
    </row>
    <row r="371" spans="19:53" x14ac:dyDescent="0.25">
      <c r="S371" s="28">
        <f t="shared" si="61"/>
        <v>0.35900000000000026</v>
      </c>
      <c r="T371">
        <v>6.5614795373393963E-3</v>
      </c>
      <c r="U371" s="28">
        <f t="shared" si="58"/>
        <v>0.10603458226535212</v>
      </c>
      <c r="AI371" s="28">
        <f t="shared" si="62"/>
        <v>0.35900000000000026</v>
      </c>
      <c r="AJ371">
        <v>0.86596270638142037</v>
      </c>
      <c r="AK371" s="28">
        <f t="shared" si="59"/>
        <v>0.3379834836738278</v>
      </c>
      <c r="AY371" s="28">
        <f t="shared" si="63"/>
        <v>0.35900000000000026</v>
      </c>
      <c r="AZ371">
        <v>0.18335520493179114</v>
      </c>
      <c r="BA371" s="28">
        <f t="shared" si="60"/>
        <v>0.18335520493179114</v>
      </c>
    </row>
    <row r="372" spans="19:53" x14ac:dyDescent="0.25">
      <c r="S372" s="28">
        <f t="shared" si="61"/>
        <v>0.36000000000000026</v>
      </c>
      <c r="T372">
        <v>0.48210089419232766</v>
      </c>
      <c r="U372" s="28">
        <f t="shared" si="58"/>
        <v>0.49106352390838642</v>
      </c>
      <c r="AI372" s="28">
        <f t="shared" si="62"/>
        <v>0.36000000000000026</v>
      </c>
      <c r="AJ372">
        <v>0.23773918881801812</v>
      </c>
      <c r="AK372" s="28">
        <f t="shared" si="59"/>
        <v>0.14044837515486375</v>
      </c>
      <c r="AY372" s="28">
        <f t="shared" si="63"/>
        <v>0.36000000000000026</v>
      </c>
      <c r="AZ372">
        <v>0.45329142124698629</v>
      </c>
      <c r="BA372" s="28">
        <f t="shared" si="60"/>
        <v>0.45329142124698629</v>
      </c>
    </row>
    <row r="373" spans="19:53" x14ac:dyDescent="0.25">
      <c r="S373" s="28">
        <f t="shared" si="61"/>
        <v>0.36100000000000027</v>
      </c>
      <c r="T373">
        <v>0.79473250526444283</v>
      </c>
      <c r="U373" s="28">
        <f t="shared" si="58"/>
        <v>0.65951685176117447</v>
      </c>
      <c r="AI373" s="28">
        <f t="shared" si="62"/>
        <v>0.36100000000000027</v>
      </c>
      <c r="AJ373">
        <v>0.7466048158207953</v>
      </c>
      <c r="AK373" s="28">
        <f t="shared" si="59"/>
        <v>0.28296181824202216</v>
      </c>
      <c r="AY373" s="28">
        <f t="shared" si="63"/>
        <v>0.36100000000000027</v>
      </c>
      <c r="AZ373">
        <v>0.20419934690389721</v>
      </c>
      <c r="BA373" s="28">
        <f t="shared" si="60"/>
        <v>0.20419934690389721</v>
      </c>
    </row>
    <row r="374" spans="19:53" x14ac:dyDescent="0.25">
      <c r="S374" s="28">
        <f t="shared" si="61"/>
        <v>0.36200000000000027</v>
      </c>
      <c r="T374">
        <v>0.45338297677541428</v>
      </c>
      <c r="U374" s="28">
        <f t="shared" si="58"/>
        <v>0.47669111236548395</v>
      </c>
      <c r="AI374" s="28">
        <f t="shared" si="62"/>
        <v>0.36200000000000027</v>
      </c>
      <c r="AJ374">
        <v>0.78048036133915222</v>
      </c>
      <c r="AK374" s="28">
        <f t="shared" si="59"/>
        <v>0.29628333498179671</v>
      </c>
      <c r="AY374" s="28">
        <f t="shared" si="63"/>
        <v>0.36200000000000027</v>
      </c>
      <c r="AZ374">
        <v>0.27274391918698693</v>
      </c>
      <c r="BA374" s="28">
        <f t="shared" si="60"/>
        <v>0.27274391918698693</v>
      </c>
    </row>
    <row r="375" spans="19:53" x14ac:dyDescent="0.25">
      <c r="S375" s="28">
        <f t="shared" si="61"/>
        <v>0.36300000000000027</v>
      </c>
      <c r="T375">
        <v>0.74587237159337139</v>
      </c>
      <c r="U375" s="28">
        <f t="shared" si="58"/>
        <v>0.62945334904483508</v>
      </c>
      <c r="AI375" s="28">
        <f t="shared" si="62"/>
        <v>0.36300000000000027</v>
      </c>
      <c r="AJ375">
        <v>0.19833979308450575</v>
      </c>
      <c r="AK375" s="28">
        <f t="shared" si="59"/>
        <v>0.12940941671407979</v>
      </c>
      <c r="AY375" s="28">
        <f t="shared" si="63"/>
        <v>0.36300000000000027</v>
      </c>
      <c r="AZ375">
        <v>0.59303567613757746</v>
      </c>
      <c r="BA375" s="28">
        <f t="shared" si="60"/>
        <v>0.59303567613757746</v>
      </c>
    </row>
    <row r="376" spans="19:53" x14ac:dyDescent="0.25">
      <c r="S376" s="28">
        <f t="shared" si="61"/>
        <v>0.36400000000000027</v>
      </c>
      <c r="T376">
        <v>0.38862269966734825</v>
      </c>
      <c r="U376" s="28">
        <f t="shared" si="58"/>
        <v>0.44384495629333759</v>
      </c>
      <c r="AI376" s="28">
        <f t="shared" si="62"/>
        <v>0.36400000000000027</v>
      </c>
      <c r="AJ376">
        <v>0.28406628620258184</v>
      </c>
      <c r="AK376" s="28">
        <f t="shared" si="59"/>
        <v>0.15280701661111959</v>
      </c>
      <c r="AY376" s="28">
        <f t="shared" si="63"/>
        <v>0.36400000000000027</v>
      </c>
      <c r="AZ376">
        <v>8.526871547593616E-2</v>
      </c>
      <c r="BA376" s="28">
        <f t="shared" si="60"/>
        <v>8.526871547593616E-2</v>
      </c>
    </row>
    <row r="377" spans="19:53" x14ac:dyDescent="0.25">
      <c r="S377" s="28">
        <f t="shared" si="61"/>
        <v>0.36500000000000027</v>
      </c>
      <c r="T377">
        <v>0.42283394878994107</v>
      </c>
      <c r="U377" s="28">
        <f t="shared" si="58"/>
        <v>0.46129870743229812</v>
      </c>
      <c r="AI377" s="28">
        <f t="shared" si="62"/>
        <v>0.36500000000000027</v>
      </c>
      <c r="AJ377">
        <v>0.81502731406598106</v>
      </c>
      <c r="AK377" s="28">
        <f t="shared" si="59"/>
        <v>0.31141330107128473</v>
      </c>
      <c r="AY377" s="28">
        <f t="shared" si="63"/>
        <v>0.36500000000000027</v>
      </c>
      <c r="AZ377">
        <v>0.65691091647083955</v>
      </c>
      <c r="BA377" s="28">
        <f t="shared" si="60"/>
        <v>0.65691091647083955</v>
      </c>
    </row>
    <row r="378" spans="19:53" x14ac:dyDescent="0.25">
      <c r="S378" s="28">
        <f t="shared" si="61"/>
        <v>0.36600000000000027</v>
      </c>
      <c r="T378">
        <v>0.36375011444441052</v>
      </c>
      <c r="U378" s="28">
        <f t="shared" si="58"/>
        <v>0.43095001845951086</v>
      </c>
      <c r="AI378" s="28">
        <f t="shared" si="62"/>
        <v>0.36600000000000027</v>
      </c>
      <c r="AJ378">
        <v>0.93948179570909762</v>
      </c>
      <c r="AK378" s="28">
        <f t="shared" si="59"/>
        <v>0.39562747359741457</v>
      </c>
      <c r="AY378" s="28">
        <f t="shared" si="63"/>
        <v>0.36600000000000027</v>
      </c>
      <c r="AZ378">
        <v>7.3641163365581228E-2</v>
      </c>
      <c r="BA378" s="28">
        <f t="shared" si="60"/>
        <v>7.3641163365581228E-2</v>
      </c>
    </row>
    <row r="379" spans="19:53" x14ac:dyDescent="0.25">
      <c r="S379" s="28">
        <f t="shared" si="61"/>
        <v>0.36700000000000027</v>
      </c>
      <c r="T379">
        <v>0.11679433576464125</v>
      </c>
      <c r="U379" s="28">
        <f t="shared" si="58"/>
        <v>0.2756910254954642</v>
      </c>
      <c r="AI379" s="28">
        <f t="shared" si="62"/>
        <v>0.36700000000000027</v>
      </c>
      <c r="AJ379">
        <v>0.66957609790337835</v>
      </c>
      <c r="AK379" s="28">
        <f t="shared" si="59"/>
        <v>0.25644903387654783</v>
      </c>
      <c r="AY379" s="28">
        <f t="shared" si="63"/>
        <v>0.36700000000000027</v>
      </c>
      <c r="AZ379">
        <v>9.7903378398999E-2</v>
      </c>
      <c r="BA379" s="28">
        <f t="shared" si="60"/>
        <v>9.7903378398999014E-2</v>
      </c>
    </row>
    <row r="380" spans="19:53" x14ac:dyDescent="0.25">
      <c r="S380" s="28">
        <f t="shared" si="61"/>
        <v>0.36800000000000027</v>
      </c>
      <c r="T380">
        <v>0.51057466353343306</v>
      </c>
      <c r="U380" s="28">
        <f t="shared" si="58"/>
        <v>0.50527873041940785</v>
      </c>
      <c r="AI380" s="28">
        <f t="shared" si="62"/>
        <v>0.36800000000000027</v>
      </c>
      <c r="AJ380">
        <v>0.90276802880947293</v>
      </c>
      <c r="AK380" s="28">
        <f t="shared" si="59"/>
        <v>0.36244551861166185</v>
      </c>
      <c r="AY380" s="28">
        <f t="shared" si="63"/>
        <v>0.36800000000000027</v>
      </c>
      <c r="AZ380">
        <v>0.69335001678518016</v>
      </c>
      <c r="BA380" s="28">
        <f t="shared" si="60"/>
        <v>0.69335001678518016</v>
      </c>
    </row>
    <row r="381" spans="19:53" x14ac:dyDescent="0.25">
      <c r="S381" s="28">
        <f t="shared" si="61"/>
        <v>0.36900000000000027</v>
      </c>
      <c r="T381">
        <v>0.72942289498580892</v>
      </c>
      <c r="U381" s="28">
        <f t="shared" si="58"/>
        <v>0.61987929276973885</v>
      </c>
      <c r="AI381" s="28">
        <f t="shared" si="62"/>
        <v>0.36900000000000027</v>
      </c>
      <c r="AJ381">
        <v>0.23114719077120274</v>
      </c>
      <c r="AK381" s="28">
        <f t="shared" si="59"/>
        <v>0.13864202666432482</v>
      </c>
      <c r="AY381" s="28">
        <f t="shared" si="63"/>
        <v>0.36900000000000027</v>
      </c>
      <c r="AZ381">
        <v>0.92742698446607863</v>
      </c>
      <c r="BA381" s="28">
        <f t="shared" si="60"/>
        <v>0.92742698446607863</v>
      </c>
    </row>
    <row r="382" spans="19:53" x14ac:dyDescent="0.25">
      <c r="S382" s="28">
        <f t="shared" si="61"/>
        <v>0.37000000000000027</v>
      </c>
      <c r="T382">
        <v>0.29581591235084076</v>
      </c>
      <c r="U382" s="28">
        <f t="shared" si="58"/>
        <v>0.39439573555406515</v>
      </c>
      <c r="AI382" s="28">
        <f t="shared" si="62"/>
        <v>0.37000000000000027</v>
      </c>
      <c r="AJ382">
        <v>0.76705221716971339</v>
      </c>
      <c r="AK382" s="28">
        <f t="shared" si="59"/>
        <v>0.2908480037827883</v>
      </c>
      <c r="AY382" s="28">
        <f t="shared" si="63"/>
        <v>0.37000000000000027</v>
      </c>
      <c r="AZ382">
        <v>0.58940397350993379</v>
      </c>
      <c r="BA382" s="28">
        <f t="shared" si="60"/>
        <v>0.58940397350993379</v>
      </c>
    </row>
    <row r="383" spans="19:53" x14ac:dyDescent="0.25">
      <c r="S383" s="28">
        <f t="shared" si="61"/>
        <v>0.37100000000000027</v>
      </c>
      <c r="T383">
        <v>0.15784173100985749</v>
      </c>
      <c r="U383" s="28">
        <f t="shared" si="58"/>
        <v>0.30800951147872818</v>
      </c>
      <c r="AI383" s="28">
        <f t="shared" si="62"/>
        <v>0.37100000000000027</v>
      </c>
      <c r="AJ383">
        <v>0.28125858333079012</v>
      </c>
      <c r="AK383" s="28">
        <f t="shared" si="59"/>
        <v>0.15207178048504899</v>
      </c>
      <c r="AY383" s="28">
        <f t="shared" si="63"/>
        <v>0.37100000000000027</v>
      </c>
      <c r="AZ383">
        <v>0.73485518967253638</v>
      </c>
      <c r="BA383" s="28">
        <f t="shared" si="60"/>
        <v>0.73485518967253638</v>
      </c>
    </row>
    <row r="384" spans="19:53" x14ac:dyDescent="0.25">
      <c r="S384" s="28">
        <f t="shared" si="61"/>
        <v>0.37200000000000027</v>
      </c>
      <c r="T384">
        <v>0.6981719412823878</v>
      </c>
      <c r="U384" s="28">
        <f t="shared" si="58"/>
        <v>0.60226879745565187</v>
      </c>
      <c r="AI384" s="28">
        <f t="shared" si="62"/>
        <v>0.37200000000000027</v>
      </c>
      <c r="AJ384">
        <v>0.81780449842829672</v>
      </c>
      <c r="AK384" s="28">
        <f t="shared" si="59"/>
        <v>0.31271371297223982</v>
      </c>
      <c r="AY384" s="28">
        <f t="shared" si="63"/>
        <v>0.37200000000000027</v>
      </c>
      <c r="AZ384">
        <v>0.73201696829126861</v>
      </c>
      <c r="BA384" s="28">
        <f t="shared" si="60"/>
        <v>0.73201696829126861</v>
      </c>
    </row>
    <row r="385" spans="19:53" x14ac:dyDescent="0.25">
      <c r="S385" s="28">
        <f t="shared" si="61"/>
        <v>0.37300000000000028</v>
      </c>
      <c r="T385">
        <v>0.7678762169255654</v>
      </c>
      <c r="U385" s="28">
        <f t="shared" si="58"/>
        <v>0.64265747099262582</v>
      </c>
      <c r="AI385" s="28">
        <f t="shared" si="62"/>
        <v>0.37300000000000028</v>
      </c>
      <c r="AJ385">
        <v>0.13611255226294747</v>
      </c>
      <c r="AK385" s="28">
        <f t="shared" si="59"/>
        <v>0.11023801136092089</v>
      </c>
      <c r="AY385" s="28">
        <f t="shared" si="63"/>
        <v>0.37300000000000028</v>
      </c>
      <c r="AZ385">
        <v>0.45728934598834192</v>
      </c>
      <c r="BA385" s="28">
        <f t="shared" si="60"/>
        <v>0.45728934598834192</v>
      </c>
    </row>
    <row r="386" spans="19:53" x14ac:dyDescent="0.25">
      <c r="S386" s="28">
        <f t="shared" si="61"/>
        <v>0.37400000000000028</v>
      </c>
      <c r="T386">
        <v>0.77727591784417249</v>
      </c>
      <c r="U386" s="28">
        <f t="shared" si="58"/>
        <v>0.64845662322835818</v>
      </c>
      <c r="AI386" s="28">
        <f t="shared" si="62"/>
        <v>0.37400000000000028</v>
      </c>
      <c r="AJ386">
        <v>0.40086062196722311</v>
      </c>
      <c r="AK386" s="28">
        <f t="shared" si="59"/>
        <v>0.18264391729242524</v>
      </c>
      <c r="AY386" s="28">
        <f t="shared" si="63"/>
        <v>0.37400000000000028</v>
      </c>
      <c r="AZ386">
        <v>0.5798516800439466</v>
      </c>
      <c r="BA386" s="28">
        <f t="shared" si="60"/>
        <v>0.5798516800439466</v>
      </c>
    </row>
    <row r="387" spans="19:53" x14ac:dyDescent="0.25">
      <c r="S387" s="28">
        <f t="shared" si="61"/>
        <v>0.37500000000000028</v>
      </c>
      <c r="T387">
        <v>0.72188482314523761</v>
      </c>
      <c r="U387" s="28">
        <f t="shared" si="58"/>
        <v>0.61556658463835801</v>
      </c>
      <c r="AI387" s="28">
        <f t="shared" si="62"/>
        <v>0.37500000000000028</v>
      </c>
      <c r="AJ387">
        <v>0.43717764824365979</v>
      </c>
      <c r="AK387" s="28">
        <f t="shared" si="59"/>
        <v>0.19186859562437064</v>
      </c>
      <c r="AY387" s="28">
        <f t="shared" si="63"/>
        <v>0.37500000000000028</v>
      </c>
      <c r="AZ387">
        <v>0.47083956419568468</v>
      </c>
      <c r="BA387" s="28">
        <f t="shared" si="60"/>
        <v>0.47083956419568468</v>
      </c>
    </row>
    <row r="388" spans="19:53" x14ac:dyDescent="0.25">
      <c r="S388" s="28">
        <f t="shared" si="61"/>
        <v>0.37600000000000028</v>
      </c>
      <c r="T388">
        <v>0.58445997497482227</v>
      </c>
      <c r="U388" s="28">
        <f t="shared" si="58"/>
        <v>0.54239997731194545</v>
      </c>
      <c r="AI388" s="28">
        <f t="shared" si="62"/>
        <v>0.37600000000000028</v>
      </c>
      <c r="AJ388">
        <v>0.8673055207983642</v>
      </c>
      <c r="AK388" s="28">
        <f t="shared" si="59"/>
        <v>0.33877910634068653</v>
      </c>
      <c r="AY388" s="28">
        <f t="shared" si="63"/>
        <v>0.37600000000000028</v>
      </c>
      <c r="AZ388">
        <v>6.0396130252998441E-2</v>
      </c>
      <c r="BA388" s="28">
        <f t="shared" si="60"/>
        <v>6.0396130252998441E-2</v>
      </c>
    </row>
    <row r="389" spans="19:53" x14ac:dyDescent="0.25">
      <c r="S389" s="28">
        <f t="shared" si="61"/>
        <v>0.37700000000000028</v>
      </c>
      <c r="T389">
        <v>0.56324961088900416</v>
      </c>
      <c r="U389" s="28">
        <f t="shared" si="58"/>
        <v>0.53167173208012541</v>
      </c>
      <c r="AI389" s="28">
        <f t="shared" si="62"/>
        <v>0.37700000000000028</v>
      </c>
      <c r="AJ389">
        <v>0.36753440961943418</v>
      </c>
      <c r="AK389" s="28">
        <f t="shared" si="59"/>
        <v>0.17420700501197636</v>
      </c>
      <c r="AY389" s="28">
        <f t="shared" si="63"/>
        <v>0.37700000000000028</v>
      </c>
      <c r="AZ389">
        <v>0.88836329233680222</v>
      </c>
      <c r="BA389" s="28">
        <f t="shared" si="60"/>
        <v>0.88836329233680222</v>
      </c>
    </row>
    <row r="390" spans="19:53" x14ac:dyDescent="0.25">
      <c r="S390" s="28">
        <f t="shared" si="61"/>
        <v>0.37800000000000028</v>
      </c>
      <c r="T390">
        <v>0.4600665303506577</v>
      </c>
      <c r="U390" s="28">
        <f t="shared" si="58"/>
        <v>0.48004217569998292</v>
      </c>
      <c r="AI390" s="28">
        <f t="shared" si="62"/>
        <v>0.37800000000000028</v>
      </c>
      <c r="AJ390">
        <v>0.77190466017639703</v>
      </c>
      <c r="AK390" s="28">
        <f t="shared" si="59"/>
        <v>0.29278697728193259</v>
      </c>
      <c r="AY390" s="28">
        <f t="shared" si="63"/>
        <v>0.37800000000000028</v>
      </c>
      <c r="AZ390">
        <v>0.96163823358867151</v>
      </c>
      <c r="BA390" s="28">
        <f t="shared" si="60"/>
        <v>0.96163823358867151</v>
      </c>
    </row>
    <row r="391" spans="19:53" x14ac:dyDescent="0.25">
      <c r="S391" s="28">
        <f t="shared" si="61"/>
        <v>0.37900000000000028</v>
      </c>
      <c r="T391">
        <v>0.17181920834986419</v>
      </c>
      <c r="U391" s="28">
        <f t="shared" si="58"/>
        <v>0.31801462244076256</v>
      </c>
      <c r="AI391" s="28">
        <f t="shared" si="62"/>
        <v>0.37900000000000028</v>
      </c>
      <c r="AJ391">
        <v>0.51301614429151277</v>
      </c>
      <c r="AK391" s="28">
        <f t="shared" si="59"/>
        <v>0.21152755247048427</v>
      </c>
      <c r="AY391" s="28">
        <f t="shared" si="63"/>
        <v>0.37900000000000028</v>
      </c>
      <c r="AZ391">
        <v>0.52897732474745929</v>
      </c>
      <c r="BA391" s="28">
        <f t="shared" si="60"/>
        <v>0.52897732474745929</v>
      </c>
    </row>
    <row r="392" spans="19:53" x14ac:dyDescent="0.25">
      <c r="S392" s="28">
        <f t="shared" si="61"/>
        <v>0.38000000000000028</v>
      </c>
      <c r="T392">
        <v>0.6241645558030946</v>
      </c>
      <c r="U392" s="28">
        <f t="shared" si="58"/>
        <v>0.56275915788386366</v>
      </c>
      <c r="AI392" s="28">
        <f t="shared" si="62"/>
        <v>0.38000000000000028</v>
      </c>
      <c r="AJ392">
        <v>0.91875972777489545</v>
      </c>
      <c r="AK392" s="28">
        <f t="shared" si="59"/>
        <v>0.37539762492547224</v>
      </c>
      <c r="AY392" s="28">
        <f t="shared" si="63"/>
        <v>0.38000000000000028</v>
      </c>
      <c r="AZ392">
        <v>0.58983123264259774</v>
      </c>
      <c r="BA392" s="28">
        <f t="shared" si="60"/>
        <v>0.58983123264259774</v>
      </c>
    </row>
    <row r="393" spans="19:53" x14ac:dyDescent="0.25">
      <c r="S393" s="28">
        <f t="shared" si="61"/>
        <v>0.38100000000000028</v>
      </c>
      <c r="T393">
        <v>0.62105166783654286</v>
      </c>
      <c r="U393" s="28">
        <f t="shared" si="58"/>
        <v>0.56114678601738177</v>
      </c>
      <c r="AI393" s="28">
        <f t="shared" si="62"/>
        <v>0.38100000000000028</v>
      </c>
      <c r="AJ393">
        <v>0.83913693655201882</v>
      </c>
      <c r="AK393" s="28">
        <f t="shared" si="59"/>
        <v>0.32321274260041499</v>
      </c>
      <c r="AY393" s="28">
        <f t="shared" si="63"/>
        <v>0.38100000000000028</v>
      </c>
      <c r="AZ393">
        <v>0.24506363109225746</v>
      </c>
      <c r="BA393" s="28">
        <f t="shared" si="60"/>
        <v>0.24506363109225748</v>
      </c>
    </row>
    <row r="394" spans="19:53" x14ac:dyDescent="0.25">
      <c r="S394" s="28">
        <f t="shared" si="61"/>
        <v>0.38200000000000028</v>
      </c>
      <c r="T394">
        <v>0.71877193517868587</v>
      </c>
      <c r="U394" s="28">
        <f t="shared" si="58"/>
        <v>0.61379833391317384</v>
      </c>
      <c r="AI394" s="28">
        <f t="shared" si="62"/>
        <v>0.38200000000000028</v>
      </c>
      <c r="AJ394">
        <v>9.0639973143711666E-2</v>
      </c>
      <c r="AK394" s="28">
        <f t="shared" si="59"/>
        <v>9.3724672508112922E-2</v>
      </c>
      <c r="AY394" s="28">
        <f t="shared" si="63"/>
        <v>0.38200000000000028</v>
      </c>
      <c r="AZ394">
        <v>0.88656270027771844</v>
      </c>
      <c r="BA394" s="28">
        <f t="shared" si="60"/>
        <v>0.88656270027771844</v>
      </c>
    </row>
    <row r="395" spans="19:53" x14ac:dyDescent="0.25">
      <c r="S395" s="28">
        <f t="shared" si="61"/>
        <v>0.38300000000000028</v>
      </c>
      <c r="T395">
        <v>0.21082186346018861</v>
      </c>
      <c r="U395" s="28">
        <f t="shared" si="58"/>
        <v>0.34404593218346835</v>
      </c>
      <c r="AI395" s="28">
        <f t="shared" si="62"/>
        <v>0.38300000000000028</v>
      </c>
      <c r="AJ395">
        <v>0.522171697134312</v>
      </c>
      <c r="AK395" s="28">
        <f t="shared" si="59"/>
        <v>0.21395984953350267</v>
      </c>
      <c r="AY395" s="28">
        <f t="shared" si="63"/>
        <v>0.38300000000000028</v>
      </c>
      <c r="AZ395">
        <v>0.27869502853480638</v>
      </c>
      <c r="BA395" s="28">
        <f t="shared" si="60"/>
        <v>0.27869502853480638</v>
      </c>
    </row>
    <row r="396" spans="19:53" x14ac:dyDescent="0.25">
      <c r="S396" s="28">
        <f t="shared" si="61"/>
        <v>0.38400000000000029</v>
      </c>
      <c r="T396">
        <v>0.72798852504043698</v>
      </c>
      <c r="U396" s="28">
        <f t="shared" si="58"/>
        <v>0.61905521609743386</v>
      </c>
      <c r="AI396" s="28">
        <f t="shared" si="62"/>
        <v>0.38400000000000029</v>
      </c>
      <c r="AJ396">
        <v>0.49699392681661425</v>
      </c>
      <c r="AK396" s="28">
        <f t="shared" si="59"/>
        <v>0.20730765447612912</v>
      </c>
      <c r="AY396" s="28">
        <f t="shared" si="63"/>
        <v>0.38400000000000029</v>
      </c>
      <c r="AZ396">
        <v>0.23795281838435012</v>
      </c>
      <c r="BA396" s="28">
        <f t="shared" si="60"/>
        <v>0.23795281838435012</v>
      </c>
    </row>
    <row r="397" spans="19:53" x14ac:dyDescent="0.25">
      <c r="S397" s="28">
        <f t="shared" si="61"/>
        <v>0.38500000000000029</v>
      </c>
      <c r="T397">
        <v>0.64909817804498426</v>
      </c>
      <c r="U397" s="28">
        <f t="shared" ref="U397:U460" si="64">_xlfn.BETA.INV(T397,$V$5,$V$6,0,1)</f>
        <v>0.57579708869098045</v>
      </c>
      <c r="AI397" s="28">
        <f t="shared" si="62"/>
        <v>0.38500000000000029</v>
      </c>
      <c r="AJ397">
        <v>0.7814874721518601</v>
      </c>
      <c r="AK397" s="28">
        <f t="shared" ref="AK397:AK460" si="65">_xlfn.BETA.INV(AJ397,$AL$5,$AL$6,0,1)</f>
        <v>0.29670002465532441</v>
      </c>
      <c r="AY397" s="28">
        <f t="shared" si="63"/>
        <v>0.38500000000000029</v>
      </c>
      <c r="AZ397">
        <v>0.19678334910122991</v>
      </c>
      <c r="BA397" s="28">
        <f t="shared" ref="BA397:BA460" si="66">_xlfn.BETA.INV(AZ397,$BB$5,$BB$6,0,1)</f>
        <v>0.19678334910122988</v>
      </c>
    </row>
    <row r="398" spans="19:53" x14ac:dyDescent="0.25">
      <c r="S398" s="28">
        <f t="shared" si="61"/>
        <v>0.38600000000000029</v>
      </c>
      <c r="T398">
        <v>0.61000396740623186</v>
      </c>
      <c r="U398" s="28">
        <f t="shared" si="64"/>
        <v>0.55544868735405029</v>
      </c>
      <c r="AI398" s="28">
        <f t="shared" si="62"/>
        <v>0.38600000000000029</v>
      </c>
      <c r="AJ398">
        <v>0.74980925931577502</v>
      </c>
      <c r="AK398" s="28">
        <f t="shared" si="65"/>
        <v>0.28416915053272351</v>
      </c>
      <c r="AY398" s="28">
        <f t="shared" si="63"/>
        <v>0.38600000000000029</v>
      </c>
      <c r="AZ398">
        <v>0.57948545793023465</v>
      </c>
      <c r="BA398" s="28">
        <f t="shared" si="66"/>
        <v>0.57948545793023465</v>
      </c>
    </row>
    <row r="399" spans="19:53" x14ac:dyDescent="0.25">
      <c r="S399" s="28">
        <f t="shared" ref="S399:S462" si="67">S398+0.001</f>
        <v>0.38700000000000029</v>
      </c>
      <c r="T399">
        <v>0.62834559160130621</v>
      </c>
      <c r="U399" s="28">
        <f t="shared" si="64"/>
        <v>0.56492981494897521</v>
      </c>
      <c r="AI399" s="28">
        <f t="shared" ref="AI399:AI462" si="68">AI398+0.001</f>
        <v>0.38700000000000029</v>
      </c>
      <c r="AJ399">
        <v>0.533219397564623</v>
      </c>
      <c r="AK399" s="28">
        <f t="shared" si="65"/>
        <v>0.21691723669520779</v>
      </c>
      <c r="AY399" s="28">
        <f t="shared" ref="AY399:AY462" si="69">AY398+0.001</f>
        <v>0.38700000000000029</v>
      </c>
      <c r="AZ399">
        <v>0.84667500839259013</v>
      </c>
      <c r="BA399" s="28">
        <f t="shared" si="66"/>
        <v>0.84667500839259013</v>
      </c>
    </row>
    <row r="400" spans="19:53" x14ac:dyDescent="0.25">
      <c r="S400" s="28">
        <f t="shared" si="67"/>
        <v>0.38800000000000029</v>
      </c>
      <c r="T400">
        <v>0.1489913632618183</v>
      </c>
      <c r="U400" s="28">
        <f t="shared" si="64"/>
        <v>0.30144567726886601</v>
      </c>
      <c r="AI400" s="28">
        <f t="shared" si="68"/>
        <v>0.38800000000000029</v>
      </c>
      <c r="AJ400">
        <v>0.1564683980834376</v>
      </c>
      <c r="AK400" s="28">
        <f t="shared" si="65"/>
        <v>0.1168244435572077</v>
      </c>
      <c r="AY400" s="28">
        <f t="shared" si="69"/>
        <v>0.38800000000000029</v>
      </c>
      <c r="AZ400">
        <v>0.72093874935148172</v>
      </c>
      <c r="BA400" s="28">
        <f t="shared" si="66"/>
        <v>0.72093874935148172</v>
      </c>
    </row>
    <row r="401" spans="19:53" x14ac:dyDescent="0.25">
      <c r="S401" s="28">
        <f t="shared" si="67"/>
        <v>0.38900000000000029</v>
      </c>
      <c r="T401">
        <v>0.52354503006073183</v>
      </c>
      <c r="U401" s="28">
        <f t="shared" si="64"/>
        <v>0.51175750279524568</v>
      </c>
      <c r="AI401" s="28">
        <f t="shared" si="68"/>
        <v>0.38900000000000029</v>
      </c>
      <c r="AJ401">
        <v>0.75054170354319893</v>
      </c>
      <c r="AK401" s="28">
        <f t="shared" si="65"/>
        <v>0.28444653658758756</v>
      </c>
      <c r="AY401" s="28">
        <f t="shared" si="69"/>
        <v>0.38900000000000029</v>
      </c>
      <c r="AZ401">
        <v>0.80645161290322576</v>
      </c>
      <c r="BA401" s="28">
        <f t="shared" si="66"/>
        <v>0.80645161290322576</v>
      </c>
    </row>
    <row r="402" spans="19:53" x14ac:dyDescent="0.25">
      <c r="S402" s="28">
        <f t="shared" si="67"/>
        <v>0.39000000000000029</v>
      </c>
      <c r="T402">
        <v>9.9734488967558821E-2</v>
      </c>
      <c r="U402" s="28">
        <f t="shared" si="64"/>
        <v>0.26048802474524424</v>
      </c>
      <c r="AI402" s="28">
        <f t="shared" si="68"/>
        <v>0.39000000000000029</v>
      </c>
      <c r="AJ402">
        <v>0.92388683736686306</v>
      </c>
      <c r="AK402" s="28">
        <f t="shared" si="65"/>
        <v>0.3799783839119818</v>
      </c>
      <c r="AY402" s="28">
        <f t="shared" si="69"/>
        <v>0.39000000000000029</v>
      </c>
      <c r="AZ402">
        <v>0.71736808374279004</v>
      </c>
      <c r="BA402" s="28">
        <f t="shared" si="66"/>
        <v>0.71736808374279004</v>
      </c>
    </row>
    <row r="403" spans="19:53" x14ac:dyDescent="0.25">
      <c r="S403" s="28">
        <f t="shared" si="67"/>
        <v>0.39100000000000029</v>
      </c>
      <c r="T403">
        <v>0.24381237220374158</v>
      </c>
      <c r="U403" s="28">
        <f t="shared" si="64"/>
        <v>0.36441756952390808</v>
      </c>
      <c r="AI403" s="28">
        <f t="shared" si="68"/>
        <v>0.39100000000000029</v>
      </c>
      <c r="AJ403">
        <v>0.99581896420178839</v>
      </c>
      <c r="AK403" s="28">
        <f t="shared" si="65"/>
        <v>0.54074645876400496</v>
      </c>
      <c r="AY403" s="28">
        <f t="shared" si="69"/>
        <v>0.39100000000000029</v>
      </c>
      <c r="AZ403">
        <v>0.10470900601214636</v>
      </c>
      <c r="BA403" s="28">
        <f t="shared" si="66"/>
        <v>0.10470900601214636</v>
      </c>
    </row>
    <row r="404" spans="19:53" x14ac:dyDescent="0.25">
      <c r="S404" s="28">
        <f t="shared" si="67"/>
        <v>0.39200000000000029</v>
      </c>
      <c r="T404">
        <v>0.77715384380626851</v>
      </c>
      <c r="U404" s="28">
        <f t="shared" si="64"/>
        <v>0.64838064457087685</v>
      </c>
      <c r="AI404" s="28">
        <f t="shared" si="68"/>
        <v>0.39200000000000029</v>
      </c>
      <c r="AJ404">
        <v>0.12878810998870815</v>
      </c>
      <c r="AK404" s="28">
        <f t="shared" si="65"/>
        <v>0.10776854548341384</v>
      </c>
      <c r="AY404" s="28">
        <f t="shared" si="69"/>
        <v>0.39200000000000029</v>
      </c>
      <c r="AZ404">
        <v>0.21469771416364025</v>
      </c>
      <c r="BA404" s="28">
        <f t="shared" si="66"/>
        <v>0.21469771416364025</v>
      </c>
    </row>
    <row r="405" spans="19:53" x14ac:dyDescent="0.25">
      <c r="S405" s="28">
        <f t="shared" si="67"/>
        <v>0.39300000000000029</v>
      </c>
      <c r="T405">
        <v>3.0030213324381237E-2</v>
      </c>
      <c r="U405" s="28">
        <f t="shared" si="64"/>
        <v>0.17285771750392134</v>
      </c>
      <c r="AI405" s="28">
        <f t="shared" si="68"/>
        <v>0.39300000000000029</v>
      </c>
      <c r="AJ405">
        <v>0.80983916745506146</v>
      </c>
      <c r="AK405" s="28">
        <f t="shared" si="65"/>
        <v>0.30902082060623426</v>
      </c>
      <c r="AY405" s="28">
        <f t="shared" si="69"/>
        <v>0.39300000000000029</v>
      </c>
      <c r="AZ405">
        <v>0.67171239356669821</v>
      </c>
      <c r="BA405" s="28">
        <f t="shared" si="66"/>
        <v>0.67171239356669821</v>
      </c>
    </row>
    <row r="406" spans="19:53" x14ac:dyDescent="0.25">
      <c r="S406" s="28">
        <f t="shared" si="67"/>
        <v>0.39400000000000029</v>
      </c>
      <c r="T406">
        <v>0.9642628254036073</v>
      </c>
      <c r="U406" s="28">
        <f t="shared" si="64"/>
        <v>0.81687983650274743</v>
      </c>
      <c r="AI406" s="28">
        <f t="shared" si="68"/>
        <v>0.39400000000000029</v>
      </c>
      <c r="AJ406">
        <v>0.64738914151432847</v>
      </c>
      <c r="AK406" s="28">
        <f t="shared" si="65"/>
        <v>0.24951347932854961</v>
      </c>
      <c r="AY406" s="28">
        <f t="shared" si="69"/>
        <v>0.39400000000000029</v>
      </c>
      <c r="AZ406">
        <v>0.63066499832148193</v>
      </c>
      <c r="BA406" s="28">
        <f t="shared" si="66"/>
        <v>0.63066499832148193</v>
      </c>
    </row>
    <row r="407" spans="19:53" x14ac:dyDescent="0.25">
      <c r="S407" s="28">
        <f t="shared" si="67"/>
        <v>0.3950000000000003</v>
      </c>
      <c r="T407">
        <v>0.82848597674489577</v>
      </c>
      <c r="U407" s="28">
        <f t="shared" si="64"/>
        <v>0.68219948903117156</v>
      </c>
      <c r="AI407" s="28">
        <f t="shared" si="68"/>
        <v>0.3950000000000003</v>
      </c>
      <c r="AJ407">
        <v>0.63093966490676601</v>
      </c>
      <c r="AK407" s="28">
        <f t="shared" si="65"/>
        <v>0.24452542530591581</v>
      </c>
      <c r="AY407" s="28">
        <f t="shared" si="69"/>
        <v>0.3950000000000003</v>
      </c>
      <c r="AZ407">
        <v>0.19101535081026644</v>
      </c>
      <c r="BA407" s="28">
        <f t="shared" si="66"/>
        <v>0.19101535081026644</v>
      </c>
    </row>
    <row r="408" spans="19:53" x14ac:dyDescent="0.25">
      <c r="S408" s="28">
        <f t="shared" si="67"/>
        <v>0.3960000000000003</v>
      </c>
      <c r="T408">
        <v>0.49827570421460615</v>
      </c>
      <c r="U408" s="28">
        <f t="shared" si="64"/>
        <v>0.49913932911235181</v>
      </c>
      <c r="AI408" s="28">
        <f t="shared" si="68"/>
        <v>0.3960000000000003</v>
      </c>
      <c r="AJ408">
        <v>0.27692495498519853</v>
      </c>
      <c r="AK408" s="28">
        <f t="shared" si="65"/>
        <v>0.15093400515245387</v>
      </c>
      <c r="AY408" s="28">
        <f t="shared" si="69"/>
        <v>0.3960000000000003</v>
      </c>
      <c r="AZ408">
        <v>0.41657765434736166</v>
      </c>
      <c r="BA408" s="28">
        <f t="shared" si="66"/>
        <v>0.41657765434736166</v>
      </c>
    </row>
    <row r="409" spans="19:53" x14ac:dyDescent="0.25">
      <c r="S409" s="28">
        <f t="shared" si="67"/>
        <v>0.3970000000000003</v>
      </c>
      <c r="T409">
        <v>0.41178624835963012</v>
      </c>
      <c r="U409" s="28">
        <f t="shared" si="64"/>
        <v>0.45569221048061292</v>
      </c>
      <c r="AI409" s="28">
        <f t="shared" si="68"/>
        <v>0.3970000000000003</v>
      </c>
      <c r="AJ409">
        <v>0.79271828363902708</v>
      </c>
      <c r="AK409" s="28">
        <f t="shared" si="65"/>
        <v>0.30143900017457814</v>
      </c>
      <c r="AY409" s="28">
        <f t="shared" si="69"/>
        <v>0.3970000000000003</v>
      </c>
      <c r="AZ409">
        <v>0.86519974364452035</v>
      </c>
      <c r="BA409" s="28">
        <f t="shared" si="66"/>
        <v>0.86519974364452035</v>
      </c>
    </row>
    <row r="410" spans="19:53" x14ac:dyDescent="0.25">
      <c r="S410" s="28">
        <f t="shared" si="67"/>
        <v>0.3980000000000003</v>
      </c>
      <c r="T410">
        <v>0.27118747520371106</v>
      </c>
      <c r="U410" s="28">
        <f t="shared" si="64"/>
        <v>0.38047157951141186</v>
      </c>
      <c r="AI410" s="28">
        <f t="shared" si="68"/>
        <v>0.3980000000000003</v>
      </c>
      <c r="AJ410">
        <v>0.65309610278633989</v>
      </c>
      <c r="AK410" s="28">
        <f t="shared" si="65"/>
        <v>0.25127354127198409</v>
      </c>
      <c r="AY410" s="28">
        <f t="shared" si="69"/>
        <v>0.3980000000000003</v>
      </c>
      <c r="AZ410">
        <v>0.10797448652607806</v>
      </c>
      <c r="BA410" s="28">
        <f t="shared" si="66"/>
        <v>0.10797448652607808</v>
      </c>
    </row>
    <row r="411" spans="19:53" x14ac:dyDescent="0.25">
      <c r="S411" s="28">
        <f t="shared" si="67"/>
        <v>0.3990000000000003</v>
      </c>
      <c r="T411">
        <v>0.28727072969756157</v>
      </c>
      <c r="U411" s="28">
        <f t="shared" si="64"/>
        <v>0.38961389132579782</v>
      </c>
      <c r="AI411" s="28">
        <f t="shared" si="68"/>
        <v>0.3990000000000003</v>
      </c>
      <c r="AJ411">
        <v>4.1810357982116152E-2</v>
      </c>
      <c r="AK411" s="28">
        <f t="shared" si="65"/>
        <v>7.0258930976654282E-2</v>
      </c>
      <c r="AY411" s="28">
        <f t="shared" si="69"/>
        <v>0.3990000000000003</v>
      </c>
      <c r="AZ411">
        <v>0.2206488235114597</v>
      </c>
      <c r="BA411" s="28">
        <f t="shared" si="66"/>
        <v>0.2206488235114597</v>
      </c>
    </row>
    <row r="412" spans="19:53" x14ac:dyDescent="0.25">
      <c r="S412" s="28">
        <f t="shared" si="67"/>
        <v>0.4000000000000003</v>
      </c>
      <c r="T412">
        <v>0.77397991882076478</v>
      </c>
      <c r="U412" s="28">
        <f t="shared" si="64"/>
        <v>0.64641145199213401</v>
      </c>
      <c r="AI412" s="28">
        <f t="shared" si="68"/>
        <v>0.4000000000000003</v>
      </c>
      <c r="AJ412">
        <v>0.88741721854304634</v>
      </c>
      <c r="AK412" s="28">
        <f t="shared" si="65"/>
        <v>0.35149914158382078</v>
      </c>
      <c r="AY412" s="28">
        <f t="shared" si="69"/>
        <v>0.4000000000000003</v>
      </c>
      <c r="AZ412">
        <v>3.8575395977660451E-2</v>
      </c>
      <c r="BA412" s="28">
        <f t="shared" si="66"/>
        <v>3.8575395977660444E-2</v>
      </c>
    </row>
    <row r="413" spans="19:53" x14ac:dyDescent="0.25">
      <c r="S413" s="28">
        <f t="shared" si="67"/>
        <v>0.4010000000000003</v>
      </c>
      <c r="T413">
        <v>0.25547044282357251</v>
      </c>
      <c r="U413" s="28">
        <f t="shared" si="64"/>
        <v>0.37133711605784619</v>
      </c>
      <c r="AI413" s="28">
        <f t="shared" si="68"/>
        <v>0.4010000000000003</v>
      </c>
      <c r="AJ413">
        <v>5.1179540391247294E-2</v>
      </c>
      <c r="AK413" s="28">
        <f t="shared" si="65"/>
        <v>7.5598739807944057E-2</v>
      </c>
      <c r="AY413" s="28">
        <f t="shared" si="69"/>
        <v>0.4010000000000003</v>
      </c>
      <c r="AZ413">
        <v>0.57942442091128266</v>
      </c>
      <c r="BA413" s="28">
        <f t="shared" si="66"/>
        <v>0.57942442091128266</v>
      </c>
    </row>
    <row r="414" spans="19:53" x14ac:dyDescent="0.25">
      <c r="S414" s="28">
        <f t="shared" si="67"/>
        <v>0.4020000000000003</v>
      </c>
      <c r="T414">
        <v>0.84707174901577809</v>
      </c>
      <c r="U414" s="28">
        <f t="shared" si="64"/>
        <v>0.69561104277330399</v>
      </c>
      <c r="AI414" s="28">
        <f t="shared" si="68"/>
        <v>0.4020000000000003</v>
      </c>
      <c r="AJ414">
        <v>0.75075533310953091</v>
      </c>
      <c r="AK414" s="28">
        <f t="shared" si="65"/>
        <v>0.28452754180271045</v>
      </c>
      <c r="AY414" s="28">
        <f t="shared" si="69"/>
        <v>0.4020000000000003</v>
      </c>
      <c r="AZ414">
        <v>8.5787530137028112E-2</v>
      </c>
      <c r="BA414" s="28">
        <f t="shared" si="66"/>
        <v>8.5787530137028112E-2</v>
      </c>
    </row>
    <row r="415" spans="19:53" x14ac:dyDescent="0.25">
      <c r="S415" s="28">
        <f t="shared" si="67"/>
        <v>0.4030000000000003</v>
      </c>
      <c r="T415">
        <v>0.88155766472365493</v>
      </c>
      <c r="U415" s="28">
        <f t="shared" si="64"/>
        <v>0.72290600186963627</v>
      </c>
      <c r="AI415" s="28">
        <f t="shared" si="68"/>
        <v>0.4030000000000003</v>
      </c>
      <c r="AJ415">
        <v>0.70189519943845946</v>
      </c>
      <c r="AK415" s="28">
        <f t="shared" si="65"/>
        <v>0.26705295366539838</v>
      </c>
      <c r="AY415" s="28">
        <f t="shared" si="69"/>
        <v>0.4030000000000003</v>
      </c>
      <c r="AZ415">
        <v>0.34174626911221656</v>
      </c>
      <c r="BA415" s="28">
        <f t="shared" si="66"/>
        <v>0.34174626911221656</v>
      </c>
    </row>
    <row r="416" spans="19:53" x14ac:dyDescent="0.25">
      <c r="S416" s="28">
        <f t="shared" si="67"/>
        <v>0.4040000000000003</v>
      </c>
      <c r="T416">
        <v>9.7994933927426989E-2</v>
      </c>
      <c r="U416" s="28">
        <f t="shared" si="64"/>
        <v>0.2588601176578344</v>
      </c>
      <c r="AI416" s="28">
        <f t="shared" si="68"/>
        <v>0.4040000000000003</v>
      </c>
      <c r="AJ416">
        <v>0.33136997589037753</v>
      </c>
      <c r="AK416" s="28">
        <f t="shared" si="65"/>
        <v>0.16501575364010548</v>
      </c>
      <c r="AY416" s="28">
        <f t="shared" si="69"/>
        <v>0.4040000000000003</v>
      </c>
      <c r="AZ416">
        <v>0.26361888485366375</v>
      </c>
      <c r="BA416" s="28">
        <f t="shared" si="66"/>
        <v>0.26361888485366375</v>
      </c>
    </row>
    <row r="417" spans="19:53" x14ac:dyDescent="0.25">
      <c r="S417" s="28">
        <f t="shared" si="67"/>
        <v>0.4050000000000003</v>
      </c>
      <c r="T417">
        <v>0.74617755668813135</v>
      </c>
      <c r="U417" s="28">
        <f t="shared" si="64"/>
        <v>0.6296332314584554</v>
      </c>
      <c r="AI417" s="28">
        <f t="shared" si="68"/>
        <v>0.4050000000000003</v>
      </c>
      <c r="AJ417">
        <v>0.59703360087893309</v>
      </c>
      <c r="AK417" s="28">
        <f t="shared" si="65"/>
        <v>0.23459690827801227</v>
      </c>
      <c r="AY417" s="28">
        <f t="shared" si="69"/>
        <v>0.4050000000000003</v>
      </c>
      <c r="AZ417">
        <v>0.8834498123111667</v>
      </c>
      <c r="BA417" s="28">
        <f t="shared" si="66"/>
        <v>0.8834498123111667</v>
      </c>
    </row>
    <row r="418" spans="19:53" x14ac:dyDescent="0.25">
      <c r="S418" s="28">
        <f t="shared" si="67"/>
        <v>0.40600000000000031</v>
      </c>
      <c r="T418">
        <v>0.63704336680196538</v>
      </c>
      <c r="U418" s="28">
        <f t="shared" si="64"/>
        <v>0.56946483154758343</v>
      </c>
      <c r="AI418" s="28">
        <f t="shared" si="68"/>
        <v>0.40600000000000031</v>
      </c>
      <c r="AJ418">
        <v>2.8534806360057376E-2</v>
      </c>
      <c r="AK418" s="28">
        <f t="shared" si="65"/>
        <v>6.1367830499995585E-2</v>
      </c>
      <c r="AY418" s="28">
        <f t="shared" si="69"/>
        <v>0.40600000000000031</v>
      </c>
      <c r="AZ418">
        <v>3.9063692129276406E-3</v>
      </c>
      <c r="BA418" s="28">
        <f t="shared" si="66"/>
        <v>3.9063692129276389E-3</v>
      </c>
    </row>
    <row r="419" spans="19:53" x14ac:dyDescent="0.25">
      <c r="S419" s="28">
        <f t="shared" si="67"/>
        <v>0.40700000000000031</v>
      </c>
      <c r="T419">
        <v>0.77410199285866876</v>
      </c>
      <c r="U419" s="28">
        <f t="shared" si="64"/>
        <v>0.64648696957483009</v>
      </c>
      <c r="AI419" s="28">
        <f t="shared" si="68"/>
        <v>0.40700000000000031</v>
      </c>
      <c r="AJ419">
        <v>0.47584459974974824</v>
      </c>
      <c r="AK419" s="28">
        <f t="shared" si="65"/>
        <v>0.20179944621138227</v>
      </c>
      <c r="AY419" s="28">
        <f t="shared" si="69"/>
        <v>0.40700000000000031</v>
      </c>
      <c r="AZ419">
        <v>0.79393902401806693</v>
      </c>
      <c r="BA419" s="28">
        <f t="shared" si="66"/>
        <v>0.79393902401806693</v>
      </c>
    </row>
    <row r="420" spans="19:53" x14ac:dyDescent="0.25">
      <c r="S420" s="28">
        <f t="shared" si="67"/>
        <v>0.40800000000000031</v>
      </c>
      <c r="T420">
        <v>0.48631244850001526</v>
      </c>
      <c r="U420" s="28">
        <f t="shared" si="64"/>
        <v>0.49316694724467092</v>
      </c>
      <c r="AI420" s="28">
        <f t="shared" si="68"/>
        <v>0.40800000000000031</v>
      </c>
      <c r="AJ420">
        <v>0.12656025879696037</v>
      </c>
      <c r="AK420" s="28">
        <f t="shared" si="65"/>
        <v>0.10700547091959721</v>
      </c>
      <c r="AY420" s="28">
        <f t="shared" si="69"/>
        <v>0.40800000000000031</v>
      </c>
      <c r="AZ420">
        <v>0.19571520126956998</v>
      </c>
      <c r="BA420" s="28">
        <f t="shared" si="66"/>
        <v>0.19571520126956998</v>
      </c>
    </row>
    <row r="421" spans="19:53" x14ac:dyDescent="0.25">
      <c r="S421" s="28">
        <f t="shared" si="67"/>
        <v>0.40900000000000031</v>
      </c>
      <c r="T421">
        <v>0.82280953398236034</v>
      </c>
      <c r="U421" s="28">
        <f t="shared" si="64"/>
        <v>0.67824658790336756</v>
      </c>
      <c r="AI421" s="28">
        <f t="shared" si="68"/>
        <v>0.40900000000000031</v>
      </c>
      <c r="AJ421">
        <v>4.1840876491592148E-2</v>
      </c>
      <c r="AK421" s="28">
        <f t="shared" si="65"/>
        <v>7.0277351511675218E-2</v>
      </c>
      <c r="AY421" s="28">
        <f t="shared" si="69"/>
        <v>0.40900000000000031</v>
      </c>
      <c r="AZ421">
        <v>0.49687185277871027</v>
      </c>
      <c r="BA421" s="28">
        <f t="shared" si="66"/>
        <v>0.49687185277871027</v>
      </c>
    </row>
    <row r="422" spans="19:53" x14ac:dyDescent="0.25">
      <c r="S422" s="28">
        <f t="shared" si="67"/>
        <v>0.41000000000000031</v>
      </c>
      <c r="T422">
        <v>0.36402478102969449</v>
      </c>
      <c r="U422" s="28">
        <f t="shared" si="64"/>
        <v>0.43109356630287743</v>
      </c>
      <c r="AI422" s="28">
        <f t="shared" si="68"/>
        <v>0.41000000000000031</v>
      </c>
      <c r="AJ422">
        <v>0.65804010132145141</v>
      </c>
      <c r="AK422" s="28">
        <f t="shared" si="65"/>
        <v>0.25281134444844422</v>
      </c>
      <c r="AY422" s="28">
        <f t="shared" si="69"/>
        <v>0.41000000000000031</v>
      </c>
      <c r="AZ422">
        <v>0.10846278267769402</v>
      </c>
      <c r="BA422" s="28">
        <f t="shared" si="66"/>
        <v>0.10846278267769403</v>
      </c>
    </row>
    <row r="423" spans="19:53" x14ac:dyDescent="0.25">
      <c r="S423" s="28">
        <f t="shared" si="67"/>
        <v>0.41100000000000031</v>
      </c>
      <c r="T423">
        <v>0.6777550584429457</v>
      </c>
      <c r="U423" s="28">
        <f t="shared" si="64"/>
        <v>0.59110393205680367</v>
      </c>
      <c r="AI423" s="28">
        <f t="shared" si="68"/>
        <v>0.41100000000000031</v>
      </c>
      <c r="AJ423">
        <v>0.3303323465681936</v>
      </c>
      <c r="AK423" s="28">
        <f t="shared" si="65"/>
        <v>0.1647507582191963</v>
      </c>
      <c r="AY423" s="28">
        <f t="shared" si="69"/>
        <v>0.41100000000000031</v>
      </c>
      <c r="AZ423">
        <v>0.12448500015259255</v>
      </c>
      <c r="BA423" s="28">
        <f t="shared" si="66"/>
        <v>0.12448500015259255</v>
      </c>
    </row>
    <row r="424" spans="19:53" x14ac:dyDescent="0.25">
      <c r="S424" s="28">
        <f t="shared" si="67"/>
        <v>0.41200000000000031</v>
      </c>
      <c r="T424">
        <v>0.6564226203192236</v>
      </c>
      <c r="U424" s="28">
        <f t="shared" si="64"/>
        <v>0.57967348600184199</v>
      </c>
      <c r="AI424" s="28">
        <f t="shared" si="68"/>
        <v>0.41200000000000031</v>
      </c>
      <c r="AJ424">
        <v>0.4302499465926084</v>
      </c>
      <c r="AK424" s="28">
        <f t="shared" si="65"/>
        <v>0.19010343003509178</v>
      </c>
      <c r="AY424" s="28">
        <f t="shared" si="69"/>
        <v>0.41200000000000031</v>
      </c>
      <c r="AZ424">
        <v>0.83584093752861111</v>
      </c>
      <c r="BA424" s="28">
        <f t="shared" si="66"/>
        <v>0.83584093752861111</v>
      </c>
    </row>
    <row r="425" spans="19:53" x14ac:dyDescent="0.25">
      <c r="S425" s="28">
        <f t="shared" si="67"/>
        <v>0.41300000000000031</v>
      </c>
      <c r="T425">
        <v>0.26508377330851163</v>
      </c>
      <c r="U425" s="28">
        <f t="shared" si="64"/>
        <v>0.37694917583198734</v>
      </c>
      <c r="AI425" s="28">
        <f t="shared" si="68"/>
        <v>0.41300000000000031</v>
      </c>
      <c r="AJ425">
        <v>0.2423169652394177</v>
      </c>
      <c r="AK425" s="28">
        <f t="shared" si="65"/>
        <v>0.1416946486428953</v>
      </c>
      <c r="AY425" s="28">
        <f t="shared" si="69"/>
        <v>0.41300000000000031</v>
      </c>
      <c r="AZ425">
        <v>0.98760948515274516</v>
      </c>
      <c r="BA425" s="28">
        <f t="shared" si="66"/>
        <v>0.98760948515274516</v>
      </c>
    </row>
    <row r="426" spans="19:53" x14ac:dyDescent="0.25">
      <c r="S426" s="28">
        <f t="shared" si="67"/>
        <v>0.41400000000000031</v>
      </c>
      <c r="T426">
        <v>0.39228492080446792</v>
      </c>
      <c r="U426" s="28">
        <f t="shared" si="64"/>
        <v>0.44572738657426786</v>
      </c>
      <c r="AI426" s="28">
        <f t="shared" si="68"/>
        <v>0.41400000000000031</v>
      </c>
      <c r="AJ426">
        <v>0.58336130863368629</v>
      </c>
      <c r="AK426" s="28">
        <f t="shared" si="65"/>
        <v>0.2307101169506276</v>
      </c>
      <c r="AY426" s="28">
        <f t="shared" si="69"/>
        <v>0.41400000000000031</v>
      </c>
      <c r="AZ426">
        <v>0.48313852351451153</v>
      </c>
      <c r="BA426" s="28">
        <f t="shared" si="66"/>
        <v>0.48313852351451153</v>
      </c>
    </row>
    <row r="427" spans="19:53" x14ac:dyDescent="0.25">
      <c r="S427" s="28">
        <f t="shared" si="67"/>
        <v>0.41500000000000031</v>
      </c>
      <c r="T427">
        <v>0.88869899594103829</v>
      </c>
      <c r="U427" s="28">
        <f t="shared" si="64"/>
        <v>0.72906406581055816</v>
      </c>
      <c r="AI427" s="28">
        <f t="shared" si="68"/>
        <v>0.41500000000000031</v>
      </c>
      <c r="AJ427">
        <v>0.39005706961272013</v>
      </c>
      <c r="AK427" s="28">
        <f t="shared" si="65"/>
        <v>0.17990869224940825</v>
      </c>
      <c r="AY427" s="28">
        <f t="shared" si="69"/>
        <v>0.41500000000000031</v>
      </c>
      <c r="AZ427">
        <v>0.2195806756797998</v>
      </c>
      <c r="BA427" s="28">
        <f t="shared" si="66"/>
        <v>0.2195806756797998</v>
      </c>
    </row>
    <row r="428" spans="19:53" x14ac:dyDescent="0.25">
      <c r="S428" s="28">
        <f t="shared" si="67"/>
        <v>0.41600000000000031</v>
      </c>
      <c r="T428">
        <v>5.2217169713431197E-2</v>
      </c>
      <c r="U428" s="28">
        <f t="shared" si="64"/>
        <v>0.20802176321099747</v>
      </c>
      <c r="AI428" s="28">
        <f t="shared" si="68"/>
        <v>0.41600000000000031</v>
      </c>
      <c r="AJ428">
        <v>0.49565111239967041</v>
      </c>
      <c r="AK428" s="28">
        <f t="shared" si="65"/>
        <v>0.2069559435828458</v>
      </c>
      <c r="AY428" s="28">
        <f t="shared" si="69"/>
        <v>0.41600000000000031</v>
      </c>
      <c r="AZ428">
        <v>0.61412396618549148</v>
      </c>
      <c r="BA428" s="28">
        <f t="shared" si="66"/>
        <v>0.61412396618549148</v>
      </c>
    </row>
    <row r="429" spans="19:53" x14ac:dyDescent="0.25">
      <c r="S429" s="28">
        <f t="shared" si="67"/>
        <v>0.41700000000000031</v>
      </c>
      <c r="T429">
        <v>0.24362926114688557</v>
      </c>
      <c r="U429" s="28">
        <f t="shared" si="64"/>
        <v>0.36430782950161966</v>
      </c>
      <c r="AI429" s="28">
        <f t="shared" si="68"/>
        <v>0.41700000000000031</v>
      </c>
      <c r="AJ429">
        <v>5.6520279549546804E-2</v>
      </c>
      <c r="AK429" s="28">
        <f t="shared" si="65"/>
        <v>7.8404100138622243E-2</v>
      </c>
      <c r="AY429" s="28">
        <f t="shared" si="69"/>
        <v>0.41700000000000031</v>
      </c>
      <c r="AZ429">
        <v>0.29999694814905242</v>
      </c>
      <c r="BA429" s="28">
        <f t="shared" si="66"/>
        <v>0.29999694814905242</v>
      </c>
    </row>
    <row r="430" spans="19:53" x14ac:dyDescent="0.25">
      <c r="S430" s="28">
        <f t="shared" si="67"/>
        <v>0.41800000000000032</v>
      </c>
      <c r="T430">
        <v>0.20291756950590534</v>
      </c>
      <c r="U430" s="28">
        <f t="shared" si="64"/>
        <v>0.33896279879187757</v>
      </c>
      <c r="AI430" s="28">
        <f t="shared" si="68"/>
        <v>0.41800000000000032</v>
      </c>
      <c r="AJ430">
        <v>0.87728507339701534</v>
      </c>
      <c r="AK430" s="28">
        <f t="shared" si="65"/>
        <v>0.34489166069001953</v>
      </c>
      <c r="AY430" s="28">
        <f t="shared" si="69"/>
        <v>0.41800000000000032</v>
      </c>
      <c r="AZ430">
        <v>9.0365306558427685E-2</v>
      </c>
      <c r="BA430" s="28">
        <f t="shared" si="66"/>
        <v>9.0365306558427685E-2</v>
      </c>
    </row>
    <row r="431" spans="19:53" x14ac:dyDescent="0.25">
      <c r="S431" s="28">
        <f t="shared" si="67"/>
        <v>0.41900000000000032</v>
      </c>
      <c r="T431">
        <v>0.48579363383892332</v>
      </c>
      <c r="U431" s="28">
        <f t="shared" si="64"/>
        <v>0.49290786473592307</v>
      </c>
      <c r="AI431" s="28">
        <f t="shared" si="68"/>
        <v>0.41900000000000032</v>
      </c>
      <c r="AJ431">
        <v>0.99621570482497634</v>
      </c>
      <c r="AK431" s="28">
        <f t="shared" si="65"/>
        <v>0.54518216218464921</v>
      </c>
      <c r="AY431" s="28">
        <f t="shared" si="69"/>
        <v>0.41900000000000032</v>
      </c>
      <c r="AZ431">
        <v>0.30549027985473187</v>
      </c>
      <c r="BA431" s="28">
        <f t="shared" si="66"/>
        <v>0.30549027985473187</v>
      </c>
    </row>
    <row r="432" spans="19:53" x14ac:dyDescent="0.25">
      <c r="S432" s="28">
        <f t="shared" si="67"/>
        <v>0.42000000000000032</v>
      </c>
      <c r="T432">
        <v>0.37122714926602984</v>
      </c>
      <c r="U432" s="28">
        <f t="shared" si="64"/>
        <v>0.43484803375476572</v>
      </c>
      <c r="AI432" s="28">
        <f t="shared" si="68"/>
        <v>0.42000000000000032</v>
      </c>
      <c r="AJ432">
        <v>0.12207403790398877</v>
      </c>
      <c r="AK432" s="28">
        <f t="shared" si="65"/>
        <v>0.10545078883027634</v>
      </c>
      <c r="AY432" s="28">
        <f t="shared" si="69"/>
        <v>0.42000000000000032</v>
      </c>
      <c r="AZ432">
        <v>1.0254219183935057E-2</v>
      </c>
      <c r="BA432" s="28">
        <f t="shared" si="66"/>
        <v>1.0254219183935055E-2</v>
      </c>
    </row>
    <row r="433" spans="19:53" x14ac:dyDescent="0.25">
      <c r="S433" s="28">
        <f t="shared" si="67"/>
        <v>0.42100000000000032</v>
      </c>
      <c r="T433">
        <v>0.36378063295388652</v>
      </c>
      <c r="U433" s="28">
        <f t="shared" si="64"/>
        <v>0.43096596958990557</v>
      </c>
      <c r="AI433" s="28">
        <f t="shared" si="68"/>
        <v>0.42100000000000032</v>
      </c>
      <c r="AJ433">
        <v>0.11807611316263314</v>
      </c>
      <c r="AK433" s="28">
        <f t="shared" si="65"/>
        <v>0.10404385776893837</v>
      </c>
      <c r="AY433" s="28">
        <f t="shared" si="69"/>
        <v>0.42100000000000032</v>
      </c>
      <c r="AZ433">
        <v>1.8982512894070255E-2</v>
      </c>
      <c r="BA433" s="28">
        <f t="shared" si="66"/>
        <v>1.8982512894070259E-2</v>
      </c>
    </row>
    <row r="434" spans="19:53" x14ac:dyDescent="0.25">
      <c r="S434" s="28">
        <f t="shared" si="67"/>
        <v>0.42200000000000032</v>
      </c>
      <c r="T434">
        <v>0.38639484847560046</v>
      </c>
      <c r="U434" s="28">
        <f t="shared" si="64"/>
        <v>0.4426979297559045</v>
      </c>
      <c r="AI434" s="28">
        <f t="shared" si="68"/>
        <v>0.42200000000000032</v>
      </c>
      <c r="AJ434">
        <v>4.3580431531723994E-2</v>
      </c>
      <c r="AK434" s="28">
        <f t="shared" si="65"/>
        <v>7.131514613470312E-2</v>
      </c>
      <c r="AY434" s="28">
        <f t="shared" si="69"/>
        <v>0.42200000000000032</v>
      </c>
      <c r="AZ434">
        <v>0.60362559892574852</v>
      </c>
      <c r="BA434" s="28">
        <f t="shared" si="66"/>
        <v>0.60362559892574852</v>
      </c>
    </row>
    <row r="435" spans="19:53" x14ac:dyDescent="0.25">
      <c r="S435" s="28">
        <f t="shared" si="67"/>
        <v>0.42300000000000032</v>
      </c>
      <c r="T435">
        <v>0.97729422894985807</v>
      </c>
      <c r="U435" s="28">
        <f t="shared" si="64"/>
        <v>0.84229637464884299</v>
      </c>
      <c r="AI435" s="28">
        <f t="shared" si="68"/>
        <v>0.42300000000000032</v>
      </c>
      <c r="AJ435">
        <v>0.9226355784783471</v>
      </c>
      <c r="AK435" s="28">
        <f t="shared" si="65"/>
        <v>0.37883828098569072</v>
      </c>
      <c r="AY435" s="28">
        <f t="shared" si="69"/>
        <v>0.42300000000000032</v>
      </c>
      <c r="AZ435">
        <v>0.5774101992858669</v>
      </c>
      <c r="BA435" s="28">
        <f t="shared" si="66"/>
        <v>0.5774101992858669</v>
      </c>
    </row>
    <row r="436" spans="19:53" x14ac:dyDescent="0.25">
      <c r="S436" s="28">
        <f t="shared" si="67"/>
        <v>0.42400000000000032</v>
      </c>
      <c r="T436">
        <v>0.74953459273049106</v>
      </c>
      <c r="U436" s="28">
        <f t="shared" si="64"/>
        <v>0.63161767023969229</v>
      </c>
      <c r="AI436" s="28">
        <f t="shared" si="68"/>
        <v>0.42400000000000032</v>
      </c>
      <c r="AJ436">
        <v>0.63087862788781401</v>
      </c>
      <c r="AK436" s="28">
        <f t="shared" si="65"/>
        <v>0.24450714071102631</v>
      </c>
      <c r="AY436" s="28">
        <f t="shared" si="69"/>
        <v>0.42400000000000032</v>
      </c>
      <c r="AZ436">
        <v>0.29279457991271707</v>
      </c>
      <c r="BA436" s="28">
        <f t="shared" si="66"/>
        <v>0.29279457991271707</v>
      </c>
    </row>
    <row r="437" spans="19:53" x14ac:dyDescent="0.25">
      <c r="S437" s="28">
        <f t="shared" si="67"/>
        <v>0.42500000000000032</v>
      </c>
      <c r="T437">
        <v>0.73528244880520033</v>
      </c>
      <c r="U437" s="28">
        <f t="shared" si="64"/>
        <v>0.62326315079306593</v>
      </c>
      <c r="AI437" s="28">
        <f t="shared" si="68"/>
        <v>0.42500000000000032</v>
      </c>
      <c r="AJ437">
        <v>3.4028138065736867E-2</v>
      </c>
      <c r="AK437" s="28">
        <f t="shared" si="65"/>
        <v>6.5286106453105258E-2</v>
      </c>
      <c r="AY437" s="28">
        <f t="shared" si="69"/>
        <v>0.42500000000000032</v>
      </c>
      <c r="AZ437">
        <v>0.27698599200415053</v>
      </c>
      <c r="BA437" s="28">
        <f t="shared" si="66"/>
        <v>0.27698599200415053</v>
      </c>
    </row>
    <row r="438" spans="19:53" x14ac:dyDescent="0.25">
      <c r="S438" s="28">
        <f t="shared" si="67"/>
        <v>0.42600000000000032</v>
      </c>
      <c r="T438">
        <v>0.55943479720450451</v>
      </c>
      <c r="U438" s="28">
        <f t="shared" si="64"/>
        <v>0.5297502936654237</v>
      </c>
      <c r="AI438" s="28">
        <f t="shared" si="68"/>
        <v>0.42600000000000032</v>
      </c>
      <c r="AJ438">
        <v>4.88906521805475E-2</v>
      </c>
      <c r="AK438" s="28">
        <f t="shared" si="65"/>
        <v>7.4347743711619688E-2</v>
      </c>
      <c r="AY438" s="28">
        <f t="shared" si="69"/>
        <v>0.42600000000000032</v>
      </c>
      <c r="AZ438">
        <v>0.31159398174993136</v>
      </c>
      <c r="BA438" s="28">
        <f t="shared" si="66"/>
        <v>0.31159398174993136</v>
      </c>
    </row>
    <row r="439" spans="19:53" x14ac:dyDescent="0.25">
      <c r="S439" s="28">
        <f t="shared" si="67"/>
        <v>0.42700000000000032</v>
      </c>
      <c r="T439">
        <v>0.17566454054383984</v>
      </c>
      <c r="U439" s="28">
        <f t="shared" si="64"/>
        <v>0.32069686445613599</v>
      </c>
      <c r="AI439" s="28">
        <f t="shared" si="68"/>
        <v>0.42700000000000032</v>
      </c>
      <c r="AJ439">
        <v>0.40702536088137453</v>
      </c>
      <c r="AK439" s="28">
        <f t="shared" si="65"/>
        <v>0.18420578038609786</v>
      </c>
      <c r="AY439" s="28">
        <f t="shared" si="69"/>
        <v>0.42700000000000032</v>
      </c>
      <c r="AZ439">
        <v>0.61104159672841574</v>
      </c>
      <c r="BA439" s="28">
        <f t="shared" si="66"/>
        <v>0.61104159672841574</v>
      </c>
    </row>
    <row r="440" spans="19:53" x14ac:dyDescent="0.25">
      <c r="S440" s="28">
        <f t="shared" si="67"/>
        <v>0.42800000000000032</v>
      </c>
      <c r="T440">
        <v>0.26151310769981995</v>
      </c>
      <c r="U440" s="28">
        <f t="shared" si="64"/>
        <v>0.37487412001604892</v>
      </c>
      <c r="AI440" s="28">
        <f t="shared" si="68"/>
        <v>0.42800000000000032</v>
      </c>
      <c r="AJ440">
        <v>0.39750358592486346</v>
      </c>
      <c r="AK440" s="28">
        <f t="shared" si="65"/>
        <v>0.18179378651844141</v>
      </c>
      <c r="AY440" s="28">
        <f t="shared" si="69"/>
        <v>0.42800000000000032</v>
      </c>
      <c r="AZ440">
        <v>0.90887173070467242</v>
      </c>
      <c r="BA440" s="28">
        <f t="shared" si="66"/>
        <v>0.90887173070467242</v>
      </c>
    </row>
    <row r="441" spans="19:53" x14ac:dyDescent="0.25">
      <c r="S441" s="28">
        <f t="shared" si="67"/>
        <v>0.42900000000000033</v>
      </c>
      <c r="T441">
        <v>9.8239082003234959E-2</v>
      </c>
      <c r="U441" s="28">
        <f t="shared" si="64"/>
        <v>0.25908955567004516</v>
      </c>
      <c r="AI441" s="28">
        <f t="shared" si="68"/>
        <v>0.42900000000000033</v>
      </c>
      <c r="AJ441">
        <v>0.91274758140812406</v>
      </c>
      <c r="AK441" s="28">
        <f t="shared" si="65"/>
        <v>0.3703100792961953</v>
      </c>
      <c r="AY441" s="28">
        <f t="shared" si="69"/>
        <v>0.42900000000000033</v>
      </c>
      <c r="AZ441">
        <v>0.70967741935483875</v>
      </c>
      <c r="BA441" s="28">
        <f t="shared" si="66"/>
        <v>0.70967741935483875</v>
      </c>
    </row>
    <row r="442" spans="19:53" x14ac:dyDescent="0.25">
      <c r="S442" s="28">
        <f t="shared" si="67"/>
        <v>0.43000000000000033</v>
      </c>
      <c r="T442">
        <v>0.11151463362529374</v>
      </c>
      <c r="U442" s="28">
        <f t="shared" si="64"/>
        <v>0.27112319224884462</v>
      </c>
      <c r="AI442" s="28">
        <f t="shared" si="68"/>
        <v>0.43000000000000033</v>
      </c>
      <c r="AJ442">
        <v>0.36347544785912655</v>
      </c>
      <c r="AK442" s="28">
        <f t="shared" si="65"/>
        <v>0.17317853918710072</v>
      </c>
      <c r="AY442" s="28">
        <f t="shared" si="69"/>
        <v>0.43000000000000033</v>
      </c>
      <c r="AZ442">
        <v>0.87627796258430735</v>
      </c>
      <c r="BA442" s="28">
        <f t="shared" si="66"/>
        <v>0.87627796258430735</v>
      </c>
    </row>
    <row r="443" spans="19:53" x14ac:dyDescent="0.25">
      <c r="S443" s="28">
        <f t="shared" si="67"/>
        <v>0.43100000000000033</v>
      </c>
      <c r="T443">
        <v>0.58293404950102234</v>
      </c>
      <c r="U443" s="28">
        <f t="shared" si="64"/>
        <v>0.54162530132862297</v>
      </c>
      <c r="AI443" s="28">
        <f t="shared" si="68"/>
        <v>0.43100000000000033</v>
      </c>
      <c r="AJ443">
        <v>0.15225684377574999</v>
      </c>
      <c r="AK443" s="28">
        <f t="shared" si="65"/>
        <v>0.11549178553658337</v>
      </c>
      <c r="AY443" s="28">
        <f t="shared" si="69"/>
        <v>0.43100000000000033</v>
      </c>
      <c r="AZ443">
        <v>0.21387371440778832</v>
      </c>
      <c r="BA443" s="28">
        <f t="shared" si="66"/>
        <v>0.21387371440778832</v>
      </c>
    </row>
    <row r="444" spans="19:53" x14ac:dyDescent="0.25">
      <c r="S444" s="28">
        <f t="shared" si="67"/>
        <v>0.43200000000000033</v>
      </c>
      <c r="T444">
        <v>0.8903164769432661</v>
      </c>
      <c r="U444" s="28">
        <f t="shared" si="64"/>
        <v>0.73048824398963308</v>
      </c>
      <c r="AI444" s="28">
        <f t="shared" si="68"/>
        <v>0.43200000000000033</v>
      </c>
      <c r="AJ444">
        <v>0.47190771202734461</v>
      </c>
      <c r="AK444" s="28">
        <f t="shared" si="65"/>
        <v>0.20078089753141817</v>
      </c>
      <c r="AY444" s="28">
        <f t="shared" si="69"/>
        <v>0.43200000000000033</v>
      </c>
      <c r="AZ444">
        <v>0.55561998352000486</v>
      </c>
      <c r="BA444" s="28">
        <f t="shared" si="66"/>
        <v>0.55561998352000486</v>
      </c>
    </row>
    <row r="445" spans="19:53" x14ac:dyDescent="0.25">
      <c r="S445" s="28">
        <f t="shared" si="67"/>
        <v>0.43300000000000033</v>
      </c>
      <c r="T445">
        <v>0.53718680379650263</v>
      </c>
      <c r="U445" s="28">
        <f t="shared" si="64"/>
        <v>0.51858196088153874</v>
      </c>
      <c r="AI445" s="28">
        <f t="shared" si="68"/>
        <v>0.43300000000000033</v>
      </c>
      <c r="AJ445">
        <v>0.62822351756340222</v>
      </c>
      <c r="AK445" s="28">
        <f t="shared" si="65"/>
        <v>0.24371329696520572</v>
      </c>
      <c r="AY445" s="28">
        <f t="shared" si="69"/>
        <v>0.43300000000000033</v>
      </c>
      <c r="AZ445">
        <v>0.3665272988067263</v>
      </c>
      <c r="BA445" s="28">
        <f t="shared" si="66"/>
        <v>0.3665272988067263</v>
      </c>
    </row>
    <row r="446" spans="19:53" x14ac:dyDescent="0.25">
      <c r="S446" s="28">
        <f t="shared" si="67"/>
        <v>0.43400000000000033</v>
      </c>
      <c r="T446">
        <v>0.18799401837214272</v>
      </c>
      <c r="U446" s="28">
        <f t="shared" si="64"/>
        <v>0.32911333159960954</v>
      </c>
      <c r="AI446" s="28">
        <f t="shared" si="68"/>
        <v>0.43400000000000033</v>
      </c>
      <c r="AJ446">
        <v>0.79351176488540298</v>
      </c>
      <c r="AK446" s="28">
        <f t="shared" si="65"/>
        <v>0.30178048396242219</v>
      </c>
      <c r="AY446" s="28">
        <f t="shared" si="69"/>
        <v>0.43400000000000033</v>
      </c>
      <c r="AZ446">
        <v>0.22556230353709525</v>
      </c>
      <c r="BA446" s="28">
        <f t="shared" si="66"/>
        <v>0.22556230353709522</v>
      </c>
    </row>
    <row r="447" spans="19:53" x14ac:dyDescent="0.25">
      <c r="S447" s="28">
        <f t="shared" si="67"/>
        <v>0.43500000000000033</v>
      </c>
      <c r="T447">
        <v>6.616412854396192E-2</v>
      </c>
      <c r="U447" s="28">
        <f t="shared" si="64"/>
        <v>0.22558546594735174</v>
      </c>
      <c r="AI447" s="28">
        <f t="shared" si="68"/>
        <v>0.43500000000000033</v>
      </c>
      <c r="AJ447">
        <v>0.95510727256080818</v>
      </c>
      <c r="AK447" s="28">
        <f t="shared" si="65"/>
        <v>0.41502775433531491</v>
      </c>
      <c r="AY447" s="28">
        <f t="shared" si="69"/>
        <v>0.43500000000000033</v>
      </c>
      <c r="AZ447">
        <v>0.87206640827661974</v>
      </c>
      <c r="BA447" s="28">
        <f t="shared" si="66"/>
        <v>0.87206640827661974</v>
      </c>
    </row>
    <row r="448" spans="19:53" x14ac:dyDescent="0.25">
      <c r="S448" s="28">
        <f t="shared" si="67"/>
        <v>0.43600000000000033</v>
      </c>
      <c r="T448">
        <v>0.62483596301156652</v>
      </c>
      <c r="U448" s="28">
        <f t="shared" si="64"/>
        <v>0.56310733785288214</v>
      </c>
      <c r="AI448" s="28">
        <f t="shared" si="68"/>
        <v>0.43600000000000033</v>
      </c>
      <c r="AJ448">
        <v>0.31794183172093876</v>
      </c>
      <c r="AK448" s="28">
        <f t="shared" si="65"/>
        <v>0.16157848541192316</v>
      </c>
      <c r="AY448" s="28">
        <f t="shared" si="69"/>
        <v>0.43600000000000033</v>
      </c>
      <c r="AZ448">
        <v>0.46458326975310527</v>
      </c>
      <c r="BA448" s="28">
        <f t="shared" si="66"/>
        <v>0.46458326975310527</v>
      </c>
    </row>
    <row r="449" spans="19:53" x14ac:dyDescent="0.25">
      <c r="S449" s="28">
        <f t="shared" si="67"/>
        <v>0.43700000000000033</v>
      </c>
      <c r="T449">
        <v>0.81414227729117705</v>
      </c>
      <c r="U449" s="28">
        <f t="shared" si="64"/>
        <v>0.67232585078177798</v>
      </c>
      <c r="AI449" s="28">
        <f t="shared" si="68"/>
        <v>0.43700000000000033</v>
      </c>
      <c r="AJ449">
        <v>0.72698141422772911</v>
      </c>
      <c r="AK449" s="28">
        <f t="shared" si="65"/>
        <v>0.27577648541808264</v>
      </c>
      <c r="AY449" s="28">
        <f t="shared" si="69"/>
        <v>0.43700000000000033</v>
      </c>
      <c r="AZ449">
        <v>0.98324533829767757</v>
      </c>
      <c r="BA449" s="28">
        <f t="shared" si="66"/>
        <v>0.98324533829767757</v>
      </c>
    </row>
    <row r="450" spans="19:53" x14ac:dyDescent="0.25">
      <c r="S450" s="28">
        <f t="shared" si="67"/>
        <v>0.43800000000000033</v>
      </c>
      <c r="T450">
        <v>0.81575975829340497</v>
      </c>
      <c r="U450" s="28">
        <f t="shared" si="64"/>
        <v>0.67342069363383861</v>
      </c>
      <c r="AI450" s="28">
        <f t="shared" si="68"/>
        <v>0.43800000000000033</v>
      </c>
      <c r="AJ450">
        <v>0.38550981170079651</v>
      </c>
      <c r="AK450" s="28">
        <f t="shared" si="65"/>
        <v>0.17875778649107926</v>
      </c>
      <c r="AY450" s="28">
        <f t="shared" si="69"/>
        <v>0.43800000000000033</v>
      </c>
      <c r="AZ450">
        <v>0.36219367046113465</v>
      </c>
      <c r="BA450" s="28">
        <f t="shared" si="66"/>
        <v>0.36219367046113465</v>
      </c>
    </row>
    <row r="451" spans="19:53" x14ac:dyDescent="0.25">
      <c r="S451" s="28">
        <f t="shared" si="67"/>
        <v>0.43900000000000033</v>
      </c>
      <c r="T451">
        <v>0.10583819086275827</v>
      </c>
      <c r="U451" s="28">
        <f t="shared" si="64"/>
        <v>0.26607943572944687</v>
      </c>
      <c r="AI451" s="28">
        <f t="shared" si="68"/>
        <v>0.43900000000000033</v>
      </c>
      <c r="AJ451">
        <v>0.11777092806787316</v>
      </c>
      <c r="AK451" s="28">
        <f t="shared" si="65"/>
        <v>0.10393559006892915</v>
      </c>
      <c r="AY451" s="28">
        <f t="shared" si="69"/>
        <v>0.43900000000000033</v>
      </c>
      <c r="AZ451">
        <v>0.44923245948667867</v>
      </c>
      <c r="BA451" s="28">
        <f t="shared" si="66"/>
        <v>0.44923245948667867</v>
      </c>
    </row>
    <row r="452" spans="19:53" x14ac:dyDescent="0.25">
      <c r="S452" s="28">
        <f t="shared" si="67"/>
        <v>0.44000000000000034</v>
      </c>
      <c r="T452">
        <v>0.84057130649739065</v>
      </c>
      <c r="U452" s="28">
        <f t="shared" si="64"/>
        <v>0.6908331545433517</v>
      </c>
      <c r="AI452" s="28">
        <f t="shared" si="68"/>
        <v>0.44000000000000034</v>
      </c>
      <c r="AJ452">
        <v>0.20307016205328532</v>
      </c>
      <c r="AK452" s="28">
        <f t="shared" si="65"/>
        <v>0.13076890164201588</v>
      </c>
      <c r="AY452" s="28">
        <f t="shared" si="69"/>
        <v>0.44000000000000034</v>
      </c>
      <c r="AZ452">
        <v>0.93008209479049042</v>
      </c>
      <c r="BA452" s="28">
        <f t="shared" si="66"/>
        <v>0.93008209479049042</v>
      </c>
    </row>
    <row r="453" spans="19:53" x14ac:dyDescent="0.25">
      <c r="S453" s="28">
        <f t="shared" si="67"/>
        <v>0.44100000000000034</v>
      </c>
      <c r="T453">
        <v>0.85222937711722158</v>
      </c>
      <c r="U453" s="28">
        <f t="shared" si="64"/>
        <v>0.69947492656545296</v>
      </c>
      <c r="AI453" s="28">
        <f t="shared" si="68"/>
        <v>0.44100000000000034</v>
      </c>
      <c r="AJ453">
        <v>0.38364818262276068</v>
      </c>
      <c r="AK453" s="28">
        <f t="shared" si="65"/>
        <v>0.17828662192531219</v>
      </c>
      <c r="AY453" s="28">
        <f t="shared" si="69"/>
        <v>0.44100000000000034</v>
      </c>
      <c r="AZ453">
        <v>0.52110354930265201</v>
      </c>
      <c r="BA453" s="28">
        <f t="shared" si="66"/>
        <v>0.52110354930265201</v>
      </c>
    </row>
    <row r="454" spans="19:53" x14ac:dyDescent="0.25">
      <c r="S454" s="28">
        <f t="shared" si="67"/>
        <v>0.44200000000000034</v>
      </c>
      <c r="T454">
        <v>0.57753227332377088</v>
      </c>
      <c r="U454" s="28">
        <f t="shared" si="64"/>
        <v>0.53888674947580162</v>
      </c>
      <c r="AI454" s="28">
        <f t="shared" si="68"/>
        <v>0.44200000000000034</v>
      </c>
      <c r="AJ454">
        <v>0.18433179723502305</v>
      </c>
      <c r="AK454" s="28">
        <f t="shared" si="65"/>
        <v>0.12531731198757884</v>
      </c>
      <c r="AY454" s="28">
        <f t="shared" si="69"/>
        <v>0.44200000000000034</v>
      </c>
      <c r="AZ454">
        <v>0.369457075716422</v>
      </c>
      <c r="BA454" s="28">
        <f t="shared" si="66"/>
        <v>0.369457075716422</v>
      </c>
    </row>
    <row r="455" spans="19:53" x14ac:dyDescent="0.25">
      <c r="S455" s="28">
        <f t="shared" si="67"/>
        <v>0.44300000000000034</v>
      </c>
      <c r="T455">
        <v>0.39753410443433945</v>
      </c>
      <c r="U455" s="28">
        <f t="shared" si="64"/>
        <v>0.44841909008197883</v>
      </c>
      <c r="AI455" s="28">
        <f t="shared" si="68"/>
        <v>0.44300000000000034</v>
      </c>
      <c r="AJ455">
        <v>0.29938657795953244</v>
      </c>
      <c r="AK455" s="28">
        <f t="shared" si="65"/>
        <v>0.15679477313992032</v>
      </c>
      <c r="AY455" s="28">
        <f t="shared" si="69"/>
        <v>0.44300000000000034</v>
      </c>
      <c r="AZ455">
        <v>0.29358806115909297</v>
      </c>
      <c r="BA455" s="28">
        <f t="shared" si="66"/>
        <v>0.29358806115909297</v>
      </c>
    </row>
    <row r="456" spans="19:53" x14ac:dyDescent="0.25">
      <c r="S456" s="28">
        <f t="shared" si="67"/>
        <v>0.44400000000000034</v>
      </c>
      <c r="T456">
        <v>0.61919003875850709</v>
      </c>
      <c r="U456" s="28">
        <f t="shared" si="64"/>
        <v>0.5601840037412662</v>
      </c>
      <c r="AI456" s="28">
        <f t="shared" si="68"/>
        <v>0.44400000000000034</v>
      </c>
      <c r="AJ456">
        <v>0.26975310525833918</v>
      </c>
      <c r="AK456" s="28">
        <f t="shared" si="65"/>
        <v>0.14904270313160037</v>
      </c>
      <c r="AY456" s="28">
        <f t="shared" si="69"/>
        <v>0.44400000000000034</v>
      </c>
      <c r="AZ456">
        <v>0.61302529984435561</v>
      </c>
      <c r="BA456" s="28">
        <f t="shared" si="66"/>
        <v>0.61302529984435561</v>
      </c>
    </row>
    <row r="457" spans="19:53" x14ac:dyDescent="0.25">
      <c r="S457" s="28">
        <f t="shared" si="67"/>
        <v>0.44500000000000034</v>
      </c>
      <c r="T457">
        <v>0.40073854792931912</v>
      </c>
      <c r="U457" s="28">
        <f t="shared" si="64"/>
        <v>0.45005870952383942</v>
      </c>
      <c r="AI457" s="28">
        <f t="shared" si="68"/>
        <v>0.44500000000000034</v>
      </c>
      <c r="AJ457">
        <v>0.31192968535416732</v>
      </c>
      <c r="AK457" s="28">
        <f t="shared" si="65"/>
        <v>0.16003329872069158</v>
      </c>
      <c r="AY457" s="28">
        <f t="shared" si="69"/>
        <v>0.44500000000000034</v>
      </c>
      <c r="AZ457">
        <v>0.38062685018463699</v>
      </c>
      <c r="BA457" s="28">
        <f t="shared" si="66"/>
        <v>0.38062685018463699</v>
      </c>
    </row>
    <row r="458" spans="19:53" x14ac:dyDescent="0.25">
      <c r="S458" s="28">
        <f t="shared" si="67"/>
        <v>0.44600000000000034</v>
      </c>
      <c r="T458">
        <v>0.7415082247383038</v>
      </c>
      <c r="U458" s="28">
        <f t="shared" si="64"/>
        <v>0.62689032230576758</v>
      </c>
      <c r="AI458" s="28">
        <f t="shared" si="68"/>
        <v>0.44600000000000034</v>
      </c>
      <c r="AJ458">
        <v>0.12570574053163244</v>
      </c>
      <c r="AK458" s="28">
        <f t="shared" si="65"/>
        <v>0.10671123173471216</v>
      </c>
      <c r="AY458" s="28">
        <f t="shared" si="69"/>
        <v>0.44600000000000034</v>
      </c>
      <c r="AZ458">
        <v>0.39579454939420761</v>
      </c>
      <c r="BA458" s="28">
        <f t="shared" si="66"/>
        <v>0.39579454939420761</v>
      </c>
    </row>
    <row r="459" spans="19:53" x14ac:dyDescent="0.25">
      <c r="S459" s="28">
        <f t="shared" si="67"/>
        <v>0.44700000000000034</v>
      </c>
      <c r="T459">
        <v>8.8320566423535876E-2</v>
      </c>
      <c r="U459" s="28">
        <f t="shared" si="64"/>
        <v>0.24949834444166399</v>
      </c>
      <c r="AI459" s="28">
        <f t="shared" si="68"/>
        <v>0.44700000000000034</v>
      </c>
      <c r="AJ459">
        <v>0.96261482589190339</v>
      </c>
      <c r="AK459" s="28">
        <f t="shared" si="65"/>
        <v>0.42641718457575395</v>
      </c>
      <c r="AY459" s="28">
        <f t="shared" si="69"/>
        <v>0.44700000000000034</v>
      </c>
      <c r="AZ459">
        <v>0.40946684163945435</v>
      </c>
      <c r="BA459" s="28">
        <f t="shared" si="66"/>
        <v>0.40946684163945435</v>
      </c>
    </row>
    <row r="460" spans="19:53" x14ac:dyDescent="0.25">
      <c r="S460" s="28">
        <f t="shared" si="67"/>
        <v>0.44800000000000034</v>
      </c>
      <c r="T460">
        <v>0.16455580309457687</v>
      </c>
      <c r="U460" s="28">
        <f t="shared" si="64"/>
        <v>0.31286748858160029</v>
      </c>
      <c r="AI460" s="28">
        <f t="shared" si="68"/>
        <v>0.44800000000000034</v>
      </c>
      <c r="AJ460">
        <v>0.81987975707266458</v>
      </c>
      <c r="AK460" s="28">
        <f t="shared" si="65"/>
        <v>0.31369475010919023</v>
      </c>
      <c r="AY460" s="28">
        <f t="shared" si="69"/>
        <v>0.44800000000000034</v>
      </c>
      <c r="AZ460">
        <v>0.6514175847651601</v>
      </c>
      <c r="BA460" s="28">
        <f t="shared" si="66"/>
        <v>0.6514175847651601</v>
      </c>
    </row>
    <row r="461" spans="19:53" x14ac:dyDescent="0.25">
      <c r="S461" s="28">
        <f t="shared" si="67"/>
        <v>0.44900000000000034</v>
      </c>
      <c r="T461">
        <v>0.413251136814478</v>
      </c>
      <c r="U461" s="28">
        <f t="shared" ref="U461:U524" si="70">_xlfn.BETA.INV(T461,$V$5,$V$6,0,1)</f>
        <v>0.45643708526877691</v>
      </c>
      <c r="AI461" s="28">
        <f t="shared" si="68"/>
        <v>0.44900000000000034</v>
      </c>
      <c r="AJ461">
        <v>3.6439100314340646E-2</v>
      </c>
      <c r="AK461" s="28">
        <f t="shared" ref="AK461:AK524" si="71">_xlfn.BETA.INV(AJ461,$AL$5,$AL$6,0,1)</f>
        <v>6.6890179522076945E-2</v>
      </c>
      <c r="AY461" s="28">
        <f t="shared" si="69"/>
        <v>0.44900000000000034</v>
      </c>
      <c r="AZ461">
        <v>0.19519638660847805</v>
      </c>
      <c r="BA461" s="28">
        <f t="shared" ref="BA461:BA524" si="72">_xlfn.BETA.INV(AZ461,$BB$5,$BB$6,0,1)</f>
        <v>0.19519638660847805</v>
      </c>
    </row>
    <row r="462" spans="19:53" x14ac:dyDescent="0.25">
      <c r="S462" s="28">
        <f t="shared" si="67"/>
        <v>0.45000000000000034</v>
      </c>
      <c r="T462">
        <v>0.25217444380016479</v>
      </c>
      <c r="U462" s="28">
        <f t="shared" si="70"/>
        <v>0.36939390985786308</v>
      </c>
      <c r="AI462" s="28">
        <f t="shared" si="68"/>
        <v>0.45000000000000034</v>
      </c>
      <c r="AJ462">
        <v>0.8451796014282662</v>
      </c>
      <c r="AK462" s="28">
        <f t="shared" si="71"/>
        <v>0.32637047590217361</v>
      </c>
      <c r="AY462" s="28">
        <f t="shared" si="69"/>
        <v>0.45000000000000034</v>
      </c>
      <c r="AZ462">
        <v>0.89910580767235326</v>
      </c>
      <c r="BA462" s="28">
        <f t="shared" si="72"/>
        <v>0.89910580767235326</v>
      </c>
    </row>
    <row r="463" spans="19:53" x14ac:dyDescent="0.25">
      <c r="S463" s="28">
        <f t="shared" ref="S463:S526" si="73">S462+0.001</f>
        <v>0.45100000000000035</v>
      </c>
      <c r="T463">
        <v>0.42930387279885251</v>
      </c>
      <c r="U463" s="28">
        <f t="shared" si="70"/>
        <v>0.46457100675332091</v>
      </c>
      <c r="AI463" s="28">
        <f t="shared" ref="AI463:AI526" si="74">AI462+0.001</f>
        <v>0.45100000000000035</v>
      </c>
      <c r="AJ463">
        <v>7.2634052552873321E-2</v>
      </c>
      <c r="AK463" s="28">
        <f t="shared" si="71"/>
        <v>8.6101801583842175E-2</v>
      </c>
      <c r="AY463" s="28">
        <f t="shared" ref="AY463:AY526" si="75">AY462+0.001</f>
        <v>0.45100000000000035</v>
      </c>
      <c r="AZ463">
        <v>0.8494521927549058</v>
      </c>
      <c r="BA463" s="28">
        <f t="shared" si="72"/>
        <v>0.8494521927549058</v>
      </c>
    </row>
    <row r="464" spans="19:53" x14ac:dyDescent="0.25">
      <c r="S464" s="28">
        <f t="shared" si="73"/>
        <v>0.45200000000000035</v>
      </c>
      <c r="T464">
        <v>0.97012237922299871</v>
      </c>
      <c r="U464" s="28">
        <f t="shared" si="70"/>
        <v>0.82743272539448087</v>
      </c>
      <c r="AI464" s="28">
        <f t="shared" si="74"/>
        <v>0.45200000000000035</v>
      </c>
      <c r="AJ464">
        <v>0.84304330576494646</v>
      </c>
      <c r="AK464" s="28">
        <f t="shared" si="71"/>
        <v>0.32524390048868801</v>
      </c>
      <c r="AY464" s="28">
        <f t="shared" si="75"/>
        <v>0.45200000000000035</v>
      </c>
      <c r="AZ464">
        <v>0.108706930753502</v>
      </c>
      <c r="BA464" s="28">
        <f t="shared" si="72"/>
        <v>0.10870693075350202</v>
      </c>
    </row>
    <row r="465" spans="19:53" x14ac:dyDescent="0.25">
      <c r="S465" s="28">
        <f t="shared" si="73"/>
        <v>0.45300000000000035</v>
      </c>
      <c r="T465">
        <v>0.16977446821497238</v>
      </c>
      <c r="U465" s="28">
        <f t="shared" si="70"/>
        <v>0.31657653414139997</v>
      </c>
      <c r="AI465" s="28">
        <f t="shared" si="74"/>
        <v>0.45300000000000035</v>
      </c>
      <c r="AJ465">
        <v>0.43259987182226017</v>
      </c>
      <c r="AK465" s="28">
        <f t="shared" si="71"/>
        <v>0.19070181609033363</v>
      </c>
      <c r="AY465" s="28">
        <f t="shared" si="75"/>
        <v>0.45300000000000035</v>
      </c>
      <c r="AZ465">
        <v>0.61085848567155976</v>
      </c>
      <c r="BA465" s="28">
        <f t="shared" si="72"/>
        <v>0.61085848567155976</v>
      </c>
    </row>
    <row r="466" spans="19:53" x14ac:dyDescent="0.25">
      <c r="S466" s="28">
        <f t="shared" si="73"/>
        <v>0.45400000000000035</v>
      </c>
      <c r="T466">
        <v>0.48869289223914303</v>
      </c>
      <c r="U466" s="28">
        <f t="shared" si="70"/>
        <v>0.49435557130394481</v>
      </c>
      <c r="AI466" s="28">
        <f t="shared" si="74"/>
        <v>0.45400000000000035</v>
      </c>
      <c r="AJ466">
        <v>0.68373668630024109</v>
      </c>
      <c r="AK466" s="28">
        <f t="shared" si="71"/>
        <v>0.26101583642566872</v>
      </c>
      <c r="AY466" s="28">
        <f t="shared" si="75"/>
        <v>0.45400000000000035</v>
      </c>
      <c r="AZ466">
        <v>0.9320352793969543</v>
      </c>
      <c r="BA466" s="28">
        <f t="shared" si="72"/>
        <v>0.9320352793969543</v>
      </c>
    </row>
    <row r="467" spans="19:53" x14ac:dyDescent="0.25">
      <c r="S467" s="28">
        <f t="shared" si="73"/>
        <v>0.45500000000000035</v>
      </c>
      <c r="T467">
        <v>0.12515640736106448</v>
      </c>
      <c r="U467" s="28">
        <f t="shared" si="70"/>
        <v>0.28270485585117777</v>
      </c>
      <c r="AI467" s="28">
        <f t="shared" si="74"/>
        <v>0.45500000000000035</v>
      </c>
      <c r="AJ467">
        <v>0.2042603839228492</v>
      </c>
      <c r="AK467" s="28">
        <f t="shared" si="71"/>
        <v>0.13110931489141478</v>
      </c>
      <c r="AY467" s="28">
        <f t="shared" si="75"/>
        <v>0.45500000000000035</v>
      </c>
      <c r="AZ467">
        <v>0.98352000488296154</v>
      </c>
      <c r="BA467" s="28">
        <f t="shared" si="72"/>
        <v>0.98352000488296154</v>
      </c>
    </row>
    <row r="468" spans="19:53" x14ac:dyDescent="0.25">
      <c r="S468" s="28">
        <f t="shared" si="73"/>
        <v>0.45600000000000035</v>
      </c>
      <c r="T468">
        <v>0.89461958677938169</v>
      </c>
      <c r="U468" s="28">
        <f t="shared" si="70"/>
        <v>0.73433367804393801</v>
      </c>
      <c r="AI468" s="28">
        <f t="shared" si="74"/>
        <v>0.45600000000000035</v>
      </c>
      <c r="AJ468">
        <v>0.32044434949797052</v>
      </c>
      <c r="AK468" s="28">
        <f t="shared" si="71"/>
        <v>0.16222045096966353</v>
      </c>
      <c r="AY468" s="28">
        <f t="shared" si="75"/>
        <v>0.45600000000000035</v>
      </c>
      <c r="AZ468">
        <v>0.79137546922208324</v>
      </c>
      <c r="BA468" s="28">
        <f t="shared" si="72"/>
        <v>0.79137546922208324</v>
      </c>
    </row>
    <row r="469" spans="19:53" x14ac:dyDescent="0.25">
      <c r="S469" s="28">
        <f t="shared" si="73"/>
        <v>0.45700000000000035</v>
      </c>
      <c r="T469">
        <v>0.67439802240058599</v>
      </c>
      <c r="U469" s="28">
        <f t="shared" si="70"/>
        <v>0.58929026356065117</v>
      </c>
      <c r="AI469" s="28">
        <f t="shared" si="74"/>
        <v>0.45700000000000035</v>
      </c>
      <c r="AJ469">
        <v>0.94003112887966556</v>
      </c>
      <c r="AK469" s="28">
        <f t="shared" si="71"/>
        <v>0.39623568875083193</v>
      </c>
      <c r="AY469" s="28">
        <f t="shared" si="75"/>
        <v>0.45700000000000035</v>
      </c>
      <c r="AZ469">
        <v>0.95880001220740374</v>
      </c>
      <c r="BA469" s="28">
        <f t="shared" si="72"/>
        <v>0.95880001220740374</v>
      </c>
    </row>
    <row r="470" spans="19:53" x14ac:dyDescent="0.25">
      <c r="S470" s="28">
        <f t="shared" si="73"/>
        <v>0.45800000000000035</v>
      </c>
      <c r="T470">
        <v>0.19721060823389386</v>
      </c>
      <c r="U470" s="28">
        <f t="shared" si="70"/>
        <v>0.33523689411885882</v>
      </c>
      <c r="AI470" s="28">
        <f t="shared" si="74"/>
        <v>0.45800000000000035</v>
      </c>
      <c r="AJ470">
        <v>0.67275002288888208</v>
      </c>
      <c r="AK470" s="28">
        <f t="shared" si="71"/>
        <v>0.25746257737812139</v>
      </c>
      <c r="AY470" s="28">
        <f t="shared" si="75"/>
        <v>0.45800000000000035</v>
      </c>
      <c r="AZ470">
        <v>0.74938200018311107</v>
      </c>
      <c r="BA470" s="28">
        <f t="shared" si="72"/>
        <v>0.74938200018311107</v>
      </c>
    </row>
    <row r="471" spans="19:53" x14ac:dyDescent="0.25">
      <c r="S471" s="28">
        <f t="shared" si="73"/>
        <v>0.45900000000000035</v>
      </c>
      <c r="T471">
        <v>0.16269417401654104</v>
      </c>
      <c r="U471" s="28">
        <f t="shared" si="70"/>
        <v>0.31153046770438841</v>
      </c>
      <c r="AI471" s="28">
        <f t="shared" si="74"/>
        <v>0.45900000000000035</v>
      </c>
      <c r="AJ471">
        <v>0.71337015900143441</v>
      </c>
      <c r="AK471" s="28">
        <f t="shared" si="71"/>
        <v>0.27098412991467902</v>
      </c>
      <c r="AY471" s="28">
        <f t="shared" si="75"/>
        <v>0.45900000000000035</v>
      </c>
      <c r="AZ471">
        <v>0.80150761436811424</v>
      </c>
      <c r="BA471" s="28">
        <f t="shared" si="72"/>
        <v>0.80150761436811424</v>
      </c>
    </row>
    <row r="472" spans="19:53" x14ac:dyDescent="0.25">
      <c r="S472" s="28">
        <f t="shared" si="73"/>
        <v>0.46000000000000035</v>
      </c>
      <c r="T472">
        <v>0.80260628070925011</v>
      </c>
      <c r="U472" s="28">
        <f t="shared" si="70"/>
        <v>0.6646427997723231</v>
      </c>
      <c r="AI472" s="28">
        <f t="shared" si="74"/>
        <v>0.46000000000000035</v>
      </c>
      <c r="AJ472">
        <v>0.33542893765068515</v>
      </c>
      <c r="AK472" s="28">
        <f t="shared" si="71"/>
        <v>0.16605147813437743</v>
      </c>
      <c r="AY472" s="28">
        <f t="shared" si="75"/>
        <v>0.46000000000000035</v>
      </c>
      <c r="AZ472">
        <v>0.96664326914273502</v>
      </c>
      <c r="BA472" s="28">
        <f t="shared" si="72"/>
        <v>0.96664326914273502</v>
      </c>
    </row>
    <row r="473" spans="19:53" x14ac:dyDescent="0.25">
      <c r="S473" s="28">
        <f t="shared" si="73"/>
        <v>0.46100000000000035</v>
      </c>
      <c r="T473">
        <v>0.35938596758934294</v>
      </c>
      <c r="U473" s="28">
        <f t="shared" si="70"/>
        <v>0.42866542949969511</v>
      </c>
      <c r="AI473" s="28">
        <f t="shared" si="74"/>
        <v>0.46100000000000035</v>
      </c>
      <c r="AJ473">
        <v>0.35605945005645923</v>
      </c>
      <c r="AK473" s="28">
        <f t="shared" si="71"/>
        <v>0.17129798830761153</v>
      </c>
      <c r="AY473" s="28">
        <f t="shared" si="75"/>
        <v>0.46100000000000035</v>
      </c>
      <c r="AZ473">
        <v>0.22675252540665913</v>
      </c>
      <c r="BA473" s="28">
        <f t="shared" si="72"/>
        <v>0.22675252540665913</v>
      </c>
    </row>
    <row r="474" spans="19:53" x14ac:dyDescent="0.25">
      <c r="S474" s="28">
        <f t="shared" si="73"/>
        <v>0.46200000000000035</v>
      </c>
      <c r="T474">
        <v>0.50312814722128973</v>
      </c>
      <c r="U474" s="28">
        <f t="shared" si="70"/>
        <v>0.50156140254216131</v>
      </c>
      <c r="AI474" s="28">
        <f t="shared" si="74"/>
        <v>0.46200000000000035</v>
      </c>
      <c r="AJ474">
        <v>0.77791680654316842</v>
      </c>
      <c r="AK474" s="28">
        <f t="shared" si="71"/>
        <v>0.29522854462167158</v>
      </c>
      <c r="AY474" s="28">
        <f t="shared" si="75"/>
        <v>0.46200000000000035</v>
      </c>
      <c r="AZ474">
        <v>0.51930295724356823</v>
      </c>
      <c r="BA474" s="28">
        <f t="shared" si="72"/>
        <v>0.51930295724356823</v>
      </c>
    </row>
    <row r="475" spans="19:53" x14ac:dyDescent="0.25">
      <c r="S475" s="28">
        <f t="shared" si="73"/>
        <v>0.46300000000000036</v>
      </c>
      <c r="T475">
        <v>0.39857173375652333</v>
      </c>
      <c r="U475" s="28">
        <f t="shared" si="70"/>
        <v>0.44895030402381758</v>
      </c>
      <c r="AI475" s="28">
        <f t="shared" si="74"/>
        <v>0.46300000000000036</v>
      </c>
      <c r="AJ475">
        <v>0.12906277657399212</v>
      </c>
      <c r="AK475" s="28">
        <f t="shared" si="71"/>
        <v>0.10786222438582033</v>
      </c>
      <c r="AY475" s="28">
        <f t="shared" si="75"/>
        <v>0.46300000000000036</v>
      </c>
      <c r="AZ475">
        <v>0.90496536149174478</v>
      </c>
      <c r="BA475" s="28">
        <f t="shared" si="72"/>
        <v>0.90496536149174478</v>
      </c>
    </row>
    <row r="476" spans="19:53" x14ac:dyDescent="0.25">
      <c r="S476" s="28">
        <f t="shared" si="73"/>
        <v>0.46400000000000036</v>
      </c>
      <c r="T476">
        <v>0.92526017029328289</v>
      </c>
      <c r="U476" s="28">
        <f t="shared" si="70"/>
        <v>0.76468082023728867</v>
      </c>
      <c r="AI476" s="28">
        <f t="shared" si="74"/>
        <v>0.46400000000000036</v>
      </c>
      <c r="AJ476">
        <v>0.52177495651112404</v>
      </c>
      <c r="AK476" s="28">
        <f t="shared" si="71"/>
        <v>0.21385411180747638</v>
      </c>
      <c r="AY476" s="28">
        <f t="shared" si="75"/>
        <v>0.46400000000000036</v>
      </c>
      <c r="AZ476">
        <v>1.2176885280922881E-2</v>
      </c>
      <c r="BA476" s="28">
        <f t="shared" si="72"/>
        <v>1.2176885280922881E-2</v>
      </c>
    </row>
    <row r="477" spans="19:53" x14ac:dyDescent="0.25">
      <c r="S477" s="28">
        <f t="shared" si="73"/>
        <v>0.46500000000000036</v>
      </c>
      <c r="T477">
        <v>0.62749107333597831</v>
      </c>
      <c r="U477" s="28">
        <f t="shared" si="70"/>
        <v>0.56448569920620595</v>
      </c>
      <c r="AI477" s="28">
        <f t="shared" si="74"/>
        <v>0.46500000000000036</v>
      </c>
      <c r="AJ477">
        <v>0.61583300271614738</v>
      </c>
      <c r="AK477" s="28">
        <f t="shared" si="71"/>
        <v>0.24004711678242363</v>
      </c>
      <c r="AY477" s="28">
        <f t="shared" si="75"/>
        <v>0.46500000000000036</v>
      </c>
      <c r="AZ477">
        <v>0.23535874507889035</v>
      </c>
      <c r="BA477" s="28">
        <f t="shared" si="72"/>
        <v>0.23535874507889037</v>
      </c>
    </row>
    <row r="478" spans="19:53" x14ac:dyDescent="0.25">
      <c r="S478" s="28">
        <f t="shared" si="73"/>
        <v>0.46600000000000036</v>
      </c>
      <c r="T478">
        <v>0.40974150822473832</v>
      </c>
      <c r="U478" s="28">
        <f t="shared" si="70"/>
        <v>0.45465169395962607</v>
      </c>
      <c r="AI478" s="28">
        <f t="shared" si="74"/>
        <v>0.46600000000000036</v>
      </c>
      <c r="AJ478">
        <v>0.18460646382030702</v>
      </c>
      <c r="AK478" s="28">
        <f t="shared" si="71"/>
        <v>0.12539856965492371</v>
      </c>
      <c r="AY478" s="28">
        <f t="shared" si="75"/>
        <v>0.46600000000000036</v>
      </c>
      <c r="AZ478">
        <v>0.41911069063386946</v>
      </c>
      <c r="BA478" s="28">
        <f t="shared" si="72"/>
        <v>0.41911069063386946</v>
      </c>
    </row>
    <row r="479" spans="19:53" x14ac:dyDescent="0.25">
      <c r="S479" s="28">
        <f t="shared" si="73"/>
        <v>0.46700000000000036</v>
      </c>
      <c r="T479">
        <v>0.68849757377849663</v>
      </c>
      <c r="U479" s="28">
        <f t="shared" si="70"/>
        <v>0.59694850563374602</v>
      </c>
      <c r="AI479" s="28">
        <f t="shared" si="74"/>
        <v>0.46700000000000036</v>
      </c>
      <c r="AJ479">
        <v>0.42295602282784511</v>
      </c>
      <c r="AK479" s="28">
        <f t="shared" si="71"/>
        <v>0.18824829122099174</v>
      </c>
      <c r="AY479" s="28">
        <f t="shared" si="75"/>
        <v>0.46700000000000036</v>
      </c>
      <c r="AZ479">
        <v>0.34449293496505629</v>
      </c>
      <c r="BA479" s="28">
        <f t="shared" si="72"/>
        <v>0.34449293496505629</v>
      </c>
    </row>
    <row r="480" spans="19:53" x14ac:dyDescent="0.25">
      <c r="S480" s="28">
        <f t="shared" si="73"/>
        <v>0.46800000000000036</v>
      </c>
      <c r="T480">
        <v>0.59828485976744894</v>
      </c>
      <c r="U480" s="28">
        <f t="shared" si="70"/>
        <v>0.54944211658018727</v>
      </c>
      <c r="AI480" s="28">
        <f t="shared" si="74"/>
        <v>0.46800000000000036</v>
      </c>
      <c r="AJ480">
        <v>0.88122196111941897</v>
      </c>
      <c r="AK480" s="28">
        <f t="shared" si="71"/>
        <v>0.34740746462059768</v>
      </c>
      <c r="AY480" s="28">
        <f t="shared" si="75"/>
        <v>0.46800000000000036</v>
      </c>
      <c r="AZ480">
        <v>0.52845851008636735</v>
      </c>
      <c r="BA480" s="28">
        <f t="shared" si="72"/>
        <v>0.52845851008636735</v>
      </c>
    </row>
    <row r="481" spans="19:53" x14ac:dyDescent="0.25">
      <c r="S481" s="28">
        <f t="shared" si="73"/>
        <v>0.46900000000000036</v>
      </c>
      <c r="T481">
        <v>0.26300851466414382</v>
      </c>
      <c r="U481" s="28">
        <f t="shared" si="70"/>
        <v>0.37574448789299425</v>
      </c>
      <c r="AI481" s="28">
        <f t="shared" si="74"/>
        <v>0.46900000000000036</v>
      </c>
      <c r="AJ481">
        <v>0.46464430677205726</v>
      </c>
      <c r="AK481" s="28">
        <f t="shared" si="71"/>
        <v>0.19890666926884554</v>
      </c>
      <c r="AY481" s="28">
        <f t="shared" si="75"/>
        <v>0.46900000000000036</v>
      </c>
      <c r="AZ481">
        <v>0.42585528122806482</v>
      </c>
      <c r="BA481" s="28">
        <f t="shared" si="72"/>
        <v>0.42585528122806482</v>
      </c>
    </row>
    <row r="482" spans="19:53" x14ac:dyDescent="0.25">
      <c r="S482" s="28">
        <f t="shared" si="73"/>
        <v>0.47000000000000036</v>
      </c>
      <c r="T482">
        <v>0.68959624011963261</v>
      </c>
      <c r="U482" s="28">
        <f t="shared" si="70"/>
        <v>0.59754990284068543</v>
      </c>
      <c r="AI482" s="28">
        <f t="shared" si="74"/>
        <v>0.47000000000000036</v>
      </c>
      <c r="AJ482">
        <v>0.90557573168126471</v>
      </c>
      <c r="AK482" s="28">
        <f t="shared" si="71"/>
        <v>0.3645914760986908</v>
      </c>
      <c r="AY482" s="28">
        <f t="shared" si="75"/>
        <v>0.47000000000000036</v>
      </c>
      <c r="AZ482">
        <v>0.89709158604693751</v>
      </c>
      <c r="BA482" s="28">
        <f t="shared" si="72"/>
        <v>0.89709158604693751</v>
      </c>
    </row>
    <row r="483" spans="19:53" x14ac:dyDescent="0.25">
      <c r="S483" s="28">
        <f t="shared" si="73"/>
        <v>0.47100000000000036</v>
      </c>
      <c r="T483">
        <v>0.8384960478530229</v>
      </c>
      <c r="U483" s="28">
        <f t="shared" si="70"/>
        <v>0.68932830052639649</v>
      </c>
      <c r="AI483" s="28">
        <f t="shared" si="74"/>
        <v>0.47100000000000036</v>
      </c>
      <c r="AJ483">
        <v>0.31144138920255132</v>
      </c>
      <c r="AK483" s="28">
        <f t="shared" si="71"/>
        <v>0.15990761206055179</v>
      </c>
      <c r="AY483" s="28">
        <f t="shared" si="75"/>
        <v>0.47100000000000036</v>
      </c>
      <c r="AZ483">
        <v>0.95947141941587577</v>
      </c>
      <c r="BA483" s="28">
        <f t="shared" si="72"/>
        <v>0.95947141941587577</v>
      </c>
    </row>
    <row r="484" spans="19:53" x14ac:dyDescent="0.25">
      <c r="S484" s="28">
        <f t="shared" si="73"/>
        <v>0.47200000000000036</v>
      </c>
      <c r="T484">
        <v>0.5331278420361949</v>
      </c>
      <c r="U484" s="28">
        <f t="shared" si="70"/>
        <v>0.5165499595125953</v>
      </c>
      <c r="AI484" s="28">
        <f t="shared" si="74"/>
        <v>0.47200000000000036</v>
      </c>
      <c r="AJ484">
        <v>0.50132755516220584</v>
      </c>
      <c r="AK484" s="28">
        <f t="shared" si="71"/>
        <v>0.2084447123601002</v>
      </c>
      <c r="AY484" s="28">
        <f t="shared" si="75"/>
        <v>0.47200000000000036</v>
      </c>
      <c r="AZ484">
        <v>0.94537186803796502</v>
      </c>
      <c r="BA484" s="28">
        <f t="shared" si="72"/>
        <v>0.94537186803796502</v>
      </c>
    </row>
    <row r="485" spans="19:53" x14ac:dyDescent="0.25">
      <c r="S485" s="28">
        <f t="shared" si="73"/>
        <v>0.47300000000000036</v>
      </c>
      <c r="T485">
        <v>0.24353770561845758</v>
      </c>
      <c r="U485" s="28">
        <f t="shared" si="70"/>
        <v>0.36425294682795023</v>
      </c>
      <c r="AI485" s="28">
        <f t="shared" si="74"/>
        <v>0.47300000000000036</v>
      </c>
      <c r="AJ485">
        <v>0.42930387279885251</v>
      </c>
      <c r="AK485" s="28">
        <f t="shared" si="71"/>
        <v>0.18986262304275955</v>
      </c>
      <c r="AY485" s="28">
        <f t="shared" si="75"/>
        <v>0.47300000000000036</v>
      </c>
      <c r="AZ485">
        <v>0.16541032135990477</v>
      </c>
      <c r="BA485" s="28">
        <f t="shared" si="72"/>
        <v>0.16541032135990477</v>
      </c>
    </row>
    <row r="486" spans="19:53" x14ac:dyDescent="0.25">
      <c r="S486" s="28">
        <f t="shared" si="73"/>
        <v>0.47400000000000037</v>
      </c>
      <c r="T486">
        <v>0.57444990386669514</v>
      </c>
      <c r="U486" s="28">
        <f t="shared" si="70"/>
        <v>0.53732661165240758</v>
      </c>
      <c r="AI486" s="28">
        <f t="shared" si="74"/>
        <v>0.47400000000000037</v>
      </c>
      <c r="AJ486">
        <v>0.49168370616779078</v>
      </c>
      <c r="AK486" s="28">
        <f t="shared" si="71"/>
        <v>0.20591845167804126</v>
      </c>
      <c r="AY486" s="28">
        <f t="shared" si="75"/>
        <v>0.47400000000000037</v>
      </c>
      <c r="AZ486">
        <v>0.38154240546891688</v>
      </c>
      <c r="BA486" s="28">
        <f t="shared" si="72"/>
        <v>0.38154240546891688</v>
      </c>
    </row>
    <row r="487" spans="19:53" x14ac:dyDescent="0.25">
      <c r="S487" s="28">
        <f t="shared" si="73"/>
        <v>0.47500000000000037</v>
      </c>
      <c r="T487">
        <v>0.1596118045594653</v>
      </c>
      <c r="U487" s="28">
        <f t="shared" si="70"/>
        <v>0.30930001535081636</v>
      </c>
      <c r="AI487" s="28">
        <f t="shared" si="74"/>
        <v>0.47500000000000037</v>
      </c>
      <c r="AJ487">
        <v>0.24753563035981321</v>
      </c>
      <c r="AK487" s="28">
        <f t="shared" si="71"/>
        <v>0.14310774638507662</v>
      </c>
      <c r="AY487" s="28">
        <f t="shared" si="75"/>
        <v>0.47500000000000037</v>
      </c>
      <c r="AZ487">
        <v>0.37537766655476545</v>
      </c>
      <c r="BA487" s="28">
        <f t="shared" si="72"/>
        <v>0.37537766655476545</v>
      </c>
    </row>
    <row r="488" spans="19:53" x14ac:dyDescent="0.25">
      <c r="S488" s="28">
        <f t="shared" si="73"/>
        <v>0.47600000000000037</v>
      </c>
      <c r="T488">
        <v>0.27741325113681448</v>
      </c>
      <c r="U488" s="28">
        <f t="shared" si="70"/>
        <v>0.38403368503241631</v>
      </c>
      <c r="AI488" s="28">
        <f t="shared" si="74"/>
        <v>0.47600000000000037</v>
      </c>
      <c r="AJ488">
        <v>0.20508438367870113</v>
      </c>
      <c r="AK488" s="28">
        <f t="shared" si="71"/>
        <v>0.1313446064117878</v>
      </c>
      <c r="AY488" s="28">
        <f t="shared" si="75"/>
        <v>0.47600000000000037</v>
      </c>
      <c r="AZ488">
        <v>0.15408795434430983</v>
      </c>
      <c r="BA488" s="28">
        <f t="shared" si="72"/>
        <v>0.15408795434430983</v>
      </c>
    </row>
    <row r="489" spans="19:53" x14ac:dyDescent="0.25">
      <c r="S489" s="28">
        <f t="shared" si="73"/>
        <v>0.47700000000000037</v>
      </c>
      <c r="T489">
        <v>0.98327585680715357</v>
      </c>
      <c r="U489" s="28">
        <f t="shared" si="70"/>
        <v>0.85718975784880569</v>
      </c>
      <c r="AI489" s="28">
        <f t="shared" si="74"/>
        <v>0.47700000000000037</v>
      </c>
      <c r="AJ489">
        <v>0.99447614978484455</v>
      </c>
      <c r="AK489" s="28">
        <f t="shared" si="71"/>
        <v>0.52805459170197944</v>
      </c>
      <c r="AY489" s="28">
        <f t="shared" si="75"/>
        <v>0.47700000000000037</v>
      </c>
      <c r="AZ489">
        <v>0.9761955626087222</v>
      </c>
      <c r="BA489" s="28">
        <f t="shared" si="72"/>
        <v>0.9761955626087222</v>
      </c>
    </row>
    <row r="490" spans="19:53" x14ac:dyDescent="0.25">
      <c r="S490" s="28">
        <f t="shared" si="73"/>
        <v>0.47800000000000037</v>
      </c>
      <c r="T490">
        <v>0.15039521469771416</v>
      </c>
      <c r="U490" s="28">
        <f t="shared" si="70"/>
        <v>0.30249966723395938</v>
      </c>
      <c r="AI490" s="28">
        <f t="shared" si="74"/>
        <v>0.47800000000000037</v>
      </c>
      <c r="AJ490">
        <v>0.12811670278023621</v>
      </c>
      <c r="AK490" s="28">
        <f t="shared" si="71"/>
        <v>0.10753918683929282</v>
      </c>
      <c r="AY490" s="28">
        <f t="shared" si="75"/>
        <v>0.47800000000000037</v>
      </c>
      <c r="AZ490">
        <v>0.2185125278481399</v>
      </c>
      <c r="BA490" s="28">
        <f t="shared" si="72"/>
        <v>0.2185125278481399</v>
      </c>
    </row>
    <row r="491" spans="19:53" x14ac:dyDescent="0.25">
      <c r="S491" s="28">
        <f t="shared" si="73"/>
        <v>0.47900000000000037</v>
      </c>
      <c r="T491">
        <v>0.90771202734458445</v>
      </c>
      <c r="U491" s="28">
        <f t="shared" si="70"/>
        <v>0.74659632719074354</v>
      </c>
      <c r="AI491" s="28">
        <f t="shared" si="74"/>
        <v>0.47900000000000037</v>
      </c>
      <c r="AJ491">
        <v>0.2585222937711722</v>
      </c>
      <c r="AK491" s="28">
        <f t="shared" si="71"/>
        <v>0.14605801998514423</v>
      </c>
      <c r="AY491" s="28">
        <f t="shared" si="75"/>
        <v>0.47900000000000037</v>
      </c>
      <c r="AZ491">
        <v>0.31641590624713889</v>
      </c>
      <c r="BA491" s="28">
        <f t="shared" si="72"/>
        <v>0.31641590624713889</v>
      </c>
    </row>
    <row r="492" spans="19:53" x14ac:dyDescent="0.25">
      <c r="S492" s="28">
        <f t="shared" si="73"/>
        <v>0.48000000000000037</v>
      </c>
      <c r="T492">
        <v>2.1332438123722038E-2</v>
      </c>
      <c r="U492" s="28">
        <f t="shared" si="70"/>
        <v>0.15452946118373412</v>
      </c>
      <c r="AI492" s="28">
        <f t="shared" si="74"/>
        <v>0.48000000000000037</v>
      </c>
      <c r="AJ492">
        <v>0.663319803460799</v>
      </c>
      <c r="AK492" s="28">
        <f t="shared" si="71"/>
        <v>0.25446741837078035</v>
      </c>
      <c r="AY492" s="28">
        <f t="shared" si="75"/>
        <v>0.48000000000000037</v>
      </c>
      <c r="AZ492">
        <v>0.19577623828852198</v>
      </c>
      <c r="BA492" s="28">
        <f t="shared" si="72"/>
        <v>0.19577623828852198</v>
      </c>
    </row>
    <row r="493" spans="19:53" x14ac:dyDescent="0.25">
      <c r="S493" s="28">
        <f t="shared" si="73"/>
        <v>0.48100000000000037</v>
      </c>
      <c r="T493">
        <v>0.5390789513840144</v>
      </c>
      <c r="U493" s="28">
        <f t="shared" si="70"/>
        <v>0.51952970262833276</v>
      </c>
      <c r="AI493" s="28">
        <f t="shared" si="74"/>
        <v>0.48100000000000037</v>
      </c>
      <c r="AJ493">
        <v>0.39045381023590808</v>
      </c>
      <c r="AK493" s="28">
        <f t="shared" si="71"/>
        <v>0.18000911203132461</v>
      </c>
      <c r="AY493" s="28">
        <f t="shared" si="75"/>
        <v>0.48100000000000037</v>
      </c>
      <c r="AZ493">
        <v>0.59459212012085327</v>
      </c>
      <c r="BA493" s="28">
        <f t="shared" si="72"/>
        <v>0.59459212012085327</v>
      </c>
    </row>
    <row r="494" spans="19:53" x14ac:dyDescent="0.25">
      <c r="S494" s="28">
        <f t="shared" si="73"/>
        <v>0.48200000000000037</v>
      </c>
      <c r="T494">
        <v>0.86446729941709644</v>
      </c>
      <c r="U494" s="28">
        <f t="shared" si="70"/>
        <v>0.70892758053200444</v>
      </c>
      <c r="AI494" s="28">
        <f t="shared" si="74"/>
        <v>0.48200000000000037</v>
      </c>
      <c r="AJ494">
        <v>0.89593188268684953</v>
      </c>
      <c r="AK494" s="28">
        <f t="shared" si="71"/>
        <v>0.35741618161579347</v>
      </c>
      <c r="AY494" s="28">
        <f t="shared" si="75"/>
        <v>0.48200000000000037</v>
      </c>
      <c r="AZ494">
        <v>0.11914426099429304</v>
      </c>
      <c r="BA494" s="28">
        <f t="shared" si="72"/>
        <v>0.11914426099429304</v>
      </c>
    </row>
    <row r="495" spans="19:53" x14ac:dyDescent="0.25">
      <c r="S495" s="28">
        <f t="shared" si="73"/>
        <v>0.48300000000000037</v>
      </c>
      <c r="T495">
        <v>0.38874477370525223</v>
      </c>
      <c r="U495" s="28">
        <f t="shared" si="70"/>
        <v>0.44390776541991561</v>
      </c>
      <c r="AI495" s="28">
        <f t="shared" si="74"/>
        <v>0.48300000000000037</v>
      </c>
      <c r="AJ495">
        <v>0.28525650807214575</v>
      </c>
      <c r="AK495" s="28">
        <f t="shared" si="71"/>
        <v>0.1531182544222979</v>
      </c>
      <c r="AY495" s="28">
        <f t="shared" si="75"/>
        <v>0.48300000000000037</v>
      </c>
      <c r="AZ495">
        <v>0.38792077394940033</v>
      </c>
      <c r="BA495" s="28">
        <f t="shared" si="72"/>
        <v>0.38792077394940033</v>
      </c>
    </row>
    <row r="496" spans="19:53" x14ac:dyDescent="0.25">
      <c r="S496" s="28">
        <f t="shared" si="73"/>
        <v>0.48400000000000037</v>
      </c>
      <c r="T496">
        <v>0.40583513901181067</v>
      </c>
      <c r="U496" s="28">
        <f t="shared" si="70"/>
        <v>0.45266118455294024</v>
      </c>
      <c r="AI496" s="28">
        <f t="shared" si="74"/>
        <v>0.48400000000000037</v>
      </c>
      <c r="AJ496">
        <v>1.1291848506118961E-3</v>
      </c>
      <c r="AK496" s="28">
        <f t="shared" si="71"/>
        <v>2.1403125886239632E-2</v>
      </c>
      <c r="AY496" s="28">
        <f t="shared" si="75"/>
        <v>0.48400000000000037</v>
      </c>
      <c r="AZ496">
        <v>0.53801080355235453</v>
      </c>
      <c r="BA496" s="28">
        <f t="shared" si="72"/>
        <v>0.53801080355235453</v>
      </c>
    </row>
    <row r="497" spans="19:53" x14ac:dyDescent="0.25">
      <c r="S497" s="28">
        <f t="shared" si="73"/>
        <v>0.48500000000000038</v>
      </c>
      <c r="T497">
        <v>0.81093783379619744</v>
      </c>
      <c r="U497" s="28">
        <f t="shared" si="70"/>
        <v>0.67016994868824531</v>
      </c>
      <c r="AI497" s="28">
        <f t="shared" si="74"/>
        <v>0.48500000000000038</v>
      </c>
      <c r="AJ497">
        <v>0.89846491897335734</v>
      </c>
      <c r="AK497" s="28">
        <f t="shared" si="71"/>
        <v>0.35924882072199738</v>
      </c>
      <c r="AY497" s="28">
        <f t="shared" si="75"/>
        <v>0.48500000000000038</v>
      </c>
      <c r="AZ497">
        <v>0.26682332834864347</v>
      </c>
      <c r="BA497" s="28">
        <f t="shared" si="72"/>
        <v>0.26682332834864347</v>
      </c>
    </row>
    <row r="498" spans="19:53" x14ac:dyDescent="0.25">
      <c r="S498" s="28">
        <f t="shared" si="73"/>
        <v>0.48600000000000038</v>
      </c>
      <c r="T498">
        <v>4.8463393047883545E-2</v>
      </c>
      <c r="U498" s="28">
        <f t="shared" si="70"/>
        <v>0.20282559473209358</v>
      </c>
      <c r="AI498" s="28">
        <f t="shared" si="74"/>
        <v>0.48600000000000038</v>
      </c>
      <c r="AJ498">
        <v>0.48121585741752371</v>
      </c>
      <c r="AK498" s="28">
        <f t="shared" si="71"/>
        <v>0.2031923382756724</v>
      </c>
      <c r="AY498" s="28">
        <f t="shared" si="75"/>
        <v>0.48600000000000038</v>
      </c>
      <c r="AZ498">
        <v>0.89809869685964538</v>
      </c>
      <c r="BA498" s="28">
        <f t="shared" si="72"/>
        <v>0.89809869685964538</v>
      </c>
    </row>
    <row r="499" spans="19:53" x14ac:dyDescent="0.25">
      <c r="S499" s="28">
        <f t="shared" si="73"/>
        <v>0.48700000000000038</v>
      </c>
      <c r="T499">
        <v>1.1932737205114903E-2</v>
      </c>
      <c r="U499" s="28">
        <f t="shared" si="70"/>
        <v>0.12814781240821144</v>
      </c>
      <c r="AI499" s="28">
        <f t="shared" si="74"/>
        <v>0.48700000000000038</v>
      </c>
      <c r="AJ499">
        <v>0.17984557634205145</v>
      </c>
      <c r="AK499" s="28">
        <f t="shared" si="71"/>
        <v>0.12398391037426222</v>
      </c>
      <c r="AY499" s="28">
        <f t="shared" si="75"/>
        <v>0.48700000000000038</v>
      </c>
      <c r="AZ499">
        <v>0.98635822626422931</v>
      </c>
      <c r="BA499" s="28">
        <f t="shared" si="72"/>
        <v>0.98635822626422931</v>
      </c>
    </row>
    <row r="500" spans="19:53" x14ac:dyDescent="0.25">
      <c r="S500" s="28">
        <f t="shared" si="73"/>
        <v>0.48800000000000038</v>
      </c>
      <c r="T500">
        <v>0.48899807733390299</v>
      </c>
      <c r="U500" s="28">
        <f t="shared" si="70"/>
        <v>0.49450794728826647</v>
      </c>
      <c r="AI500" s="28">
        <f t="shared" si="74"/>
        <v>0.48800000000000038</v>
      </c>
      <c r="AJ500">
        <v>0.43012787255470442</v>
      </c>
      <c r="AK500" s="28">
        <f t="shared" si="71"/>
        <v>0.19007235494321664</v>
      </c>
      <c r="AY500" s="28">
        <f t="shared" si="75"/>
        <v>0.48800000000000038</v>
      </c>
      <c r="AZ500">
        <v>0.97045808282723467</v>
      </c>
      <c r="BA500" s="28">
        <f t="shared" si="72"/>
        <v>0.97045808282723467</v>
      </c>
    </row>
    <row r="501" spans="19:53" x14ac:dyDescent="0.25">
      <c r="S501" s="28">
        <f t="shared" si="73"/>
        <v>0.48900000000000038</v>
      </c>
      <c r="T501">
        <v>0.26749473555711539</v>
      </c>
      <c r="U501" s="28">
        <f t="shared" si="70"/>
        <v>0.3783441886201433</v>
      </c>
      <c r="AI501" s="28">
        <f t="shared" si="74"/>
        <v>0.48900000000000038</v>
      </c>
      <c r="AJ501">
        <v>7.9714346751304663E-2</v>
      </c>
      <c r="AK501" s="28">
        <f t="shared" si="71"/>
        <v>8.920123175961378E-2</v>
      </c>
      <c r="AY501" s="28">
        <f t="shared" si="75"/>
        <v>0.48900000000000038</v>
      </c>
      <c r="AZ501">
        <v>0.18701742606891081</v>
      </c>
      <c r="BA501" s="28">
        <f t="shared" si="72"/>
        <v>0.18701742606891081</v>
      </c>
    </row>
    <row r="502" spans="19:53" x14ac:dyDescent="0.25">
      <c r="S502" s="28">
        <f t="shared" si="73"/>
        <v>0.49000000000000038</v>
      </c>
      <c r="T502">
        <v>0.86709189123203223</v>
      </c>
      <c r="U502" s="28">
        <f t="shared" si="70"/>
        <v>0.71101148841048256</v>
      </c>
      <c r="AI502" s="28">
        <f t="shared" si="74"/>
        <v>0.49000000000000038</v>
      </c>
      <c r="AJ502">
        <v>0.11288796655171361</v>
      </c>
      <c r="AK502" s="28">
        <f t="shared" si="71"/>
        <v>0.10218574476722184</v>
      </c>
      <c r="AY502" s="28">
        <f t="shared" si="75"/>
        <v>0.49000000000000038</v>
      </c>
      <c r="AZ502">
        <v>0.7840815454573199</v>
      </c>
      <c r="BA502" s="28">
        <f t="shared" si="72"/>
        <v>0.7840815454573199</v>
      </c>
    </row>
    <row r="503" spans="19:53" x14ac:dyDescent="0.25">
      <c r="S503" s="28">
        <f t="shared" si="73"/>
        <v>0.49100000000000038</v>
      </c>
      <c r="T503">
        <v>7.0986053041169464E-2</v>
      </c>
      <c r="U503" s="28">
        <f t="shared" si="70"/>
        <v>0.231142918352853</v>
      </c>
      <c r="AI503" s="28">
        <f t="shared" si="74"/>
        <v>0.49100000000000038</v>
      </c>
      <c r="AJ503">
        <v>1.8005920590838345E-2</v>
      </c>
      <c r="AK503" s="28">
        <f t="shared" si="71"/>
        <v>5.2364908851482435E-2</v>
      </c>
      <c r="AY503" s="28">
        <f t="shared" si="75"/>
        <v>0.49100000000000038</v>
      </c>
      <c r="AZ503">
        <v>0.49220252082888272</v>
      </c>
      <c r="BA503" s="28">
        <f t="shared" si="72"/>
        <v>0.49220252082888272</v>
      </c>
    </row>
    <row r="504" spans="19:53" x14ac:dyDescent="0.25">
      <c r="S504" s="28">
        <f t="shared" si="73"/>
        <v>0.49200000000000038</v>
      </c>
      <c r="T504">
        <v>0.52699362163151953</v>
      </c>
      <c r="U504" s="28">
        <f t="shared" si="70"/>
        <v>0.51348147090203811</v>
      </c>
      <c r="AI504" s="28">
        <f t="shared" si="74"/>
        <v>0.49200000000000038</v>
      </c>
      <c r="AJ504">
        <v>0.93670461134678185</v>
      </c>
      <c r="AK504" s="28">
        <f t="shared" si="71"/>
        <v>0.3926194012635229</v>
      </c>
      <c r="AY504" s="28">
        <f t="shared" si="75"/>
        <v>0.49200000000000038</v>
      </c>
      <c r="AZ504">
        <v>0.65074617755668818</v>
      </c>
      <c r="BA504" s="28">
        <f t="shared" si="72"/>
        <v>0.65074617755668818</v>
      </c>
    </row>
    <row r="505" spans="19:53" x14ac:dyDescent="0.25">
      <c r="S505" s="28">
        <f t="shared" si="73"/>
        <v>0.49300000000000038</v>
      </c>
      <c r="T505">
        <v>0.22870571001312295</v>
      </c>
      <c r="U505" s="28">
        <f t="shared" si="70"/>
        <v>0.35524554623247623</v>
      </c>
      <c r="AI505" s="28">
        <f t="shared" si="74"/>
        <v>0.49300000000000038</v>
      </c>
      <c r="AJ505">
        <v>0.83477278969695123</v>
      </c>
      <c r="AK505" s="28">
        <f t="shared" si="71"/>
        <v>0.32098590739809152</v>
      </c>
      <c r="AY505" s="28">
        <f t="shared" si="75"/>
        <v>0.49300000000000038</v>
      </c>
      <c r="AZ505">
        <v>0.48405407879879148</v>
      </c>
      <c r="BA505" s="28">
        <f t="shared" si="72"/>
        <v>0.48405407879879148</v>
      </c>
    </row>
    <row r="506" spans="19:53" x14ac:dyDescent="0.25">
      <c r="S506" s="28">
        <f t="shared" si="73"/>
        <v>0.49400000000000038</v>
      </c>
      <c r="T506">
        <v>0.59566026795251314</v>
      </c>
      <c r="U506" s="28">
        <f t="shared" si="70"/>
        <v>0.54810175871769939</v>
      </c>
      <c r="AI506" s="28">
        <f t="shared" si="74"/>
        <v>0.49400000000000038</v>
      </c>
      <c r="AJ506">
        <v>9.8879970702230903E-3</v>
      </c>
      <c r="AK506" s="28">
        <f t="shared" si="71"/>
        <v>4.2834459658811136E-2</v>
      </c>
      <c r="AY506" s="28">
        <f t="shared" si="75"/>
        <v>0.49400000000000038</v>
      </c>
      <c r="AZ506">
        <v>8.4261604663228254E-2</v>
      </c>
      <c r="BA506" s="28">
        <f t="shared" si="72"/>
        <v>8.4261604663228254E-2</v>
      </c>
    </row>
    <row r="507" spans="19:53" x14ac:dyDescent="0.25">
      <c r="S507" s="28">
        <f t="shared" si="73"/>
        <v>0.49500000000000038</v>
      </c>
      <c r="T507">
        <v>0.53520310068056276</v>
      </c>
      <c r="U507" s="28">
        <f t="shared" si="70"/>
        <v>0.51758870376814925</v>
      </c>
      <c r="AI507" s="28">
        <f t="shared" si="74"/>
        <v>0.49500000000000038</v>
      </c>
      <c r="AJ507">
        <v>0.88167973876155892</v>
      </c>
      <c r="AK507" s="28">
        <f t="shared" si="71"/>
        <v>0.34770412323665079</v>
      </c>
      <c r="AY507" s="28">
        <f t="shared" si="75"/>
        <v>0.49500000000000038</v>
      </c>
      <c r="AZ507">
        <v>0.40256965849787896</v>
      </c>
      <c r="BA507" s="28">
        <f t="shared" si="72"/>
        <v>0.40256965849787896</v>
      </c>
    </row>
    <row r="508" spans="19:53" x14ac:dyDescent="0.25">
      <c r="S508" s="28">
        <f t="shared" si="73"/>
        <v>0.49600000000000039</v>
      </c>
      <c r="T508">
        <v>0.72573015533921326</v>
      </c>
      <c r="U508" s="28">
        <f t="shared" si="70"/>
        <v>0.61776104460348424</v>
      </c>
      <c r="AI508" s="28">
        <f t="shared" si="74"/>
        <v>0.49600000000000039</v>
      </c>
      <c r="AJ508">
        <v>0.55873287148655659</v>
      </c>
      <c r="AK508" s="28">
        <f t="shared" si="71"/>
        <v>0.22385265308529867</v>
      </c>
      <c r="AY508" s="28">
        <f t="shared" si="75"/>
        <v>0.49600000000000039</v>
      </c>
      <c r="AZ508">
        <v>0.33237708670308541</v>
      </c>
      <c r="BA508" s="28">
        <f t="shared" si="72"/>
        <v>0.33237708670308541</v>
      </c>
    </row>
    <row r="509" spans="19:53" x14ac:dyDescent="0.25">
      <c r="S509" s="28">
        <f t="shared" si="73"/>
        <v>0.49700000000000039</v>
      </c>
      <c r="T509">
        <v>0.23566393017365031</v>
      </c>
      <c r="U509" s="28">
        <f t="shared" si="70"/>
        <v>0.35950071375779558</v>
      </c>
      <c r="AI509" s="28">
        <f t="shared" si="74"/>
        <v>0.49700000000000039</v>
      </c>
      <c r="AJ509">
        <v>0.69884334849085972</v>
      </c>
      <c r="AK509" s="28">
        <f t="shared" si="71"/>
        <v>0.26602310732042533</v>
      </c>
      <c r="AY509" s="28">
        <f t="shared" si="75"/>
        <v>0.49700000000000039</v>
      </c>
      <c r="AZ509">
        <v>0.66365550706503496</v>
      </c>
      <c r="BA509" s="28">
        <f t="shared" si="72"/>
        <v>0.66365550706503496</v>
      </c>
    </row>
    <row r="510" spans="19:53" x14ac:dyDescent="0.25">
      <c r="S510" s="28">
        <f t="shared" si="73"/>
        <v>0.49800000000000039</v>
      </c>
      <c r="T510">
        <v>0.63457136753440957</v>
      </c>
      <c r="U510" s="28">
        <f t="shared" si="70"/>
        <v>0.5681731757856715</v>
      </c>
      <c r="AI510" s="28">
        <f t="shared" si="74"/>
        <v>0.49800000000000039</v>
      </c>
      <c r="AJ510">
        <v>0.11966307565538499</v>
      </c>
      <c r="AK510" s="28">
        <f t="shared" si="71"/>
        <v>0.10460483996661993</v>
      </c>
      <c r="AY510" s="28">
        <f t="shared" si="75"/>
        <v>0.49800000000000039</v>
      </c>
      <c r="AZ510">
        <v>0.48310800500503553</v>
      </c>
      <c r="BA510" s="28">
        <f t="shared" si="72"/>
        <v>0.48310800500503553</v>
      </c>
    </row>
    <row r="511" spans="19:53" x14ac:dyDescent="0.25">
      <c r="S511" s="28">
        <f t="shared" si="73"/>
        <v>0.49900000000000039</v>
      </c>
      <c r="T511">
        <v>0.63164159062471392</v>
      </c>
      <c r="U511" s="28">
        <f t="shared" si="70"/>
        <v>0.56664518804899355</v>
      </c>
      <c r="AI511" s="28">
        <f t="shared" si="74"/>
        <v>0.49900000000000039</v>
      </c>
      <c r="AJ511">
        <v>0.76882229071932129</v>
      </c>
      <c r="AK511" s="28">
        <f t="shared" si="71"/>
        <v>0.29155211388770697</v>
      </c>
      <c r="AY511" s="28">
        <f t="shared" si="75"/>
        <v>0.49900000000000039</v>
      </c>
      <c r="AZ511">
        <v>0.55919064912869654</v>
      </c>
      <c r="BA511" s="28">
        <f t="shared" si="72"/>
        <v>0.55919064912869654</v>
      </c>
    </row>
    <row r="512" spans="19:53" x14ac:dyDescent="0.25">
      <c r="S512" s="28">
        <f t="shared" si="73"/>
        <v>0.50000000000000033</v>
      </c>
      <c r="T512">
        <v>0.61915952024903109</v>
      </c>
      <c r="U512" s="28">
        <f t="shared" si="70"/>
        <v>0.56016822949732314</v>
      </c>
      <c r="AI512" s="28">
        <f t="shared" si="74"/>
        <v>0.50000000000000033</v>
      </c>
      <c r="AJ512">
        <v>0.28119754631183813</v>
      </c>
      <c r="AK512" s="28">
        <f t="shared" si="71"/>
        <v>0.15205578067744646</v>
      </c>
      <c r="AY512" s="28">
        <f t="shared" si="75"/>
        <v>0.50000000000000033</v>
      </c>
      <c r="AZ512">
        <v>0.30515457625049591</v>
      </c>
      <c r="BA512" s="28">
        <f t="shared" si="72"/>
        <v>0.30515457625049591</v>
      </c>
    </row>
    <row r="513" spans="19:53" x14ac:dyDescent="0.25">
      <c r="S513" s="28">
        <f t="shared" si="73"/>
        <v>0.50100000000000033</v>
      </c>
      <c r="T513">
        <v>0.54033021027253025</v>
      </c>
      <c r="U513" s="28">
        <f t="shared" si="70"/>
        <v>0.52015661882558728</v>
      </c>
      <c r="AI513" s="28">
        <f t="shared" si="74"/>
        <v>0.50100000000000033</v>
      </c>
      <c r="AJ513">
        <v>0.28003784295175022</v>
      </c>
      <c r="AK513" s="28">
        <f t="shared" si="71"/>
        <v>0.1517516493399689</v>
      </c>
      <c r="AY513" s="28">
        <f t="shared" si="75"/>
        <v>0.50100000000000033</v>
      </c>
      <c r="AZ513">
        <v>0.91177098910489207</v>
      </c>
      <c r="BA513" s="28">
        <f t="shared" si="72"/>
        <v>0.91177098910489207</v>
      </c>
    </row>
    <row r="514" spans="19:53" x14ac:dyDescent="0.25">
      <c r="S514" s="28">
        <f t="shared" si="73"/>
        <v>0.50200000000000033</v>
      </c>
      <c r="T514">
        <v>0.16605121005890072</v>
      </c>
      <c r="U514" s="28">
        <f t="shared" si="70"/>
        <v>0.3139361186333246</v>
      </c>
      <c r="AI514" s="28">
        <f t="shared" si="74"/>
        <v>0.50200000000000033</v>
      </c>
      <c r="AJ514">
        <v>0.42878505813776058</v>
      </c>
      <c r="AK514" s="28">
        <f t="shared" si="71"/>
        <v>0.18973059170014994</v>
      </c>
      <c r="AY514" s="28">
        <f t="shared" si="75"/>
        <v>0.50200000000000033</v>
      </c>
      <c r="AZ514">
        <v>0.75728629413739434</v>
      </c>
      <c r="BA514" s="28">
        <f t="shared" si="72"/>
        <v>0.75728629413739434</v>
      </c>
    </row>
    <row r="515" spans="19:53" x14ac:dyDescent="0.25">
      <c r="S515" s="28">
        <f t="shared" si="73"/>
        <v>0.50300000000000034</v>
      </c>
      <c r="T515">
        <v>0.49961851863155005</v>
      </c>
      <c r="U515" s="28">
        <f t="shared" si="70"/>
        <v>0.49980958651474505</v>
      </c>
      <c r="AI515" s="28">
        <f t="shared" si="74"/>
        <v>0.50300000000000034</v>
      </c>
      <c r="AJ515">
        <v>0.7865535447248756</v>
      </c>
      <c r="AK515" s="28">
        <f t="shared" si="71"/>
        <v>0.29881636316032478</v>
      </c>
      <c r="AY515" s="28">
        <f t="shared" si="75"/>
        <v>0.50300000000000034</v>
      </c>
      <c r="AZ515">
        <v>0.12854396191290018</v>
      </c>
      <c r="BA515" s="28">
        <f t="shared" si="72"/>
        <v>0.12854396191290016</v>
      </c>
    </row>
    <row r="516" spans="19:53" x14ac:dyDescent="0.25">
      <c r="S516" s="28">
        <f t="shared" si="73"/>
        <v>0.50400000000000034</v>
      </c>
      <c r="T516">
        <v>0.23129978331858272</v>
      </c>
      <c r="U516" s="28">
        <f t="shared" si="70"/>
        <v>0.35683820937339189</v>
      </c>
      <c r="AI516" s="28">
        <f t="shared" si="74"/>
        <v>0.50400000000000034</v>
      </c>
      <c r="AJ516">
        <v>8.2155827509384438E-2</v>
      </c>
      <c r="AK516" s="28">
        <f t="shared" si="71"/>
        <v>9.0237519632053606E-2</v>
      </c>
      <c r="AY516" s="28">
        <f t="shared" si="75"/>
        <v>0.50400000000000034</v>
      </c>
      <c r="AZ516">
        <v>7.9714346751304663E-2</v>
      </c>
      <c r="BA516" s="28">
        <f t="shared" si="72"/>
        <v>7.9714346751304663E-2</v>
      </c>
    </row>
    <row r="517" spans="19:53" x14ac:dyDescent="0.25">
      <c r="S517" s="28">
        <f t="shared" si="73"/>
        <v>0.50500000000000034</v>
      </c>
      <c r="T517">
        <v>0.24506363109225746</v>
      </c>
      <c r="U517" s="28">
        <f t="shared" si="70"/>
        <v>0.36516655983128349</v>
      </c>
      <c r="AI517" s="28">
        <f t="shared" si="74"/>
        <v>0.50500000000000034</v>
      </c>
      <c r="AJ517">
        <v>0.24640644550920132</v>
      </c>
      <c r="AK517" s="28">
        <f t="shared" si="71"/>
        <v>0.14280265765002167</v>
      </c>
      <c r="AY517" s="28">
        <f t="shared" si="75"/>
        <v>0.50500000000000034</v>
      </c>
      <c r="AZ517">
        <v>0.16537980285042878</v>
      </c>
      <c r="BA517" s="28">
        <f t="shared" si="72"/>
        <v>0.16537980285042878</v>
      </c>
    </row>
    <row r="518" spans="19:53" x14ac:dyDescent="0.25">
      <c r="S518" s="28">
        <f t="shared" si="73"/>
        <v>0.50600000000000034</v>
      </c>
      <c r="T518">
        <v>0.85995056001464887</v>
      </c>
      <c r="U518" s="28">
        <f t="shared" si="70"/>
        <v>0.70538969900138104</v>
      </c>
      <c r="AI518" s="28">
        <f t="shared" si="74"/>
        <v>0.50600000000000034</v>
      </c>
      <c r="AJ518">
        <v>0.62721640675069434</v>
      </c>
      <c r="AK518" s="28">
        <f t="shared" si="71"/>
        <v>0.24341296305826676</v>
      </c>
      <c r="AY518" s="28">
        <f t="shared" si="75"/>
        <v>0.50600000000000034</v>
      </c>
      <c r="AZ518">
        <v>0.1879329813531907</v>
      </c>
      <c r="BA518" s="28">
        <f t="shared" si="72"/>
        <v>0.1879329813531907</v>
      </c>
    </row>
    <row r="519" spans="19:53" x14ac:dyDescent="0.25">
      <c r="S519" s="28">
        <f t="shared" si="73"/>
        <v>0.50700000000000034</v>
      </c>
      <c r="T519">
        <v>0.69859920041505175</v>
      </c>
      <c r="U519" s="28">
        <f t="shared" si="70"/>
        <v>0.60250507747974702</v>
      </c>
      <c r="AI519" s="28">
        <f t="shared" si="74"/>
        <v>0.50700000000000034</v>
      </c>
      <c r="AJ519">
        <v>0.28348643452253791</v>
      </c>
      <c r="AK519" s="28">
        <f t="shared" si="71"/>
        <v>0.15265529428268307</v>
      </c>
      <c r="AY519" s="28">
        <f t="shared" si="75"/>
        <v>0.50700000000000034</v>
      </c>
      <c r="AZ519">
        <v>0.4902493362224189</v>
      </c>
      <c r="BA519" s="28">
        <f t="shared" si="72"/>
        <v>0.4902493362224189</v>
      </c>
    </row>
    <row r="520" spans="19:53" x14ac:dyDescent="0.25">
      <c r="S520" s="28">
        <f t="shared" si="73"/>
        <v>0.50800000000000034</v>
      </c>
      <c r="T520">
        <v>0.67723624378185365</v>
      </c>
      <c r="U520" s="28">
        <f t="shared" si="70"/>
        <v>0.59082325311249118</v>
      </c>
      <c r="AI520" s="28">
        <f t="shared" si="74"/>
        <v>0.50800000000000034</v>
      </c>
      <c r="AJ520">
        <v>0.16031373027741325</v>
      </c>
      <c r="AK520" s="28">
        <f t="shared" si="71"/>
        <v>0.11802888235241045</v>
      </c>
      <c r="AY520" s="28">
        <f t="shared" si="75"/>
        <v>0.50800000000000034</v>
      </c>
      <c r="AZ520">
        <v>0.34797204504531998</v>
      </c>
      <c r="BA520" s="28">
        <f t="shared" si="72"/>
        <v>0.34797204504532003</v>
      </c>
    </row>
    <row r="521" spans="19:53" x14ac:dyDescent="0.25">
      <c r="S521" s="28">
        <f t="shared" si="73"/>
        <v>0.50900000000000034</v>
      </c>
      <c r="T521">
        <v>0.12427137058626057</v>
      </c>
      <c r="U521" s="28">
        <f t="shared" si="70"/>
        <v>0.28197454542907463</v>
      </c>
      <c r="AI521" s="28">
        <f t="shared" si="74"/>
        <v>0.50900000000000034</v>
      </c>
      <c r="AJ521">
        <v>0.76772362437818542</v>
      </c>
      <c r="AK521" s="28">
        <f t="shared" si="71"/>
        <v>0.29111465408875092</v>
      </c>
      <c r="AY521" s="28">
        <f t="shared" si="75"/>
        <v>0.50900000000000034</v>
      </c>
      <c r="AZ521">
        <v>0.35746330149235511</v>
      </c>
      <c r="BA521" s="28">
        <f t="shared" si="72"/>
        <v>0.35746330149235511</v>
      </c>
    </row>
    <row r="522" spans="19:53" x14ac:dyDescent="0.25">
      <c r="S522" s="28">
        <f t="shared" si="73"/>
        <v>0.51000000000000034</v>
      </c>
      <c r="T522">
        <v>0.53431806390575887</v>
      </c>
      <c r="U522" s="28">
        <f t="shared" si="70"/>
        <v>0.5171456666660712</v>
      </c>
      <c r="AI522" s="28">
        <f t="shared" si="74"/>
        <v>0.51000000000000034</v>
      </c>
      <c r="AJ522">
        <v>0.40717795342875451</v>
      </c>
      <c r="AK522" s="28">
        <f t="shared" si="71"/>
        <v>0.18424445431310851</v>
      </c>
      <c r="AY522" s="28">
        <f t="shared" si="75"/>
        <v>0.51000000000000034</v>
      </c>
      <c r="AZ522">
        <v>0.45155186620685445</v>
      </c>
      <c r="BA522" s="28">
        <f t="shared" si="72"/>
        <v>0.45155186620685445</v>
      </c>
    </row>
    <row r="523" spans="19:53" x14ac:dyDescent="0.25">
      <c r="S523" s="28">
        <f t="shared" si="73"/>
        <v>0.51100000000000034</v>
      </c>
      <c r="T523">
        <v>0.85091708120975373</v>
      </c>
      <c r="U523" s="28">
        <f t="shared" si="70"/>
        <v>0.6984854316542648</v>
      </c>
      <c r="AI523" s="28">
        <f t="shared" si="74"/>
        <v>0.51100000000000034</v>
      </c>
      <c r="AJ523">
        <v>7.7944273201696834E-2</v>
      </c>
      <c r="AK523" s="28">
        <f t="shared" si="71"/>
        <v>8.8439915937565783E-2</v>
      </c>
      <c r="AY523" s="28">
        <f t="shared" si="75"/>
        <v>0.51100000000000034</v>
      </c>
      <c r="AZ523">
        <v>0.6896877956480606</v>
      </c>
      <c r="BA523" s="28">
        <f t="shared" si="72"/>
        <v>0.6896877956480606</v>
      </c>
    </row>
    <row r="524" spans="19:53" x14ac:dyDescent="0.25">
      <c r="S524" s="28">
        <f t="shared" si="73"/>
        <v>0.51200000000000034</v>
      </c>
      <c r="T524">
        <v>0.36005737479781486</v>
      </c>
      <c r="U524" s="28">
        <f t="shared" si="70"/>
        <v>0.42901737248323601</v>
      </c>
      <c r="AI524" s="28">
        <f t="shared" si="74"/>
        <v>0.51200000000000034</v>
      </c>
      <c r="AJ524">
        <v>0.8757896664326914</v>
      </c>
      <c r="AK524" s="28">
        <f t="shared" si="71"/>
        <v>0.34395219387584797</v>
      </c>
      <c r="AY524" s="28">
        <f t="shared" si="75"/>
        <v>0.51200000000000034</v>
      </c>
      <c r="AZ524">
        <v>0.24942777794732504</v>
      </c>
      <c r="BA524" s="28">
        <f t="shared" si="72"/>
        <v>0.24942777794732504</v>
      </c>
    </row>
    <row r="525" spans="19:53" x14ac:dyDescent="0.25">
      <c r="S525" s="28">
        <f t="shared" si="73"/>
        <v>0.51300000000000034</v>
      </c>
      <c r="T525">
        <v>0.65846736045411547</v>
      </c>
      <c r="U525" s="28">
        <f t="shared" ref="U525:U588" si="76">_xlfn.BETA.INV(T525,$V$5,$V$6,0,1)</f>
        <v>0.58075980652242554</v>
      </c>
      <c r="AI525" s="28">
        <f t="shared" si="74"/>
        <v>0.51300000000000034</v>
      </c>
      <c r="AJ525">
        <v>0.81896420178838469</v>
      </c>
      <c r="AK525" s="28">
        <f t="shared" ref="AK525:AK588" si="77">_xlfn.BETA.INV(AJ525,$AL$5,$AL$6,0,1)</f>
        <v>0.31326094530463511</v>
      </c>
      <c r="AY525" s="28">
        <f t="shared" si="75"/>
        <v>0.51300000000000034</v>
      </c>
      <c r="AZ525">
        <v>0.7415387432477798</v>
      </c>
      <c r="BA525" s="28">
        <f t="shared" ref="BA525:BA588" si="78">_xlfn.BETA.INV(AZ525,$BB$5,$BB$6,0,1)</f>
        <v>0.7415387432477798</v>
      </c>
    </row>
    <row r="526" spans="19:53" x14ac:dyDescent="0.25">
      <c r="S526" s="28">
        <f t="shared" si="73"/>
        <v>0.51400000000000035</v>
      </c>
      <c r="T526">
        <v>0.17773979918820765</v>
      </c>
      <c r="U526" s="28">
        <f t="shared" si="76"/>
        <v>0.32213270196392713</v>
      </c>
      <c r="AI526" s="28">
        <f t="shared" si="74"/>
        <v>0.51400000000000035</v>
      </c>
      <c r="AJ526">
        <v>0.17819757683034759</v>
      </c>
      <c r="AK526" s="28">
        <f t="shared" si="77"/>
        <v>0.12349108513134482</v>
      </c>
      <c r="AY526" s="28">
        <f t="shared" si="75"/>
        <v>0.51400000000000035</v>
      </c>
      <c r="AZ526">
        <v>0.27030243842890711</v>
      </c>
      <c r="BA526" s="28">
        <f t="shared" si="78"/>
        <v>0.27030243842890711</v>
      </c>
    </row>
    <row r="527" spans="19:53" x14ac:dyDescent="0.25">
      <c r="S527" s="28">
        <f t="shared" ref="S527:S590" si="79">S526+0.001</f>
        <v>0.51500000000000035</v>
      </c>
      <c r="T527">
        <v>0.20035401470992156</v>
      </c>
      <c r="U527" s="28">
        <f t="shared" si="76"/>
        <v>0.33729511548566526</v>
      </c>
      <c r="AI527" s="28">
        <f t="shared" ref="AI527:AI590" si="80">AI526+0.001</f>
        <v>0.51500000000000035</v>
      </c>
      <c r="AJ527">
        <v>0.43800164799951169</v>
      </c>
      <c r="AK527" s="28">
        <f t="shared" si="77"/>
        <v>0.1920787773191098</v>
      </c>
      <c r="AY527" s="28">
        <f t="shared" ref="AY527:AY590" si="81">AY526+0.001</f>
        <v>0.51500000000000035</v>
      </c>
      <c r="AZ527">
        <v>0.61162144840845978</v>
      </c>
      <c r="BA527" s="28">
        <f t="shared" si="78"/>
        <v>0.61162144840845978</v>
      </c>
    </row>
    <row r="528" spans="19:53" x14ac:dyDescent="0.25">
      <c r="S528" s="28">
        <f t="shared" si="79"/>
        <v>0.51600000000000035</v>
      </c>
      <c r="T528">
        <v>0.41987365337076937</v>
      </c>
      <c r="U528" s="28">
        <f t="shared" si="76"/>
        <v>0.45979885231387768</v>
      </c>
      <c r="AI528" s="28">
        <f t="shared" si="80"/>
        <v>0.51600000000000035</v>
      </c>
      <c r="AJ528">
        <v>0.43458357493820005</v>
      </c>
      <c r="AK528" s="28">
        <f t="shared" si="77"/>
        <v>0.19120723809182458</v>
      </c>
      <c r="AY528" s="28">
        <f t="shared" si="81"/>
        <v>0.51600000000000035</v>
      </c>
      <c r="AZ528">
        <v>0.47611926633503221</v>
      </c>
      <c r="BA528" s="28">
        <f t="shared" si="78"/>
        <v>0.47611926633503221</v>
      </c>
    </row>
    <row r="529" spans="19:53" x14ac:dyDescent="0.25">
      <c r="S529" s="28">
        <f t="shared" si="79"/>
        <v>0.51700000000000035</v>
      </c>
      <c r="T529">
        <v>0.31281472212897121</v>
      </c>
      <c r="U529" s="28">
        <f t="shared" si="76"/>
        <v>0.40376891755017114</v>
      </c>
      <c r="AI529" s="28">
        <f t="shared" si="80"/>
        <v>0.51700000000000035</v>
      </c>
      <c r="AJ529">
        <v>0.25119785149693291</v>
      </c>
      <c r="AK529" s="28">
        <f t="shared" si="77"/>
        <v>0.14409476358289222</v>
      </c>
      <c r="AY529" s="28">
        <f t="shared" si="81"/>
        <v>0.51700000000000035</v>
      </c>
      <c r="AZ529">
        <v>0.70302438428907132</v>
      </c>
      <c r="BA529" s="28">
        <f t="shared" si="78"/>
        <v>0.70302438428907132</v>
      </c>
    </row>
    <row r="530" spans="19:53" x14ac:dyDescent="0.25">
      <c r="S530" s="28">
        <f t="shared" si="79"/>
        <v>0.51800000000000035</v>
      </c>
      <c r="T530">
        <v>0.23880733664967804</v>
      </c>
      <c r="U530" s="28">
        <f t="shared" si="76"/>
        <v>0.36140569208062268</v>
      </c>
      <c r="AI530" s="28">
        <f t="shared" si="80"/>
        <v>0.51800000000000035</v>
      </c>
      <c r="AJ530">
        <v>0.47929319132053588</v>
      </c>
      <c r="AK530" s="28">
        <f t="shared" si="77"/>
        <v>0.20269330412932429</v>
      </c>
      <c r="AY530" s="28">
        <f t="shared" si="81"/>
        <v>0.51800000000000035</v>
      </c>
      <c r="AZ530">
        <v>0.60362559892574852</v>
      </c>
      <c r="BA530" s="28">
        <f t="shared" si="78"/>
        <v>0.60362559892574852</v>
      </c>
    </row>
    <row r="531" spans="19:53" x14ac:dyDescent="0.25">
      <c r="S531" s="28">
        <f t="shared" si="79"/>
        <v>0.51900000000000035</v>
      </c>
      <c r="T531">
        <v>0.36835840937528613</v>
      </c>
      <c r="U531" s="28">
        <f t="shared" si="76"/>
        <v>0.4333548119510065</v>
      </c>
      <c r="AI531" s="28">
        <f t="shared" si="80"/>
        <v>0.51900000000000035</v>
      </c>
      <c r="AJ531">
        <v>0.96978667561876275</v>
      </c>
      <c r="AK531" s="28">
        <f t="shared" si="77"/>
        <v>0.43923820294849636</v>
      </c>
      <c r="AY531" s="28">
        <f t="shared" si="81"/>
        <v>0.51900000000000035</v>
      </c>
      <c r="AZ531">
        <v>0.53050325022125921</v>
      </c>
      <c r="BA531" s="28">
        <f t="shared" si="78"/>
        <v>0.53050325022125921</v>
      </c>
    </row>
    <row r="532" spans="19:53" x14ac:dyDescent="0.25">
      <c r="S532" s="28">
        <f t="shared" si="79"/>
        <v>0.52000000000000035</v>
      </c>
      <c r="T532">
        <v>0.59056367687002165</v>
      </c>
      <c r="U532" s="28">
        <f t="shared" si="76"/>
        <v>0.54550368777513558</v>
      </c>
      <c r="AI532" s="28">
        <f t="shared" si="80"/>
        <v>0.52000000000000035</v>
      </c>
      <c r="AJ532">
        <v>0.84884182256538587</v>
      </c>
      <c r="AK532" s="28">
        <f t="shared" si="77"/>
        <v>0.32832876208797934</v>
      </c>
      <c r="AY532" s="28">
        <f t="shared" si="81"/>
        <v>0.52000000000000035</v>
      </c>
      <c r="AZ532">
        <v>0.24622333445234534</v>
      </c>
      <c r="BA532" s="28">
        <f t="shared" si="78"/>
        <v>0.24622333445234534</v>
      </c>
    </row>
    <row r="533" spans="19:53" x14ac:dyDescent="0.25">
      <c r="S533" s="28">
        <f t="shared" si="79"/>
        <v>0.52100000000000035</v>
      </c>
      <c r="T533">
        <v>0.59108249153111359</v>
      </c>
      <c r="U533" s="28">
        <f t="shared" si="76"/>
        <v>0.54576788543649335</v>
      </c>
      <c r="AI533" s="28">
        <f t="shared" si="80"/>
        <v>0.52100000000000035</v>
      </c>
      <c r="AJ533">
        <v>3.6439100314340646E-2</v>
      </c>
      <c r="AK533" s="28">
        <f t="shared" si="77"/>
        <v>6.6890179522076945E-2</v>
      </c>
      <c r="AY533" s="28">
        <f t="shared" si="81"/>
        <v>0.52100000000000035</v>
      </c>
      <c r="AZ533">
        <v>0.96298104800561546</v>
      </c>
      <c r="BA533" s="28">
        <f t="shared" si="78"/>
        <v>0.96298104800561546</v>
      </c>
    </row>
    <row r="534" spans="19:53" x14ac:dyDescent="0.25">
      <c r="S534" s="28">
        <f t="shared" si="79"/>
        <v>0.52200000000000035</v>
      </c>
      <c r="T534">
        <v>0.58980071413312174</v>
      </c>
      <c r="U534" s="28">
        <f t="shared" si="76"/>
        <v>0.54511527302745966</v>
      </c>
      <c r="AI534" s="28">
        <f t="shared" si="80"/>
        <v>0.52200000000000035</v>
      </c>
      <c r="AJ534">
        <v>0.86965544602801603</v>
      </c>
      <c r="AK534" s="28">
        <f t="shared" si="77"/>
        <v>0.3401862115829406</v>
      </c>
      <c r="AY534" s="28">
        <f t="shared" si="81"/>
        <v>0.52200000000000035</v>
      </c>
      <c r="AZ534">
        <v>0.66206854457228304</v>
      </c>
      <c r="BA534" s="28">
        <f t="shared" si="78"/>
        <v>0.66206854457228304</v>
      </c>
    </row>
    <row r="535" spans="19:53" x14ac:dyDescent="0.25">
      <c r="S535" s="28">
        <f t="shared" si="79"/>
        <v>0.52300000000000035</v>
      </c>
      <c r="T535">
        <v>8.8351084933011872E-2</v>
      </c>
      <c r="U535" s="28">
        <f t="shared" si="76"/>
        <v>0.24952875783753203</v>
      </c>
      <c r="AI535" s="28">
        <f t="shared" si="80"/>
        <v>0.52300000000000035</v>
      </c>
      <c r="AJ535">
        <v>7.0223090304269542E-2</v>
      </c>
      <c r="AK535" s="28">
        <f t="shared" si="77"/>
        <v>8.5011400494903147E-2</v>
      </c>
      <c r="AY535" s="28">
        <f t="shared" si="81"/>
        <v>0.52300000000000035</v>
      </c>
      <c r="AZ535">
        <v>0.19409772026734215</v>
      </c>
      <c r="BA535" s="28">
        <f t="shared" si="78"/>
        <v>0.19409772026734215</v>
      </c>
    </row>
    <row r="536" spans="19:53" x14ac:dyDescent="0.25">
      <c r="S536" s="28">
        <f t="shared" si="79"/>
        <v>0.52400000000000035</v>
      </c>
      <c r="T536">
        <v>0.12152470473342082</v>
      </c>
      <c r="U536" s="28">
        <f t="shared" si="76"/>
        <v>0.27969034281165328</v>
      </c>
      <c r="AI536" s="28">
        <f t="shared" si="80"/>
        <v>0.52400000000000035</v>
      </c>
      <c r="AJ536">
        <v>0.20346690267647327</v>
      </c>
      <c r="AK536" s="28">
        <f t="shared" si="77"/>
        <v>0.1308824450775822</v>
      </c>
      <c r="AY536" s="28">
        <f t="shared" si="81"/>
        <v>0.52400000000000035</v>
      </c>
      <c r="AZ536">
        <v>0.67818231757560965</v>
      </c>
      <c r="BA536" s="28">
        <f t="shared" si="78"/>
        <v>0.67818231757560965</v>
      </c>
    </row>
    <row r="537" spans="19:53" x14ac:dyDescent="0.25">
      <c r="S537" s="28">
        <f t="shared" si="79"/>
        <v>0.52500000000000036</v>
      </c>
      <c r="T537">
        <v>0.89587084566789754</v>
      </c>
      <c r="U537" s="28">
        <f t="shared" si="76"/>
        <v>0.73546789454329053</v>
      </c>
      <c r="AI537" s="28">
        <f t="shared" si="80"/>
        <v>0.52500000000000036</v>
      </c>
      <c r="AJ537">
        <v>0.59233375041962955</v>
      </c>
      <c r="AK537" s="28">
        <f t="shared" si="77"/>
        <v>0.2332538881545162</v>
      </c>
      <c r="AY537" s="28">
        <f t="shared" si="81"/>
        <v>0.52500000000000036</v>
      </c>
      <c r="AZ537">
        <v>0.58043153172399065</v>
      </c>
      <c r="BA537" s="28">
        <f t="shared" si="78"/>
        <v>0.58043153172399065</v>
      </c>
    </row>
    <row r="538" spans="19:53" x14ac:dyDescent="0.25">
      <c r="S538" s="28">
        <f t="shared" si="79"/>
        <v>0.52600000000000036</v>
      </c>
      <c r="T538">
        <v>7.003997924741355E-2</v>
      </c>
      <c r="U538" s="28">
        <f t="shared" si="76"/>
        <v>0.230070279944358</v>
      </c>
      <c r="AI538" s="28">
        <f t="shared" si="80"/>
        <v>0.52600000000000036</v>
      </c>
      <c r="AJ538">
        <v>0.57927182836390267</v>
      </c>
      <c r="AK538" s="28">
        <f t="shared" si="77"/>
        <v>0.22955915291795981</v>
      </c>
      <c r="AY538" s="28">
        <f t="shared" si="81"/>
        <v>0.52600000000000036</v>
      </c>
      <c r="AZ538">
        <v>0.52452162236396371</v>
      </c>
      <c r="BA538" s="28">
        <f t="shared" si="78"/>
        <v>0.52452162236396371</v>
      </c>
    </row>
    <row r="539" spans="19:53" x14ac:dyDescent="0.25">
      <c r="S539" s="28">
        <f t="shared" si="79"/>
        <v>0.52700000000000036</v>
      </c>
      <c r="T539">
        <v>0.2000793481246376</v>
      </c>
      <c r="U539" s="28">
        <f t="shared" si="76"/>
        <v>0.33711586139609451</v>
      </c>
      <c r="AI539" s="28">
        <f t="shared" si="80"/>
        <v>0.52700000000000036</v>
      </c>
      <c r="AJ539">
        <v>0.10071108127079073</v>
      </c>
      <c r="AK539" s="28">
        <f t="shared" si="77"/>
        <v>9.7663816506517745E-2</v>
      </c>
      <c r="AY539" s="28">
        <f t="shared" si="81"/>
        <v>0.52700000000000036</v>
      </c>
      <c r="AZ539">
        <v>9.6591082491531116E-2</v>
      </c>
      <c r="BA539" s="28">
        <f t="shared" si="78"/>
        <v>9.6591082491531116E-2</v>
      </c>
    </row>
    <row r="540" spans="19:53" x14ac:dyDescent="0.25">
      <c r="S540" s="28">
        <f t="shared" si="79"/>
        <v>0.52800000000000036</v>
      </c>
      <c r="T540">
        <v>0.91991943113498331</v>
      </c>
      <c r="U540" s="28">
        <f t="shared" si="76"/>
        <v>0.75894222288547786</v>
      </c>
      <c r="AI540" s="28">
        <f t="shared" si="80"/>
        <v>0.52800000000000036</v>
      </c>
      <c r="AJ540">
        <v>0.76076540421765804</v>
      </c>
      <c r="AK540" s="28">
        <f t="shared" si="77"/>
        <v>0.28837587984874136</v>
      </c>
      <c r="AY540" s="28">
        <f t="shared" si="81"/>
        <v>0.52800000000000036</v>
      </c>
      <c r="AZ540">
        <v>0.59657582323679315</v>
      </c>
      <c r="BA540" s="28">
        <f t="shared" si="78"/>
        <v>0.59657582323679315</v>
      </c>
    </row>
    <row r="541" spans="19:53" x14ac:dyDescent="0.25">
      <c r="S541" s="28">
        <f t="shared" si="79"/>
        <v>0.52900000000000036</v>
      </c>
      <c r="T541">
        <v>0.72716452528458508</v>
      </c>
      <c r="U541" s="28">
        <f t="shared" si="76"/>
        <v>0.61858255203428636</v>
      </c>
      <c r="AI541" s="28">
        <f t="shared" si="80"/>
        <v>0.52900000000000036</v>
      </c>
      <c r="AJ541">
        <v>0.59327982421338543</v>
      </c>
      <c r="AK541" s="28">
        <f t="shared" si="77"/>
        <v>0.23352363926566388</v>
      </c>
      <c r="AY541" s="28">
        <f t="shared" si="81"/>
        <v>0.52900000000000036</v>
      </c>
      <c r="AZ541">
        <v>0.66042054506057923</v>
      </c>
      <c r="BA541" s="28">
        <f t="shared" si="78"/>
        <v>0.66042054506057923</v>
      </c>
    </row>
    <row r="542" spans="19:53" x14ac:dyDescent="0.25">
      <c r="S542" s="28">
        <f t="shared" si="79"/>
        <v>0.53000000000000036</v>
      </c>
      <c r="T542">
        <v>1.6052735984374525E-2</v>
      </c>
      <c r="U542" s="28">
        <f t="shared" si="76"/>
        <v>0.14093584083690752</v>
      </c>
      <c r="AI542" s="28">
        <f t="shared" si="80"/>
        <v>0.53000000000000036</v>
      </c>
      <c r="AJ542">
        <v>0.70046082949308752</v>
      </c>
      <c r="AK542" s="28">
        <f t="shared" si="77"/>
        <v>0.26656813039057103</v>
      </c>
      <c r="AY542" s="28">
        <f t="shared" si="81"/>
        <v>0.53000000000000036</v>
      </c>
      <c r="AZ542">
        <v>0.64043092135380109</v>
      </c>
      <c r="BA542" s="28">
        <f t="shared" si="78"/>
        <v>0.64043092135380109</v>
      </c>
    </row>
    <row r="543" spans="19:53" x14ac:dyDescent="0.25">
      <c r="S543" s="28">
        <f t="shared" si="79"/>
        <v>0.53100000000000036</v>
      </c>
      <c r="T543">
        <v>0.68483535264137696</v>
      </c>
      <c r="U543" s="28">
        <f t="shared" si="76"/>
        <v>0.59494884404643367</v>
      </c>
      <c r="AI543" s="28">
        <f t="shared" si="80"/>
        <v>0.53100000000000036</v>
      </c>
      <c r="AJ543">
        <v>0.93725394451734978</v>
      </c>
      <c r="AK543" s="28">
        <f t="shared" si="77"/>
        <v>0.39320580234690239</v>
      </c>
      <c r="AY543" s="28">
        <f t="shared" si="81"/>
        <v>0.53100000000000036</v>
      </c>
      <c r="AZ543">
        <v>9.7384563737907034E-2</v>
      </c>
      <c r="BA543" s="28">
        <f t="shared" si="78"/>
        <v>9.7384563737907034E-2</v>
      </c>
    </row>
    <row r="544" spans="19:53" x14ac:dyDescent="0.25">
      <c r="S544" s="28">
        <f t="shared" si="79"/>
        <v>0.53200000000000036</v>
      </c>
      <c r="T544">
        <v>0.56953642384105962</v>
      </c>
      <c r="U544" s="28">
        <f t="shared" si="76"/>
        <v>0.53484323922564458</v>
      </c>
      <c r="AI544" s="28">
        <f t="shared" si="80"/>
        <v>0.53200000000000036</v>
      </c>
      <c r="AJ544">
        <v>0.93420209356975004</v>
      </c>
      <c r="AK544" s="28">
        <f t="shared" si="77"/>
        <v>0.3899989698194879</v>
      </c>
      <c r="AY544" s="28">
        <f t="shared" si="81"/>
        <v>0.53200000000000036</v>
      </c>
      <c r="AZ544">
        <v>0.30072939237647633</v>
      </c>
      <c r="BA544" s="28">
        <f t="shared" si="78"/>
        <v>0.30072939237647633</v>
      </c>
    </row>
    <row r="545" spans="19:53" x14ac:dyDescent="0.25">
      <c r="S545" s="28">
        <f t="shared" si="79"/>
        <v>0.53300000000000036</v>
      </c>
      <c r="T545">
        <v>0.24979400006103702</v>
      </c>
      <c r="U545" s="28">
        <f t="shared" si="76"/>
        <v>0.36798416558364483</v>
      </c>
      <c r="AI545" s="28">
        <f t="shared" si="80"/>
        <v>0.53300000000000036</v>
      </c>
      <c r="AJ545">
        <v>0.17438276314584797</v>
      </c>
      <c r="AK545" s="28">
        <f t="shared" si="77"/>
        <v>0.12234385067178633</v>
      </c>
      <c r="AY545" s="28">
        <f t="shared" si="81"/>
        <v>0.53300000000000036</v>
      </c>
      <c r="AZ545">
        <v>0.17258217108676413</v>
      </c>
      <c r="BA545" s="28">
        <f t="shared" si="78"/>
        <v>0.17258217108676413</v>
      </c>
    </row>
    <row r="546" spans="19:53" x14ac:dyDescent="0.25">
      <c r="S546" s="28">
        <f t="shared" si="79"/>
        <v>0.53400000000000036</v>
      </c>
      <c r="T546">
        <v>0.68388927884762107</v>
      </c>
      <c r="U546" s="28">
        <f t="shared" si="76"/>
        <v>0.59443349465622708</v>
      </c>
      <c r="AI546" s="28">
        <f t="shared" si="80"/>
        <v>0.53400000000000036</v>
      </c>
      <c r="AJ546">
        <v>0.20154423657948545</v>
      </c>
      <c r="AK546" s="28">
        <f t="shared" si="77"/>
        <v>0.13033151503415336</v>
      </c>
      <c r="AY546" s="28">
        <f t="shared" si="81"/>
        <v>0.53400000000000036</v>
      </c>
      <c r="AZ546">
        <v>0.99771111178930016</v>
      </c>
      <c r="BA546" s="28">
        <f t="shared" si="78"/>
        <v>0.99771111178930016</v>
      </c>
    </row>
    <row r="547" spans="19:53" x14ac:dyDescent="0.25">
      <c r="S547" s="28">
        <f t="shared" si="79"/>
        <v>0.53500000000000036</v>
      </c>
      <c r="T547">
        <v>2.3041474654377881E-2</v>
      </c>
      <c r="U547" s="28">
        <f t="shared" si="76"/>
        <v>0.15846087730966862</v>
      </c>
      <c r="AI547" s="28">
        <f t="shared" si="80"/>
        <v>0.53500000000000036</v>
      </c>
      <c r="AJ547">
        <v>5.4109317300943024E-2</v>
      </c>
      <c r="AK547" s="28">
        <f t="shared" si="77"/>
        <v>7.7156290602793776E-2</v>
      </c>
      <c r="AY547" s="28">
        <f t="shared" si="81"/>
        <v>0.53500000000000036</v>
      </c>
      <c r="AZ547">
        <v>4.1718802453688163E-2</v>
      </c>
      <c r="BA547" s="28">
        <f t="shared" si="78"/>
        <v>4.1718802453688156E-2</v>
      </c>
    </row>
    <row r="548" spans="19:53" x14ac:dyDescent="0.25">
      <c r="S548" s="28">
        <f t="shared" si="79"/>
        <v>0.53600000000000037</v>
      </c>
      <c r="T548">
        <v>0.3835261085848567</v>
      </c>
      <c r="U548" s="28">
        <f t="shared" si="76"/>
        <v>0.44121877541216664</v>
      </c>
      <c r="AI548" s="28">
        <f t="shared" si="80"/>
        <v>0.53600000000000037</v>
      </c>
      <c r="AJ548">
        <v>0.66258735923337508</v>
      </c>
      <c r="AK548" s="28">
        <f t="shared" si="77"/>
        <v>0.25423680108724001</v>
      </c>
      <c r="AY548" s="28">
        <f t="shared" si="81"/>
        <v>0.53600000000000037</v>
      </c>
      <c r="AZ548">
        <v>0.32755516220587788</v>
      </c>
      <c r="BA548" s="28">
        <f t="shared" si="78"/>
        <v>0.32755516220587788</v>
      </c>
    </row>
    <row r="549" spans="19:53" x14ac:dyDescent="0.25">
      <c r="S549" s="28">
        <f t="shared" si="79"/>
        <v>0.53700000000000037</v>
      </c>
      <c r="T549">
        <v>0.76134525589770197</v>
      </c>
      <c r="U549" s="28">
        <f t="shared" si="76"/>
        <v>0.63868654082347343</v>
      </c>
      <c r="AI549" s="28">
        <f t="shared" si="80"/>
        <v>0.53700000000000037</v>
      </c>
      <c r="AJ549">
        <v>0.93389690847499007</v>
      </c>
      <c r="AK549" s="28">
        <f t="shared" si="77"/>
        <v>0.38968493861373754</v>
      </c>
      <c r="AY549" s="28">
        <f t="shared" si="81"/>
        <v>0.53700000000000037</v>
      </c>
      <c r="AZ549">
        <v>0.78789635914181955</v>
      </c>
      <c r="BA549" s="28">
        <f t="shared" si="78"/>
        <v>0.78789635914181955</v>
      </c>
    </row>
    <row r="550" spans="19:53" x14ac:dyDescent="0.25">
      <c r="S550" s="28">
        <f t="shared" si="79"/>
        <v>0.53800000000000037</v>
      </c>
      <c r="T550">
        <v>0.97039704580828268</v>
      </c>
      <c r="U550" s="28">
        <f t="shared" si="76"/>
        <v>0.82795786814089478</v>
      </c>
      <c r="AI550" s="28">
        <f t="shared" si="80"/>
        <v>0.53800000000000037</v>
      </c>
      <c r="AJ550">
        <v>0.54426709799493389</v>
      </c>
      <c r="AK550" s="28">
        <f t="shared" si="77"/>
        <v>0.21990125070369915</v>
      </c>
      <c r="AY550" s="28">
        <f t="shared" si="81"/>
        <v>0.53800000000000037</v>
      </c>
      <c r="AZ550">
        <v>0.2381359294412061</v>
      </c>
      <c r="BA550" s="28">
        <f t="shared" si="78"/>
        <v>0.23813592944120607</v>
      </c>
    </row>
    <row r="551" spans="19:53" x14ac:dyDescent="0.25">
      <c r="S551" s="28">
        <f t="shared" si="79"/>
        <v>0.53900000000000037</v>
      </c>
      <c r="T551">
        <v>0.65535447248756373</v>
      </c>
      <c r="U551" s="28">
        <f t="shared" si="76"/>
        <v>0.57910674021333697</v>
      </c>
      <c r="AI551" s="28">
        <f t="shared" si="80"/>
        <v>0.53900000000000037</v>
      </c>
      <c r="AJ551">
        <v>0.79711294900357066</v>
      </c>
      <c r="AK551" s="28">
        <f t="shared" si="77"/>
        <v>0.30334189831917036</v>
      </c>
      <c r="AY551" s="28">
        <f t="shared" si="81"/>
        <v>0.53900000000000037</v>
      </c>
      <c r="AZ551">
        <v>0.53975035859248632</v>
      </c>
      <c r="BA551" s="28">
        <f t="shared" si="78"/>
        <v>0.53975035859248632</v>
      </c>
    </row>
    <row r="552" spans="19:53" x14ac:dyDescent="0.25">
      <c r="S552" s="28">
        <f t="shared" si="79"/>
        <v>0.54000000000000037</v>
      </c>
      <c r="T552">
        <v>0.14600054933317058</v>
      </c>
      <c r="U552" s="28">
        <f t="shared" si="76"/>
        <v>0.29918331808662907</v>
      </c>
      <c r="AI552" s="28">
        <f t="shared" si="80"/>
        <v>0.54000000000000037</v>
      </c>
      <c r="AJ552">
        <v>0.21576586199530015</v>
      </c>
      <c r="AK552" s="28">
        <f t="shared" si="77"/>
        <v>0.13436787348794504</v>
      </c>
      <c r="AY552" s="28">
        <f t="shared" si="81"/>
        <v>0.54000000000000037</v>
      </c>
      <c r="AZ552">
        <v>0.7397991882076479</v>
      </c>
      <c r="BA552" s="28">
        <f t="shared" si="78"/>
        <v>0.7397991882076479</v>
      </c>
    </row>
    <row r="553" spans="19:53" x14ac:dyDescent="0.25">
      <c r="S553" s="28">
        <f t="shared" si="79"/>
        <v>0.54100000000000037</v>
      </c>
      <c r="T553">
        <v>9.1555528427991584E-2</v>
      </c>
      <c r="U553" s="28">
        <f t="shared" si="76"/>
        <v>0.25268988536978076</v>
      </c>
      <c r="AI553" s="28">
        <f t="shared" si="80"/>
        <v>0.54100000000000037</v>
      </c>
      <c r="AJ553">
        <v>0.64073610644856105</v>
      </c>
      <c r="AK553" s="28">
        <f t="shared" si="77"/>
        <v>0.2474812473216641</v>
      </c>
      <c r="AY553" s="28">
        <f t="shared" si="81"/>
        <v>0.54100000000000037</v>
      </c>
      <c r="AZ553">
        <v>0.1389812921536912</v>
      </c>
      <c r="BA553" s="28">
        <f t="shared" si="78"/>
        <v>0.1389812921536912</v>
      </c>
    </row>
    <row r="554" spans="19:53" x14ac:dyDescent="0.25">
      <c r="S554" s="28">
        <f t="shared" si="79"/>
        <v>0.54200000000000037</v>
      </c>
      <c r="T554">
        <v>0.33976256599627674</v>
      </c>
      <c r="U554" s="28">
        <f t="shared" si="76"/>
        <v>0.41829828263715335</v>
      </c>
      <c r="AI554" s="28">
        <f t="shared" si="80"/>
        <v>0.54200000000000037</v>
      </c>
      <c r="AJ554">
        <v>0.1858272041993469</v>
      </c>
      <c r="AK554" s="28">
        <f t="shared" si="77"/>
        <v>0.1257591975037716</v>
      </c>
      <c r="AY554" s="28">
        <f t="shared" si="81"/>
        <v>0.54200000000000037</v>
      </c>
      <c r="AZ554">
        <v>0.50141911069063383</v>
      </c>
      <c r="BA554" s="28">
        <f t="shared" si="78"/>
        <v>0.50141911069063383</v>
      </c>
    </row>
    <row r="555" spans="19:53" x14ac:dyDescent="0.25">
      <c r="S555" s="28">
        <f t="shared" si="79"/>
        <v>0.54300000000000037</v>
      </c>
      <c r="T555">
        <v>0.82836390270699178</v>
      </c>
      <c r="U555" s="28">
        <f t="shared" si="76"/>
        <v>0.68211382233414986</v>
      </c>
      <c r="AI555" s="28">
        <f t="shared" si="80"/>
        <v>0.54300000000000037</v>
      </c>
      <c r="AJ555">
        <v>2.1362956633198035E-3</v>
      </c>
      <c r="AK555" s="28">
        <f t="shared" si="77"/>
        <v>2.6138837117174019E-2</v>
      </c>
      <c r="AY555" s="28">
        <f t="shared" si="81"/>
        <v>0.54300000000000037</v>
      </c>
      <c r="AZ555">
        <v>0.55977050080874047</v>
      </c>
      <c r="BA555" s="28">
        <f t="shared" si="78"/>
        <v>0.55977050080874047</v>
      </c>
    </row>
    <row r="556" spans="19:53" x14ac:dyDescent="0.25">
      <c r="S556" s="28">
        <f t="shared" si="79"/>
        <v>0.54400000000000037</v>
      </c>
      <c r="T556">
        <v>0.69957579271828363</v>
      </c>
      <c r="U556" s="28">
        <f t="shared" si="76"/>
        <v>0.6030455763209579</v>
      </c>
      <c r="AI556" s="28">
        <f t="shared" si="80"/>
        <v>0.54400000000000037</v>
      </c>
      <c r="AJ556">
        <v>0.9634388256477554</v>
      </c>
      <c r="AK556" s="28">
        <f t="shared" si="77"/>
        <v>0.42778012925621944</v>
      </c>
      <c r="AY556" s="28">
        <f t="shared" si="81"/>
        <v>0.54400000000000037</v>
      </c>
      <c r="AZ556">
        <v>0.97079378643147074</v>
      </c>
      <c r="BA556" s="28">
        <f t="shared" si="78"/>
        <v>0.97079378643147074</v>
      </c>
    </row>
    <row r="557" spans="19:53" x14ac:dyDescent="0.25">
      <c r="S557" s="28">
        <f t="shared" si="79"/>
        <v>0.54500000000000037</v>
      </c>
      <c r="T557">
        <v>0.46498001037629322</v>
      </c>
      <c r="U557" s="28">
        <f t="shared" si="76"/>
        <v>0.48250296445386154</v>
      </c>
      <c r="AI557" s="28">
        <f t="shared" si="80"/>
        <v>0.54500000000000037</v>
      </c>
      <c r="AJ557">
        <v>5.3651539658803066E-2</v>
      </c>
      <c r="AK557" s="28">
        <f t="shared" si="77"/>
        <v>7.6915994834518761E-2</v>
      </c>
      <c r="AY557" s="28">
        <f t="shared" si="81"/>
        <v>0.54500000000000037</v>
      </c>
      <c r="AZ557">
        <v>0.4107181005279702</v>
      </c>
      <c r="BA557" s="28">
        <f t="shared" si="78"/>
        <v>0.4107181005279702</v>
      </c>
    </row>
    <row r="558" spans="19:53" x14ac:dyDescent="0.25">
      <c r="S558" s="28">
        <f t="shared" si="79"/>
        <v>0.54600000000000037</v>
      </c>
      <c r="T558">
        <v>0.36115604113895078</v>
      </c>
      <c r="U558" s="28">
        <f t="shared" si="76"/>
        <v>0.42959290937582911</v>
      </c>
      <c r="AI558" s="28">
        <f t="shared" si="80"/>
        <v>0.54600000000000037</v>
      </c>
      <c r="AJ558">
        <v>0.74700155644398325</v>
      </c>
      <c r="AK558" s="28">
        <f t="shared" si="77"/>
        <v>0.28311075240829042</v>
      </c>
      <c r="AY558" s="28">
        <f t="shared" si="81"/>
        <v>0.54600000000000037</v>
      </c>
      <c r="AZ558">
        <v>0.27857295449690239</v>
      </c>
      <c r="BA558" s="28">
        <f t="shared" si="78"/>
        <v>0.27857295449690239</v>
      </c>
    </row>
    <row r="559" spans="19:53" x14ac:dyDescent="0.25">
      <c r="S559" s="28">
        <f t="shared" si="79"/>
        <v>0.54700000000000037</v>
      </c>
      <c r="T559">
        <v>0.60655537583544417</v>
      </c>
      <c r="U559" s="28">
        <f t="shared" si="76"/>
        <v>0.55367729249674558</v>
      </c>
      <c r="AI559" s="28">
        <f t="shared" si="80"/>
        <v>0.54700000000000037</v>
      </c>
      <c r="AJ559">
        <v>0.61607715079195535</v>
      </c>
      <c r="AK559" s="28">
        <f t="shared" si="77"/>
        <v>0.24011876511255048</v>
      </c>
      <c r="AY559" s="28">
        <f t="shared" si="81"/>
        <v>0.54700000000000037</v>
      </c>
      <c r="AZ559">
        <v>0.99249244666890468</v>
      </c>
      <c r="BA559" s="28">
        <f t="shared" si="78"/>
        <v>0.99249244666890468</v>
      </c>
    </row>
    <row r="560" spans="19:53" x14ac:dyDescent="0.25">
      <c r="S560" s="28">
        <f t="shared" si="79"/>
        <v>0.54800000000000038</v>
      </c>
      <c r="T560">
        <v>3.4913174840540788E-2</v>
      </c>
      <c r="U560" s="28">
        <f t="shared" si="76"/>
        <v>0.1817045936519541</v>
      </c>
      <c r="AI560" s="28">
        <f t="shared" si="80"/>
        <v>0.54800000000000038</v>
      </c>
      <c r="AJ560">
        <v>0.13773003326517533</v>
      </c>
      <c r="AK560" s="28">
        <f t="shared" si="77"/>
        <v>0.11077564724441127</v>
      </c>
      <c r="AY560" s="28">
        <f t="shared" si="81"/>
        <v>0.54800000000000038</v>
      </c>
      <c r="AZ560">
        <v>0.75728629413739434</v>
      </c>
      <c r="BA560" s="28">
        <f t="shared" si="78"/>
        <v>0.75728629413739434</v>
      </c>
    </row>
    <row r="561" spans="19:53" x14ac:dyDescent="0.25">
      <c r="S561" s="28">
        <f t="shared" si="79"/>
        <v>0.54900000000000038</v>
      </c>
      <c r="T561">
        <v>0.85738700521866507</v>
      </c>
      <c r="U561" s="28">
        <f t="shared" si="76"/>
        <v>0.70340782695459958</v>
      </c>
      <c r="AI561" s="28">
        <f t="shared" si="80"/>
        <v>0.54900000000000038</v>
      </c>
      <c r="AJ561">
        <v>0.75774407177953429</v>
      </c>
      <c r="AK561" s="28">
        <f t="shared" si="77"/>
        <v>0.28720325783970291</v>
      </c>
      <c r="AY561" s="28">
        <f t="shared" si="81"/>
        <v>0.54900000000000038</v>
      </c>
      <c r="AZ561">
        <v>0.6667378765221107</v>
      </c>
      <c r="BA561" s="28">
        <f t="shared" si="78"/>
        <v>0.6667378765221107</v>
      </c>
    </row>
    <row r="562" spans="19:53" x14ac:dyDescent="0.25">
      <c r="S562" s="28">
        <f t="shared" si="79"/>
        <v>0.55000000000000038</v>
      </c>
      <c r="T562">
        <v>0.76409192175054175</v>
      </c>
      <c r="U562" s="28">
        <f t="shared" si="76"/>
        <v>0.64035094880830368</v>
      </c>
      <c r="AI562" s="28">
        <f t="shared" si="80"/>
        <v>0.55000000000000038</v>
      </c>
      <c r="AJ562">
        <v>0.12735374004333627</v>
      </c>
      <c r="AK562" s="28">
        <f t="shared" si="77"/>
        <v>0.10727791665323884</v>
      </c>
      <c r="AY562" s="28">
        <f t="shared" si="81"/>
        <v>0.55000000000000038</v>
      </c>
      <c r="AZ562">
        <v>5.6672872096926785E-2</v>
      </c>
      <c r="BA562" s="28">
        <f t="shared" si="78"/>
        <v>5.6672872096926778E-2</v>
      </c>
    </row>
    <row r="563" spans="19:53" x14ac:dyDescent="0.25">
      <c r="S563" s="28">
        <f t="shared" si="79"/>
        <v>0.55100000000000038</v>
      </c>
      <c r="T563">
        <v>0.33133945738090154</v>
      </c>
      <c r="U563" s="28">
        <f t="shared" si="76"/>
        <v>0.41379614771359846</v>
      </c>
      <c r="AI563" s="28">
        <f t="shared" si="80"/>
        <v>0.55100000000000038</v>
      </c>
      <c r="AJ563">
        <v>0.47556993316446422</v>
      </c>
      <c r="AK563" s="28">
        <f t="shared" si="77"/>
        <v>0.20172832077590563</v>
      </c>
      <c r="AY563" s="28">
        <f t="shared" si="81"/>
        <v>0.55100000000000038</v>
      </c>
      <c r="AZ563">
        <v>0.84182256538590661</v>
      </c>
      <c r="BA563" s="28">
        <f t="shared" si="78"/>
        <v>0.84182256538590661</v>
      </c>
    </row>
    <row r="564" spans="19:53" x14ac:dyDescent="0.25">
      <c r="S564" s="28">
        <f t="shared" si="79"/>
        <v>0.55200000000000038</v>
      </c>
      <c r="T564">
        <v>3.8392284920804466E-2</v>
      </c>
      <c r="U564" s="28">
        <f t="shared" si="76"/>
        <v>0.18754895395065652</v>
      </c>
      <c r="AI564" s="28">
        <f t="shared" si="80"/>
        <v>0.55200000000000038</v>
      </c>
      <c r="AJ564">
        <v>0.12176885280922879</v>
      </c>
      <c r="AK564" s="28">
        <f t="shared" si="77"/>
        <v>0.10534411979186629</v>
      </c>
      <c r="AY564" s="28">
        <f t="shared" si="81"/>
        <v>0.55200000000000038</v>
      </c>
      <c r="AZ564">
        <v>0.19122898037659841</v>
      </c>
      <c r="BA564" s="28">
        <f t="shared" si="78"/>
        <v>0.19122898037659841</v>
      </c>
    </row>
    <row r="565" spans="19:53" x14ac:dyDescent="0.25">
      <c r="S565" s="28">
        <f t="shared" si="79"/>
        <v>0.55300000000000038</v>
      </c>
      <c r="T565">
        <v>0.37772759178441723</v>
      </c>
      <c r="U565" s="28">
        <f t="shared" si="76"/>
        <v>0.43822128403409666</v>
      </c>
      <c r="AI565" s="28">
        <f t="shared" si="80"/>
        <v>0.55300000000000038</v>
      </c>
      <c r="AJ565">
        <v>0.4246955778679769</v>
      </c>
      <c r="AK565" s="28">
        <f t="shared" si="77"/>
        <v>0.18869044731110021</v>
      </c>
      <c r="AY565" s="28">
        <f t="shared" si="81"/>
        <v>0.55300000000000038</v>
      </c>
      <c r="AZ565">
        <v>0.81905575731681268</v>
      </c>
      <c r="BA565" s="28">
        <f t="shared" si="78"/>
        <v>0.81905575731681268</v>
      </c>
    </row>
    <row r="566" spans="19:53" x14ac:dyDescent="0.25">
      <c r="S566" s="28">
        <f t="shared" si="79"/>
        <v>0.55400000000000038</v>
      </c>
      <c r="T566">
        <v>0.41737113559373762</v>
      </c>
      <c r="U566" s="28">
        <f t="shared" si="76"/>
        <v>0.45852957581681891</v>
      </c>
      <c r="AI566" s="28">
        <f t="shared" si="80"/>
        <v>0.55400000000000038</v>
      </c>
      <c r="AJ566">
        <v>0.34943693350016786</v>
      </c>
      <c r="AK566" s="28">
        <f t="shared" si="77"/>
        <v>0.16961659145033128</v>
      </c>
      <c r="AY566" s="28">
        <f t="shared" si="81"/>
        <v>0.55400000000000038</v>
      </c>
      <c r="AZ566">
        <v>3.5859248634296702E-2</v>
      </c>
      <c r="BA566" s="28">
        <f t="shared" si="78"/>
        <v>3.5859248634296702E-2</v>
      </c>
    </row>
    <row r="567" spans="19:53" x14ac:dyDescent="0.25">
      <c r="S567" s="28">
        <f t="shared" si="79"/>
        <v>0.55500000000000038</v>
      </c>
      <c r="T567">
        <v>0.30875576036866359</v>
      </c>
      <c r="U567" s="28">
        <f t="shared" si="76"/>
        <v>0.40154668150091249</v>
      </c>
      <c r="AI567" s="28">
        <f t="shared" si="80"/>
        <v>0.55500000000000038</v>
      </c>
      <c r="AJ567">
        <v>0.9005401776177252</v>
      </c>
      <c r="AK567" s="28">
        <f t="shared" si="77"/>
        <v>0.36077700093052523</v>
      </c>
      <c r="AY567" s="28">
        <f t="shared" si="81"/>
        <v>0.55500000000000038</v>
      </c>
      <c r="AZ567">
        <v>0.19943845942564165</v>
      </c>
      <c r="BA567" s="28">
        <f t="shared" si="78"/>
        <v>0.19943845942564165</v>
      </c>
    </row>
    <row r="568" spans="19:53" x14ac:dyDescent="0.25">
      <c r="S568" s="28">
        <f t="shared" si="79"/>
        <v>0.55600000000000038</v>
      </c>
      <c r="T568">
        <v>0.55421613208410903</v>
      </c>
      <c r="U568" s="28">
        <f t="shared" si="76"/>
        <v>0.52712515147619421</v>
      </c>
      <c r="AI568" s="28">
        <f t="shared" si="80"/>
        <v>0.55600000000000038</v>
      </c>
      <c r="AJ568">
        <v>0.29419843134861295</v>
      </c>
      <c r="AK568" s="28">
        <f t="shared" si="77"/>
        <v>0.15544863678973606</v>
      </c>
      <c r="AY568" s="28">
        <f t="shared" si="81"/>
        <v>0.55600000000000038</v>
      </c>
      <c r="AZ568">
        <v>0.42225409710989714</v>
      </c>
      <c r="BA568" s="28">
        <f t="shared" si="78"/>
        <v>0.42225409710989714</v>
      </c>
    </row>
    <row r="569" spans="19:53" x14ac:dyDescent="0.25">
      <c r="S569" s="28">
        <f t="shared" si="79"/>
        <v>0.55700000000000038</v>
      </c>
      <c r="T569">
        <v>0.70680867946409498</v>
      </c>
      <c r="U569" s="28">
        <f t="shared" si="76"/>
        <v>0.60706772189759706</v>
      </c>
      <c r="AI569" s="28">
        <f t="shared" si="80"/>
        <v>0.55700000000000038</v>
      </c>
      <c r="AJ569">
        <v>0.40333262123477892</v>
      </c>
      <c r="AK569" s="28">
        <f t="shared" si="77"/>
        <v>0.18327008519643712</v>
      </c>
      <c r="AY569" s="28">
        <f t="shared" si="81"/>
        <v>0.55700000000000038</v>
      </c>
      <c r="AZ569">
        <v>0.64607684560686052</v>
      </c>
      <c r="BA569" s="28">
        <f t="shared" si="78"/>
        <v>0.64607684560686052</v>
      </c>
    </row>
    <row r="570" spans="19:53" x14ac:dyDescent="0.25">
      <c r="S570" s="28">
        <f t="shared" si="79"/>
        <v>0.55800000000000038</v>
      </c>
      <c r="T570">
        <v>0.13846247749259927</v>
      </c>
      <c r="U570" s="28">
        <f t="shared" si="76"/>
        <v>0.29337406925572412</v>
      </c>
      <c r="AI570" s="28">
        <f t="shared" si="80"/>
        <v>0.55800000000000038</v>
      </c>
      <c r="AJ570">
        <v>0.4119998779259621</v>
      </c>
      <c r="AK570" s="28">
        <f t="shared" si="77"/>
        <v>0.18546696099353679</v>
      </c>
      <c r="AY570" s="28">
        <f t="shared" si="81"/>
        <v>0.55800000000000038</v>
      </c>
      <c r="AZ570">
        <v>0.69969786675618761</v>
      </c>
      <c r="BA570" s="28">
        <f t="shared" si="78"/>
        <v>0.69969786675618761</v>
      </c>
    </row>
    <row r="571" spans="19:53" x14ac:dyDescent="0.25">
      <c r="S571" s="28">
        <f t="shared" si="79"/>
        <v>0.55900000000000039</v>
      </c>
      <c r="T571">
        <v>6.7445905941953795E-3</v>
      </c>
      <c r="U571" s="28">
        <f t="shared" si="76"/>
        <v>0.10695642409166818</v>
      </c>
      <c r="AI571" s="28">
        <f t="shared" si="80"/>
        <v>0.55900000000000039</v>
      </c>
      <c r="AJ571">
        <v>0.25818659016693624</v>
      </c>
      <c r="AK571" s="28">
        <f t="shared" si="77"/>
        <v>0.14596833908824217</v>
      </c>
      <c r="AY571" s="28">
        <f t="shared" si="81"/>
        <v>0.55900000000000039</v>
      </c>
      <c r="AZ571">
        <v>0.65819269386883139</v>
      </c>
      <c r="BA571" s="28">
        <f t="shared" si="78"/>
        <v>0.65819269386883139</v>
      </c>
    </row>
    <row r="572" spans="19:53" x14ac:dyDescent="0.25">
      <c r="S572" s="28">
        <f t="shared" si="79"/>
        <v>0.56000000000000039</v>
      </c>
      <c r="T572">
        <v>0.91723380230109564</v>
      </c>
      <c r="U572" s="28">
        <f t="shared" si="76"/>
        <v>0.75613920007553248</v>
      </c>
      <c r="AI572" s="28">
        <f t="shared" si="80"/>
        <v>0.56000000000000039</v>
      </c>
      <c r="AJ572">
        <v>0.96209601123081145</v>
      </c>
      <c r="AK572" s="28">
        <f t="shared" si="77"/>
        <v>0.42557179354654584</v>
      </c>
      <c r="AY572" s="28">
        <f t="shared" si="81"/>
        <v>0.56000000000000039</v>
      </c>
      <c r="AZ572">
        <v>4.12915433210242E-2</v>
      </c>
      <c r="BA572" s="28">
        <f t="shared" si="78"/>
        <v>4.12915433210242E-2</v>
      </c>
    </row>
    <row r="573" spans="19:53" x14ac:dyDescent="0.25">
      <c r="S573" s="28">
        <f t="shared" si="79"/>
        <v>0.56100000000000039</v>
      </c>
      <c r="T573">
        <v>0.12369151890621662</v>
      </c>
      <c r="U573" s="28">
        <f t="shared" si="76"/>
        <v>0.28149457251467569</v>
      </c>
      <c r="AI573" s="28">
        <f t="shared" si="80"/>
        <v>0.56100000000000039</v>
      </c>
      <c r="AJ573">
        <v>4.6479689931943721E-2</v>
      </c>
      <c r="AK573" s="28">
        <f t="shared" si="77"/>
        <v>7.2994718287867272E-2</v>
      </c>
      <c r="AY573" s="28">
        <f t="shared" si="81"/>
        <v>0.56100000000000039</v>
      </c>
      <c r="AZ573">
        <v>0.76598406933805352</v>
      </c>
      <c r="BA573" s="28">
        <f t="shared" si="78"/>
        <v>0.76598406933805352</v>
      </c>
    </row>
    <row r="574" spans="19:53" x14ac:dyDescent="0.25">
      <c r="S574" s="28">
        <f t="shared" si="79"/>
        <v>0.56200000000000039</v>
      </c>
      <c r="T574">
        <v>0.73906674398022398</v>
      </c>
      <c r="U574" s="28">
        <f t="shared" si="76"/>
        <v>0.62546389017720649</v>
      </c>
      <c r="AI574" s="28">
        <f t="shared" si="80"/>
        <v>0.56200000000000039</v>
      </c>
      <c r="AJ574">
        <v>0.93502609332560194</v>
      </c>
      <c r="AK574" s="28">
        <f t="shared" si="77"/>
        <v>0.39085276600322827</v>
      </c>
      <c r="AY574" s="28">
        <f t="shared" si="81"/>
        <v>0.56200000000000039</v>
      </c>
      <c r="AZ574">
        <v>0.52021851252784812</v>
      </c>
      <c r="BA574" s="28">
        <f t="shared" si="78"/>
        <v>0.52021851252784812</v>
      </c>
    </row>
    <row r="575" spans="19:53" x14ac:dyDescent="0.25">
      <c r="S575" s="28">
        <f t="shared" si="79"/>
        <v>0.56300000000000039</v>
      </c>
      <c r="T575">
        <v>0.54368724631488996</v>
      </c>
      <c r="U575" s="28">
        <f t="shared" si="76"/>
        <v>0.52183935302247275</v>
      </c>
      <c r="AI575" s="28">
        <f t="shared" si="80"/>
        <v>0.56300000000000039</v>
      </c>
      <c r="AJ575">
        <v>0.15405743583483383</v>
      </c>
      <c r="AK575" s="28">
        <f t="shared" si="77"/>
        <v>0.1160633190922149</v>
      </c>
      <c r="AY575" s="28">
        <f t="shared" si="81"/>
        <v>0.56300000000000039</v>
      </c>
      <c r="AZ575">
        <v>0.32166508987701042</v>
      </c>
      <c r="BA575" s="28">
        <f t="shared" si="78"/>
        <v>0.32166508987701042</v>
      </c>
    </row>
    <row r="576" spans="19:53" x14ac:dyDescent="0.25">
      <c r="S576" s="28">
        <f t="shared" si="79"/>
        <v>0.56400000000000039</v>
      </c>
      <c r="T576">
        <v>0.61278115176854764</v>
      </c>
      <c r="U576" s="28">
        <f t="shared" si="76"/>
        <v>0.55687765873466932</v>
      </c>
      <c r="AI576" s="28">
        <f t="shared" si="80"/>
        <v>0.56400000000000039</v>
      </c>
      <c r="AJ576">
        <v>0.41267128513443402</v>
      </c>
      <c r="AK576" s="28">
        <f t="shared" si="77"/>
        <v>0.18563725150572999</v>
      </c>
      <c r="AY576" s="28">
        <f t="shared" si="81"/>
        <v>0.56400000000000039</v>
      </c>
      <c r="AZ576">
        <v>0.67757194738608961</v>
      </c>
      <c r="BA576" s="28">
        <f t="shared" si="78"/>
        <v>0.67757194738608961</v>
      </c>
    </row>
    <row r="577" spans="19:53" x14ac:dyDescent="0.25">
      <c r="S577" s="28">
        <f t="shared" si="79"/>
        <v>0.56500000000000039</v>
      </c>
      <c r="T577">
        <v>0.15146336252937406</v>
      </c>
      <c r="U577" s="28">
        <f t="shared" si="76"/>
        <v>0.30329829401762104</v>
      </c>
      <c r="AI577" s="28">
        <f t="shared" si="80"/>
        <v>0.56500000000000039</v>
      </c>
      <c r="AJ577">
        <v>0.68013550218207341</v>
      </c>
      <c r="AK577" s="28">
        <f t="shared" si="77"/>
        <v>0.25984330611200734</v>
      </c>
      <c r="AY577" s="28">
        <f t="shared" si="81"/>
        <v>0.56500000000000039</v>
      </c>
      <c r="AZ577">
        <v>0.97131260109256268</v>
      </c>
      <c r="BA577" s="28">
        <f t="shared" si="78"/>
        <v>0.97131260109256268</v>
      </c>
    </row>
    <row r="578" spans="19:53" x14ac:dyDescent="0.25">
      <c r="S578" s="28">
        <f t="shared" si="79"/>
        <v>0.56600000000000039</v>
      </c>
      <c r="T578">
        <v>0.2129886776329844</v>
      </c>
      <c r="U578" s="28">
        <f t="shared" si="76"/>
        <v>0.34542444338174644</v>
      </c>
      <c r="AI578" s="28">
        <f t="shared" si="80"/>
        <v>0.56600000000000039</v>
      </c>
      <c r="AJ578">
        <v>0.87643055513168733</v>
      </c>
      <c r="AK578" s="28">
        <f t="shared" si="77"/>
        <v>0.34435376047552757</v>
      </c>
      <c r="AY578" s="28">
        <f t="shared" si="81"/>
        <v>0.56600000000000039</v>
      </c>
      <c r="AZ578">
        <v>0.57951597643971064</v>
      </c>
      <c r="BA578" s="28">
        <f t="shared" si="78"/>
        <v>0.57951597643971064</v>
      </c>
    </row>
    <row r="579" spans="19:53" x14ac:dyDescent="0.25">
      <c r="S579" s="28">
        <f t="shared" si="79"/>
        <v>0.56700000000000039</v>
      </c>
      <c r="T579">
        <v>0.74889370403149513</v>
      </c>
      <c r="U579" s="28">
        <f t="shared" si="76"/>
        <v>0.63123800434810518</v>
      </c>
      <c r="AI579" s="28">
        <f t="shared" si="80"/>
        <v>0.56700000000000039</v>
      </c>
      <c r="AJ579">
        <v>0.40638447218237861</v>
      </c>
      <c r="AK579" s="28">
        <f t="shared" si="77"/>
        <v>0.18404335792004431</v>
      </c>
      <c r="AY579" s="28">
        <f t="shared" si="81"/>
        <v>0.56700000000000039</v>
      </c>
      <c r="AZ579">
        <v>6.543168431653798E-2</v>
      </c>
      <c r="BA579" s="28">
        <f t="shared" si="78"/>
        <v>6.543168431653798E-2</v>
      </c>
    </row>
    <row r="580" spans="19:53" x14ac:dyDescent="0.25">
      <c r="S580" s="28">
        <f t="shared" si="79"/>
        <v>0.56800000000000039</v>
      </c>
      <c r="T580">
        <v>0.2195806756797998</v>
      </c>
      <c r="U580" s="28">
        <f t="shared" si="76"/>
        <v>0.34958067319787289</v>
      </c>
      <c r="AI580" s="28">
        <f t="shared" si="80"/>
        <v>0.56800000000000039</v>
      </c>
      <c r="AJ580">
        <v>0.61589403973509937</v>
      </c>
      <c r="AK580" s="28">
        <f t="shared" si="77"/>
        <v>0.24006502669494634</v>
      </c>
      <c r="AY580" s="28">
        <f t="shared" si="81"/>
        <v>0.56800000000000039</v>
      </c>
      <c r="AZ580">
        <v>0.83950315866573078</v>
      </c>
      <c r="BA580" s="28">
        <f t="shared" si="78"/>
        <v>0.83950315866573078</v>
      </c>
    </row>
    <row r="581" spans="19:53" x14ac:dyDescent="0.25">
      <c r="S581" s="28">
        <f t="shared" si="79"/>
        <v>0.56900000000000039</v>
      </c>
      <c r="T581">
        <v>0.35309915463728753</v>
      </c>
      <c r="U581" s="28">
        <f t="shared" si="76"/>
        <v>0.42536143854695802</v>
      </c>
      <c r="AI581" s="28">
        <f t="shared" si="80"/>
        <v>0.56900000000000039</v>
      </c>
      <c r="AJ581">
        <v>0.62181463057344277</v>
      </c>
      <c r="AK581" s="28">
        <f t="shared" si="77"/>
        <v>0.24180925168512746</v>
      </c>
      <c r="AY581" s="28">
        <f t="shared" si="81"/>
        <v>0.56900000000000039</v>
      </c>
      <c r="AZ581">
        <v>0.83098849452192758</v>
      </c>
      <c r="BA581" s="28">
        <f t="shared" si="78"/>
        <v>0.83098849452192758</v>
      </c>
    </row>
    <row r="582" spans="19:53" x14ac:dyDescent="0.25">
      <c r="S582" s="28">
        <f t="shared" si="79"/>
        <v>0.5700000000000004</v>
      </c>
      <c r="T582">
        <v>0.47337260048219243</v>
      </c>
      <c r="U582" s="28">
        <f t="shared" si="76"/>
        <v>0.48670164006497679</v>
      </c>
      <c r="AI582" s="28">
        <f t="shared" si="80"/>
        <v>0.5700000000000004</v>
      </c>
      <c r="AJ582">
        <v>0.10248115482039857</v>
      </c>
      <c r="AK582" s="28">
        <f t="shared" si="77"/>
        <v>9.8336393117832363E-2</v>
      </c>
      <c r="AY582" s="28">
        <f t="shared" si="81"/>
        <v>0.5700000000000004</v>
      </c>
      <c r="AZ582">
        <v>0.38782921842097234</v>
      </c>
      <c r="BA582" s="28">
        <f t="shared" si="78"/>
        <v>0.38782921842097234</v>
      </c>
    </row>
    <row r="583" spans="19:53" x14ac:dyDescent="0.25">
      <c r="S583" s="28">
        <f t="shared" si="79"/>
        <v>0.5710000000000004</v>
      </c>
      <c r="T583">
        <v>0.57698294015320295</v>
      </c>
      <c r="U583" s="28">
        <f t="shared" si="76"/>
        <v>0.53860857373246995</v>
      </c>
      <c r="AI583" s="28">
        <f t="shared" si="80"/>
        <v>0.5710000000000004</v>
      </c>
      <c r="AJ583">
        <v>0.45951719718008971</v>
      </c>
      <c r="AK583" s="28">
        <f t="shared" si="77"/>
        <v>0.19758730599866153</v>
      </c>
      <c r="AY583" s="28">
        <f t="shared" si="81"/>
        <v>0.5710000000000004</v>
      </c>
      <c r="AZ583">
        <v>0.20676290169988099</v>
      </c>
      <c r="BA583" s="28">
        <f t="shared" si="78"/>
        <v>0.20676290169988099</v>
      </c>
    </row>
    <row r="584" spans="19:53" x14ac:dyDescent="0.25">
      <c r="S584" s="28">
        <f t="shared" si="79"/>
        <v>0.5720000000000004</v>
      </c>
      <c r="T584">
        <v>0.29239783928952912</v>
      </c>
      <c r="U584" s="28">
        <f t="shared" si="76"/>
        <v>0.39248893353403341</v>
      </c>
      <c r="AI584" s="28">
        <f t="shared" si="80"/>
        <v>0.5720000000000004</v>
      </c>
      <c r="AJ584">
        <v>0.6079897457808161</v>
      </c>
      <c r="AK584" s="28">
        <f t="shared" si="77"/>
        <v>0.23775751873961737</v>
      </c>
      <c r="AY584" s="28">
        <f t="shared" si="81"/>
        <v>0.5720000000000004</v>
      </c>
      <c r="AZ584">
        <v>0.53102206488235115</v>
      </c>
      <c r="BA584" s="28">
        <f t="shared" si="78"/>
        <v>0.53102206488235115</v>
      </c>
    </row>
    <row r="585" spans="19:53" x14ac:dyDescent="0.25">
      <c r="S585" s="28">
        <f t="shared" si="79"/>
        <v>0.5730000000000004</v>
      </c>
      <c r="T585">
        <v>0.30918301950132754</v>
      </c>
      <c r="U585" s="28">
        <f t="shared" si="76"/>
        <v>0.4017810534206529</v>
      </c>
      <c r="AI585" s="28">
        <f t="shared" si="80"/>
        <v>0.5730000000000004</v>
      </c>
      <c r="AJ585">
        <v>0.15375225074007384</v>
      </c>
      <c r="AK585" s="28">
        <f t="shared" si="77"/>
        <v>0.11596663762201927</v>
      </c>
      <c r="AY585" s="28">
        <f t="shared" si="81"/>
        <v>0.5730000000000004</v>
      </c>
      <c r="AZ585">
        <v>0.96655171361430703</v>
      </c>
      <c r="BA585" s="28">
        <f t="shared" si="78"/>
        <v>0.96655171361430703</v>
      </c>
    </row>
    <row r="586" spans="19:53" x14ac:dyDescent="0.25">
      <c r="S586" s="28">
        <f t="shared" si="79"/>
        <v>0.5740000000000004</v>
      </c>
      <c r="T586">
        <v>0.54451124607074186</v>
      </c>
      <c r="U586" s="28">
        <f t="shared" si="76"/>
        <v>0.52225256558620314</v>
      </c>
      <c r="AI586" s="28">
        <f t="shared" si="80"/>
        <v>0.5740000000000004</v>
      </c>
      <c r="AJ586">
        <v>9.3203527939695427E-2</v>
      </c>
      <c r="AK586" s="28">
        <f t="shared" si="77"/>
        <v>9.4746551256222056E-2</v>
      </c>
      <c r="AY586" s="28">
        <f t="shared" si="81"/>
        <v>0.5740000000000004</v>
      </c>
      <c r="AZ586">
        <v>0.68083742790002133</v>
      </c>
      <c r="BA586" s="28">
        <f t="shared" si="78"/>
        <v>0.68083742790002133</v>
      </c>
    </row>
    <row r="587" spans="19:53" x14ac:dyDescent="0.25">
      <c r="S587" s="28">
        <f t="shared" si="79"/>
        <v>0.5750000000000004</v>
      </c>
      <c r="T587">
        <v>0.15671254615924557</v>
      </c>
      <c r="U587" s="28">
        <f t="shared" si="76"/>
        <v>0.30718249685576238</v>
      </c>
      <c r="AI587" s="28">
        <f t="shared" si="80"/>
        <v>0.5750000000000004</v>
      </c>
      <c r="AJ587">
        <v>0.39365825373088781</v>
      </c>
      <c r="AK587" s="28">
        <f t="shared" si="77"/>
        <v>0.18082024834833615</v>
      </c>
      <c r="AY587" s="28">
        <f t="shared" si="81"/>
        <v>0.5750000000000004</v>
      </c>
      <c r="AZ587">
        <v>0.23844111453596606</v>
      </c>
      <c r="BA587" s="28">
        <f t="shared" si="78"/>
        <v>0.23844111453596609</v>
      </c>
    </row>
    <row r="588" spans="19:53" x14ac:dyDescent="0.25">
      <c r="S588" s="28">
        <f t="shared" si="79"/>
        <v>0.5760000000000004</v>
      </c>
      <c r="T588">
        <v>0.33988464003418073</v>
      </c>
      <c r="U588" s="28">
        <f t="shared" si="76"/>
        <v>0.41836328759162222</v>
      </c>
      <c r="AI588" s="28">
        <f t="shared" si="80"/>
        <v>0.5760000000000004</v>
      </c>
      <c r="AJ588">
        <v>8.853419598986785E-2</v>
      </c>
      <c r="AK588" s="28">
        <f t="shared" si="77"/>
        <v>9.2874697152647581E-2</v>
      </c>
      <c r="AY588" s="28">
        <f t="shared" si="81"/>
        <v>0.5760000000000004</v>
      </c>
      <c r="AZ588">
        <v>0.67458113345744197</v>
      </c>
      <c r="BA588" s="28">
        <f t="shared" si="78"/>
        <v>0.67458113345744197</v>
      </c>
    </row>
    <row r="589" spans="19:53" x14ac:dyDescent="0.25">
      <c r="S589" s="28">
        <f t="shared" si="79"/>
        <v>0.5770000000000004</v>
      </c>
      <c r="T589">
        <v>0.30854213080233162</v>
      </c>
      <c r="U589" s="28">
        <f t="shared" ref="U589:U652" si="82">_xlfn.BETA.INV(T589,$V$5,$V$6,0,1)</f>
        <v>0.40142945516241169</v>
      </c>
      <c r="AI589" s="28">
        <f t="shared" si="80"/>
        <v>0.5770000000000004</v>
      </c>
      <c r="AJ589">
        <v>0.85753959776604516</v>
      </c>
      <c r="AK589" s="28">
        <f t="shared" ref="AK589:AK652" si="83">_xlfn.BETA.INV(AJ589,$AL$5,$AL$6,0,1)</f>
        <v>0.33312507175915362</v>
      </c>
      <c r="AY589" s="28">
        <f t="shared" si="81"/>
        <v>0.5770000000000004</v>
      </c>
      <c r="AZ589">
        <v>0.90804773094882041</v>
      </c>
      <c r="BA589" s="28">
        <f t="shared" ref="BA589:BA652" si="84">_xlfn.BETA.INV(AZ589,$BB$5,$BB$6,0,1)</f>
        <v>0.90804773094882041</v>
      </c>
    </row>
    <row r="590" spans="19:53" x14ac:dyDescent="0.25">
      <c r="S590" s="28">
        <f t="shared" si="79"/>
        <v>0.5780000000000004</v>
      </c>
      <c r="T590">
        <v>0.61522263252662734</v>
      </c>
      <c r="U590" s="28">
        <f t="shared" si="82"/>
        <v>0.55813575836921825</v>
      </c>
      <c r="AI590" s="28">
        <f t="shared" si="80"/>
        <v>0.5780000000000004</v>
      </c>
      <c r="AJ590">
        <v>0.56343272194586014</v>
      </c>
      <c r="AK590" s="28">
        <f t="shared" si="83"/>
        <v>0.22514803908112158</v>
      </c>
      <c r="AY590" s="28">
        <f t="shared" si="81"/>
        <v>0.5780000000000004</v>
      </c>
      <c r="AZ590">
        <v>0.47624134037293619</v>
      </c>
      <c r="BA590" s="28">
        <f t="shared" si="84"/>
        <v>0.47624134037293619</v>
      </c>
    </row>
    <row r="591" spans="19:53" x14ac:dyDescent="0.25">
      <c r="S591" s="28">
        <f t="shared" ref="S591:S654" si="85">S590+0.001</f>
        <v>0.5790000000000004</v>
      </c>
      <c r="T591">
        <v>0.25598925748466445</v>
      </c>
      <c r="U591" s="28">
        <f t="shared" si="82"/>
        <v>0.37164208159889972</v>
      </c>
      <c r="AI591" s="28">
        <f t="shared" ref="AI591:AI654" si="86">AI590+0.001</f>
        <v>0.5790000000000004</v>
      </c>
      <c r="AJ591">
        <v>0.18591875972777488</v>
      </c>
      <c r="AK591" s="28">
        <f t="shared" si="83"/>
        <v>0.12578621074792731</v>
      </c>
      <c r="AY591" s="28">
        <f t="shared" ref="AY591:AY654" si="87">AY590+0.001</f>
        <v>0.5790000000000004</v>
      </c>
      <c r="AZ591">
        <v>0.78362376781517995</v>
      </c>
      <c r="BA591" s="28">
        <f t="shared" si="84"/>
        <v>0.78362376781517995</v>
      </c>
    </row>
    <row r="592" spans="19:53" x14ac:dyDescent="0.25">
      <c r="S592" s="28">
        <f t="shared" si="85"/>
        <v>0.5800000000000004</v>
      </c>
      <c r="T592">
        <v>0.55494857631153294</v>
      </c>
      <c r="U592" s="28">
        <f t="shared" si="82"/>
        <v>0.52749336806609737</v>
      </c>
      <c r="AI592" s="28">
        <f t="shared" si="86"/>
        <v>0.5800000000000004</v>
      </c>
      <c r="AJ592">
        <v>0.26123844111453598</v>
      </c>
      <c r="AK592" s="28">
        <f t="shared" si="83"/>
        <v>0.14678259460541415</v>
      </c>
      <c r="AY592" s="28">
        <f t="shared" si="87"/>
        <v>0.5800000000000004</v>
      </c>
      <c r="AZ592">
        <v>0.87194433423871576</v>
      </c>
      <c r="BA592" s="28">
        <f t="shared" si="84"/>
        <v>0.87194433423871576</v>
      </c>
    </row>
    <row r="593" spans="19:53" x14ac:dyDescent="0.25">
      <c r="S593" s="28">
        <f t="shared" si="85"/>
        <v>0.58100000000000041</v>
      </c>
      <c r="T593">
        <v>0.78273873104037595</v>
      </c>
      <c r="U593" s="28">
        <f t="shared" si="82"/>
        <v>0.65187538361851582</v>
      </c>
      <c r="AI593" s="28">
        <f t="shared" si="86"/>
        <v>0.58100000000000041</v>
      </c>
      <c r="AJ593">
        <v>0.21613208410901211</v>
      </c>
      <c r="AK593" s="28">
        <f t="shared" si="83"/>
        <v>0.13447068340049623</v>
      </c>
      <c r="AY593" s="28">
        <f t="shared" si="87"/>
        <v>0.58100000000000041</v>
      </c>
      <c r="AZ593">
        <v>0.93652150028992587</v>
      </c>
      <c r="BA593" s="28">
        <f t="shared" si="84"/>
        <v>0.93652150028992587</v>
      </c>
    </row>
    <row r="594" spans="19:53" x14ac:dyDescent="0.25">
      <c r="S594" s="28">
        <f t="shared" si="85"/>
        <v>0.58200000000000041</v>
      </c>
      <c r="T594">
        <v>0.85985900448622088</v>
      </c>
      <c r="U594" s="28">
        <f t="shared" si="82"/>
        <v>0.70531859856466195</v>
      </c>
      <c r="AI594" s="28">
        <f t="shared" si="86"/>
        <v>0.58200000000000041</v>
      </c>
      <c r="AJ594">
        <v>0.28119754631183813</v>
      </c>
      <c r="AK594" s="28">
        <f t="shared" si="83"/>
        <v>0.15205578067744646</v>
      </c>
      <c r="AY594" s="28">
        <f t="shared" si="87"/>
        <v>0.58200000000000041</v>
      </c>
      <c r="AZ594">
        <v>0.17160557878353222</v>
      </c>
      <c r="BA594" s="28">
        <f t="shared" si="84"/>
        <v>0.17160557878353222</v>
      </c>
    </row>
    <row r="595" spans="19:53" x14ac:dyDescent="0.25">
      <c r="S595" s="28">
        <f t="shared" si="85"/>
        <v>0.58300000000000041</v>
      </c>
      <c r="T595">
        <v>0.44413586840418712</v>
      </c>
      <c r="U595" s="28">
        <f t="shared" si="82"/>
        <v>0.4720462604205245</v>
      </c>
      <c r="AI595" s="28">
        <f t="shared" si="86"/>
        <v>0.58300000000000041</v>
      </c>
      <c r="AJ595">
        <v>0.38013855403302105</v>
      </c>
      <c r="AK595" s="28">
        <f t="shared" si="83"/>
        <v>0.17739833307502589</v>
      </c>
      <c r="AY595" s="28">
        <f t="shared" si="87"/>
        <v>0.58300000000000041</v>
      </c>
      <c r="AZ595">
        <v>0.42738120670186469</v>
      </c>
      <c r="BA595" s="28">
        <f t="shared" si="84"/>
        <v>0.42738120670186469</v>
      </c>
    </row>
    <row r="596" spans="19:53" x14ac:dyDescent="0.25">
      <c r="S596" s="28">
        <f t="shared" si="85"/>
        <v>0.58400000000000041</v>
      </c>
      <c r="T596">
        <v>0.45289468062379834</v>
      </c>
      <c r="U596" s="28">
        <f t="shared" si="82"/>
        <v>0.47644609767952772</v>
      </c>
      <c r="AI596" s="28">
        <f t="shared" si="86"/>
        <v>0.58400000000000041</v>
      </c>
      <c r="AJ596">
        <v>0.45036164433729059</v>
      </c>
      <c r="AK596" s="28">
        <f t="shared" si="83"/>
        <v>0.19523808695409015</v>
      </c>
      <c r="AY596" s="28">
        <f t="shared" si="87"/>
        <v>0.58400000000000041</v>
      </c>
      <c r="AZ596">
        <v>0.53428754539628287</v>
      </c>
      <c r="BA596" s="28">
        <f t="shared" si="84"/>
        <v>0.53428754539628287</v>
      </c>
    </row>
    <row r="597" spans="19:53" x14ac:dyDescent="0.25">
      <c r="S597" s="28">
        <f t="shared" si="85"/>
        <v>0.58500000000000041</v>
      </c>
      <c r="T597">
        <v>1.6357921079134495E-2</v>
      </c>
      <c r="U597" s="28">
        <f t="shared" si="82"/>
        <v>0.14179397833354282</v>
      </c>
      <c r="AI597" s="28">
        <f t="shared" si="86"/>
        <v>0.58500000000000041</v>
      </c>
      <c r="AJ597">
        <v>0.89019440290536211</v>
      </c>
      <c r="AK597" s="28">
        <f t="shared" si="83"/>
        <v>0.35338982841218325</v>
      </c>
      <c r="AY597" s="28">
        <f t="shared" si="87"/>
        <v>0.58500000000000041</v>
      </c>
      <c r="AZ597">
        <v>0.81902523880733669</v>
      </c>
      <c r="BA597" s="28">
        <f t="shared" si="84"/>
        <v>0.81902523880733669</v>
      </c>
    </row>
    <row r="598" spans="19:53" x14ac:dyDescent="0.25">
      <c r="S598" s="28">
        <f t="shared" si="85"/>
        <v>0.58600000000000041</v>
      </c>
      <c r="T598">
        <v>0.43302713095492418</v>
      </c>
      <c r="U598" s="28">
        <f t="shared" si="82"/>
        <v>0.46645077565478837</v>
      </c>
      <c r="AI598" s="28">
        <f t="shared" si="86"/>
        <v>0.58600000000000041</v>
      </c>
      <c r="AJ598">
        <v>0.86504715109714037</v>
      </c>
      <c r="AK598" s="28">
        <f t="shared" si="83"/>
        <v>0.33744445581074822</v>
      </c>
      <c r="AY598" s="28">
        <f t="shared" si="87"/>
        <v>0.58600000000000041</v>
      </c>
      <c r="AZ598">
        <v>0.96444593646046328</v>
      </c>
      <c r="BA598" s="28">
        <f t="shared" si="84"/>
        <v>0.96444593646046328</v>
      </c>
    </row>
    <row r="599" spans="19:53" x14ac:dyDescent="0.25">
      <c r="S599" s="28">
        <f t="shared" si="85"/>
        <v>0.58700000000000041</v>
      </c>
      <c r="T599">
        <v>0.73247474593340867</v>
      </c>
      <c r="U599" s="28">
        <f t="shared" si="82"/>
        <v>0.62163818395609183</v>
      </c>
      <c r="AI599" s="28">
        <f t="shared" si="86"/>
        <v>0.58700000000000041</v>
      </c>
      <c r="AJ599">
        <v>0.82067323831904049</v>
      </c>
      <c r="AK599" s="28">
        <f t="shared" si="83"/>
        <v>0.31407199717124801</v>
      </c>
      <c r="AY599" s="28">
        <f t="shared" si="87"/>
        <v>0.58700000000000041</v>
      </c>
      <c r="AZ599">
        <v>0.58171330912198249</v>
      </c>
      <c r="BA599" s="28">
        <f t="shared" si="84"/>
        <v>0.58171330912198249</v>
      </c>
    </row>
    <row r="600" spans="19:53" x14ac:dyDescent="0.25">
      <c r="S600" s="28">
        <f t="shared" si="85"/>
        <v>0.58800000000000041</v>
      </c>
      <c r="T600">
        <v>7.4282052064577164E-2</v>
      </c>
      <c r="U600" s="28">
        <f t="shared" si="82"/>
        <v>0.23481647188589405</v>
      </c>
      <c r="AI600" s="28">
        <f t="shared" si="86"/>
        <v>0.58800000000000041</v>
      </c>
      <c r="AJ600">
        <v>0.52360606707968382</v>
      </c>
      <c r="AK600" s="28">
        <f t="shared" si="83"/>
        <v>0.21434239518337872</v>
      </c>
      <c r="AY600" s="28">
        <f t="shared" si="87"/>
        <v>0.58800000000000041</v>
      </c>
      <c r="AZ600">
        <v>0.91253395184179209</v>
      </c>
      <c r="BA600" s="28">
        <f t="shared" si="84"/>
        <v>0.91253395184179209</v>
      </c>
    </row>
    <row r="601" spans="19:53" x14ac:dyDescent="0.25">
      <c r="S601" s="28">
        <f t="shared" si="85"/>
        <v>0.58900000000000041</v>
      </c>
      <c r="T601">
        <v>0.16370128482924895</v>
      </c>
      <c r="U601" s="28">
        <f t="shared" si="82"/>
        <v>0.31225470269772682</v>
      </c>
      <c r="AI601" s="28">
        <f t="shared" si="86"/>
        <v>0.58900000000000041</v>
      </c>
      <c r="AJ601">
        <v>0.57377849665822322</v>
      </c>
      <c r="AK601" s="28">
        <f t="shared" si="83"/>
        <v>0.22802105835923858</v>
      </c>
      <c r="AY601" s="28">
        <f t="shared" si="87"/>
        <v>0.58900000000000041</v>
      </c>
      <c r="AZ601">
        <v>0.84231086153752255</v>
      </c>
      <c r="BA601" s="28">
        <f t="shared" si="84"/>
        <v>0.84231086153752255</v>
      </c>
    </row>
    <row r="602" spans="19:53" x14ac:dyDescent="0.25">
      <c r="S602" s="28">
        <f t="shared" si="85"/>
        <v>0.59000000000000041</v>
      </c>
      <c r="T602">
        <v>0.54429761650440989</v>
      </c>
      <c r="U602" s="28">
        <f t="shared" si="82"/>
        <v>0.5221454294604897</v>
      </c>
      <c r="AI602" s="28">
        <f t="shared" si="86"/>
        <v>0.59000000000000041</v>
      </c>
      <c r="AJ602">
        <v>0.84038819544053467</v>
      </c>
      <c r="AK602" s="28">
        <f t="shared" si="83"/>
        <v>0.32385936291697548</v>
      </c>
      <c r="AY602" s="28">
        <f t="shared" si="87"/>
        <v>0.59000000000000041</v>
      </c>
      <c r="AZ602">
        <v>0.37559129612109743</v>
      </c>
      <c r="BA602" s="28">
        <f t="shared" si="84"/>
        <v>0.37559129612109743</v>
      </c>
    </row>
    <row r="603" spans="19:53" x14ac:dyDescent="0.25">
      <c r="S603" s="28">
        <f t="shared" si="85"/>
        <v>0.59100000000000041</v>
      </c>
      <c r="T603">
        <v>0.97503585924863434</v>
      </c>
      <c r="U603" s="28">
        <f t="shared" si="82"/>
        <v>0.83733136621697668</v>
      </c>
      <c r="AI603" s="28">
        <f t="shared" si="86"/>
        <v>0.59100000000000041</v>
      </c>
      <c r="AJ603">
        <v>0.60719626453444009</v>
      </c>
      <c r="AK603" s="28">
        <f t="shared" si="83"/>
        <v>0.23752716872967361</v>
      </c>
      <c r="AY603" s="28">
        <f t="shared" si="87"/>
        <v>0.59100000000000041</v>
      </c>
      <c r="AZ603">
        <v>3.970458082827235E-2</v>
      </c>
      <c r="BA603" s="28">
        <f t="shared" si="84"/>
        <v>3.9704580828272343E-2</v>
      </c>
    </row>
    <row r="604" spans="19:53" x14ac:dyDescent="0.25">
      <c r="S604" s="28">
        <f t="shared" si="85"/>
        <v>0.59200000000000041</v>
      </c>
      <c r="T604">
        <v>0.90838343455305648</v>
      </c>
      <c r="U604" s="28">
        <f t="shared" si="82"/>
        <v>0.747250510449605</v>
      </c>
      <c r="AI604" s="28">
        <f t="shared" si="86"/>
        <v>0.59200000000000041</v>
      </c>
      <c r="AJ604">
        <v>0.65315713980529189</v>
      </c>
      <c r="AK604" s="28">
        <f t="shared" si="83"/>
        <v>0.25129245172631465</v>
      </c>
      <c r="AY604" s="28">
        <f t="shared" si="87"/>
        <v>0.59200000000000041</v>
      </c>
      <c r="AZ604">
        <v>5.9358500930814538E-2</v>
      </c>
      <c r="BA604" s="28">
        <f t="shared" si="84"/>
        <v>5.9358500930814538E-2</v>
      </c>
    </row>
    <row r="605" spans="19:53" x14ac:dyDescent="0.25">
      <c r="S605" s="28">
        <f t="shared" si="85"/>
        <v>0.59300000000000042</v>
      </c>
      <c r="T605">
        <v>0.10327463606677451</v>
      </c>
      <c r="U605" s="28">
        <f t="shared" si="82"/>
        <v>0.26375321825802533</v>
      </c>
      <c r="AI605" s="28">
        <f t="shared" si="86"/>
        <v>0.59300000000000042</v>
      </c>
      <c r="AJ605">
        <v>0.83703115939817496</v>
      </c>
      <c r="AK605" s="28">
        <f t="shared" si="83"/>
        <v>0.32213280718559067</v>
      </c>
      <c r="AY605" s="28">
        <f t="shared" si="87"/>
        <v>0.59300000000000042</v>
      </c>
      <c r="AZ605">
        <v>5.1850947599719227E-2</v>
      </c>
      <c r="BA605" s="28">
        <f t="shared" si="84"/>
        <v>5.185094759971922E-2</v>
      </c>
    </row>
    <row r="606" spans="19:53" x14ac:dyDescent="0.25">
      <c r="S606" s="28">
        <f t="shared" si="85"/>
        <v>0.59400000000000042</v>
      </c>
      <c r="T606">
        <v>1.9562364574114199E-2</v>
      </c>
      <c r="U606" s="28">
        <f t="shared" si="82"/>
        <v>0.15024012781977372</v>
      </c>
      <c r="AI606" s="28">
        <f t="shared" si="86"/>
        <v>0.59400000000000042</v>
      </c>
      <c r="AJ606">
        <v>0.73769341105380415</v>
      </c>
      <c r="AK606" s="28">
        <f t="shared" si="83"/>
        <v>0.27965584199799176</v>
      </c>
      <c r="AY606" s="28">
        <f t="shared" si="87"/>
        <v>0.59400000000000042</v>
      </c>
      <c r="AZ606">
        <v>0.15790276802880948</v>
      </c>
      <c r="BA606" s="28">
        <f t="shared" si="84"/>
        <v>0.15790276802880948</v>
      </c>
    </row>
    <row r="607" spans="19:53" x14ac:dyDescent="0.25">
      <c r="S607" s="28">
        <f t="shared" si="85"/>
        <v>0.59500000000000042</v>
      </c>
      <c r="T607">
        <v>0.80999176000244144</v>
      </c>
      <c r="U607" s="28">
        <f t="shared" si="82"/>
        <v>0.66953671659776748</v>
      </c>
      <c r="AI607" s="28">
        <f t="shared" si="86"/>
        <v>0.59500000000000042</v>
      </c>
      <c r="AJ607">
        <v>0.92641987365337075</v>
      </c>
      <c r="AK607" s="28">
        <f t="shared" si="83"/>
        <v>0.38233303778973771</v>
      </c>
      <c r="AY607" s="28">
        <f t="shared" si="87"/>
        <v>0.59500000000000042</v>
      </c>
      <c r="AZ607">
        <v>0.3758049256874294</v>
      </c>
      <c r="BA607" s="28">
        <f t="shared" si="84"/>
        <v>0.3758049256874294</v>
      </c>
    </row>
    <row r="608" spans="19:53" x14ac:dyDescent="0.25">
      <c r="S608" s="28">
        <f t="shared" si="85"/>
        <v>0.59600000000000042</v>
      </c>
      <c r="T608">
        <v>0.19339579454939421</v>
      </c>
      <c r="U608" s="28">
        <f t="shared" si="82"/>
        <v>0.33271872897518229</v>
      </c>
      <c r="AI608" s="28">
        <f t="shared" si="86"/>
        <v>0.59600000000000042</v>
      </c>
      <c r="AJ608">
        <v>0.44541764580217902</v>
      </c>
      <c r="AK608" s="28">
        <f t="shared" si="83"/>
        <v>0.19397281102606093</v>
      </c>
      <c r="AY608" s="28">
        <f t="shared" si="87"/>
        <v>0.59600000000000042</v>
      </c>
      <c r="AZ608">
        <v>0.2542497024445326</v>
      </c>
      <c r="BA608" s="28">
        <f t="shared" si="84"/>
        <v>0.2542497024445326</v>
      </c>
    </row>
    <row r="609" spans="19:53" x14ac:dyDescent="0.25">
      <c r="S609" s="28">
        <f t="shared" si="85"/>
        <v>0.59700000000000042</v>
      </c>
      <c r="T609">
        <v>0.16159550767540512</v>
      </c>
      <c r="U609" s="28">
        <f t="shared" si="82"/>
        <v>0.31073786920577801</v>
      </c>
      <c r="AI609" s="28">
        <f t="shared" si="86"/>
        <v>0.59700000000000042</v>
      </c>
      <c r="AJ609">
        <v>0.86101870784630874</v>
      </c>
      <c r="AK609" s="28">
        <f t="shared" si="83"/>
        <v>0.33510493394480267</v>
      </c>
      <c r="AY609" s="28">
        <f t="shared" si="87"/>
        <v>0.59700000000000042</v>
      </c>
      <c r="AZ609">
        <v>0.10208441419721061</v>
      </c>
      <c r="BA609" s="28">
        <f t="shared" si="84"/>
        <v>0.10208441419721061</v>
      </c>
    </row>
    <row r="610" spans="19:53" x14ac:dyDescent="0.25">
      <c r="S610" s="28">
        <f t="shared" si="85"/>
        <v>0.59800000000000042</v>
      </c>
      <c r="T610">
        <v>0.25464644306772055</v>
      </c>
      <c r="U610" s="28">
        <f t="shared" si="82"/>
        <v>0.37085225404282474</v>
      </c>
      <c r="AI610" s="28">
        <f t="shared" si="86"/>
        <v>0.59800000000000042</v>
      </c>
      <c r="AJ610">
        <v>0.51222266304513686</v>
      </c>
      <c r="AK610" s="28">
        <f t="shared" si="83"/>
        <v>0.21131750155200435</v>
      </c>
      <c r="AY610" s="28">
        <f t="shared" si="87"/>
        <v>0.59800000000000042</v>
      </c>
      <c r="AZ610">
        <v>0.37015900143436997</v>
      </c>
      <c r="BA610" s="28">
        <f t="shared" si="84"/>
        <v>0.37015900143436997</v>
      </c>
    </row>
    <row r="611" spans="19:53" x14ac:dyDescent="0.25">
      <c r="S611" s="28">
        <f t="shared" si="85"/>
        <v>0.59900000000000042</v>
      </c>
      <c r="T611">
        <v>0.42347483748893705</v>
      </c>
      <c r="U611" s="28">
        <f t="shared" si="82"/>
        <v>0.46162319543238756</v>
      </c>
      <c r="AI611" s="28">
        <f t="shared" si="86"/>
        <v>0.59900000000000042</v>
      </c>
      <c r="AJ611">
        <v>0.91683706167790768</v>
      </c>
      <c r="AK611" s="28">
        <f t="shared" si="83"/>
        <v>0.37373908362053732</v>
      </c>
      <c r="AY611" s="28">
        <f t="shared" si="87"/>
        <v>0.59900000000000042</v>
      </c>
      <c r="AZ611">
        <v>0.84743797112949004</v>
      </c>
      <c r="BA611" s="28">
        <f t="shared" si="84"/>
        <v>0.84743797112949004</v>
      </c>
    </row>
    <row r="612" spans="19:53" x14ac:dyDescent="0.25">
      <c r="S612" s="28">
        <f t="shared" si="85"/>
        <v>0.60000000000000042</v>
      </c>
      <c r="T612">
        <v>0.75045014801477095</v>
      </c>
      <c r="U612" s="28">
        <f t="shared" si="82"/>
        <v>0.63216072814226831</v>
      </c>
      <c r="AI612" s="28">
        <f t="shared" si="86"/>
        <v>0.60000000000000042</v>
      </c>
      <c r="AJ612">
        <v>0.97164830469679864</v>
      </c>
      <c r="AK612" s="28">
        <f t="shared" si="83"/>
        <v>0.44298063027986223</v>
      </c>
      <c r="AY612" s="28">
        <f t="shared" si="87"/>
        <v>0.60000000000000042</v>
      </c>
      <c r="AZ612">
        <v>0.92239143040253913</v>
      </c>
      <c r="BA612" s="28">
        <f t="shared" si="84"/>
        <v>0.92239143040253913</v>
      </c>
    </row>
    <row r="613" spans="19:53" x14ac:dyDescent="0.25">
      <c r="S613" s="28">
        <f t="shared" si="85"/>
        <v>0.60100000000000042</v>
      </c>
      <c r="T613">
        <v>0.23743400372325815</v>
      </c>
      <c r="U613" s="28">
        <f t="shared" si="82"/>
        <v>0.36057471230144955</v>
      </c>
      <c r="AI613" s="28">
        <f t="shared" si="86"/>
        <v>0.60100000000000042</v>
      </c>
      <c r="AJ613">
        <v>0.47160252693258459</v>
      </c>
      <c r="AK613" s="28">
        <f t="shared" si="83"/>
        <v>0.20070202127443801</v>
      </c>
      <c r="AY613" s="28">
        <f t="shared" si="87"/>
        <v>0.60100000000000042</v>
      </c>
      <c r="AZ613">
        <v>0.62404248176519062</v>
      </c>
      <c r="BA613" s="28">
        <f t="shared" si="84"/>
        <v>0.62404248176519062</v>
      </c>
    </row>
    <row r="614" spans="19:53" x14ac:dyDescent="0.25">
      <c r="S614" s="28">
        <f t="shared" si="85"/>
        <v>0.60200000000000042</v>
      </c>
      <c r="T614">
        <v>0.96783349101229899</v>
      </c>
      <c r="U614" s="28">
        <f t="shared" si="82"/>
        <v>0.82316932898857997</v>
      </c>
      <c r="AI614" s="28">
        <f t="shared" si="86"/>
        <v>0.60200000000000042</v>
      </c>
      <c r="AJ614">
        <v>6.7720572527237774E-2</v>
      </c>
      <c r="AK614" s="28">
        <f t="shared" si="83"/>
        <v>8.385893464890129E-2</v>
      </c>
      <c r="AY614" s="28">
        <f t="shared" si="87"/>
        <v>0.60200000000000042</v>
      </c>
      <c r="AZ614">
        <v>0.89898373363444928</v>
      </c>
      <c r="BA614" s="28">
        <f t="shared" si="84"/>
        <v>0.89898373363444928</v>
      </c>
    </row>
    <row r="615" spans="19:53" x14ac:dyDescent="0.25">
      <c r="S615" s="28">
        <f t="shared" si="85"/>
        <v>0.60300000000000042</v>
      </c>
      <c r="T615">
        <v>0.91686758018738368</v>
      </c>
      <c r="U615" s="28">
        <f t="shared" si="82"/>
        <v>0.75576100591953543</v>
      </c>
      <c r="AI615" s="28">
        <f t="shared" si="86"/>
        <v>0.60300000000000042</v>
      </c>
      <c r="AJ615">
        <v>0.22312082277901546</v>
      </c>
      <c r="AK615" s="28">
        <f t="shared" si="83"/>
        <v>0.1364225921166469</v>
      </c>
      <c r="AY615" s="28">
        <f t="shared" si="87"/>
        <v>0.60300000000000042</v>
      </c>
      <c r="AZ615">
        <v>0.95547349467452014</v>
      </c>
      <c r="BA615" s="28">
        <f t="shared" si="84"/>
        <v>0.95547349467452014</v>
      </c>
    </row>
    <row r="616" spans="19:53" x14ac:dyDescent="0.25">
      <c r="S616" s="28">
        <f t="shared" si="85"/>
        <v>0.60400000000000043</v>
      </c>
      <c r="T616">
        <v>6.2562944425794244E-3</v>
      </c>
      <c r="U616" s="28">
        <f t="shared" si="82"/>
        <v>0.10445950405760594</v>
      </c>
      <c r="AI616" s="28">
        <f t="shared" si="86"/>
        <v>0.60400000000000043</v>
      </c>
      <c r="AJ616">
        <v>0.72985015411847287</v>
      </c>
      <c r="AK616" s="28">
        <f t="shared" si="83"/>
        <v>0.27680570445637132</v>
      </c>
      <c r="AY616" s="28">
        <f t="shared" si="87"/>
        <v>0.60400000000000043</v>
      </c>
      <c r="AZ616">
        <v>0.57927182836390267</v>
      </c>
      <c r="BA616" s="28">
        <f t="shared" si="84"/>
        <v>0.57927182836390267</v>
      </c>
    </row>
    <row r="617" spans="19:53" x14ac:dyDescent="0.25">
      <c r="S617" s="28">
        <f t="shared" si="85"/>
        <v>0.60500000000000043</v>
      </c>
      <c r="T617">
        <v>0.3575243385113071</v>
      </c>
      <c r="U617" s="28">
        <f t="shared" si="82"/>
        <v>0.42768868091488854</v>
      </c>
      <c r="AI617" s="28">
        <f t="shared" si="86"/>
        <v>0.60500000000000043</v>
      </c>
      <c r="AJ617">
        <v>0.37836848048341321</v>
      </c>
      <c r="AK617" s="28">
        <f t="shared" si="83"/>
        <v>0.17695029617132493</v>
      </c>
      <c r="AY617" s="28">
        <f t="shared" si="87"/>
        <v>0.60500000000000043</v>
      </c>
      <c r="AZ617">
        <v>0.51710562456129638</v>
      </c>
      <c r="BA617" s="28">
        <f t="shared" si="84"/>
        <v>0.51710562456129638</v>
      </c>
    </row>
    <row r="618" spans="19:53" x14ac:dyDescent="0.25">
      <c r="S618" s="28">
        <f t="shared" si="85"/>
        <v>0.60600000000000043</v>
      </c>
      <c r="T618">
        <v>0.65758232367931146</v>
      </c>
      <c r="U618" s="28">
        <f t="shared" si="82"/>
        <v>0.58028937971930539</v>
      </c>
      <c r="AI618" s="28">
        <f t="shared" si="86"/>
        <v>0.60600000000000043</v>
      </c>
      <c r="AJ618">
        <v>0.16473891415143285</v>
      </c>
      <c r="AK618" s="28">
        <f t="shared" si="83"/>
        <v>0.11940110214524338</v>
      </c>
      <c r="AY618" s="28">
        <f t="shared" si="87"/>
        <v>0.60600000000000043</v>
      </c>
      <c r="AZ618">
        <v>0.20880764183477279</v>
      </c>
      <c r="BA618" s="28">
        <f t="shared" si="84"/>
        <v>0.20880764183477277</v>
      </c>
    </row>
    <row r="619" spans="19:53" x14ac:dyDescent="0.25">
      <c r="S619" s="28">
        <f t="shared" si="85"/>
        <v>0.60700000000000043</v>
      </c>
      <c r="T619">
        <v>0.55888546403393657</v>
      </c>
      <c r="U619" s="28">
        <f t="shared" si="82"/>
        <v>0.52947378345568086</v>
      </c>
      <c r="AI619" s="28">
        <f t="shared" si="86"/>
        <v>0.60700000000000043</v>
      </c>
      <c r="AJ619">
        <v>0.39628284554582355</v>
      </c>
      <c r="AK619" s="28">
        <f t="shared" si="83"/>
        <v>0.18148470162724309</v>
      </c>
      <c r="AY619" s="28">
        <f t="shared" si="87"/>
        <v>0.60700000000000043</v>
      </c>
      <c r="AZ619">
        <v>0.31873531296731467</v>
      </c>
      <c r="BA619" s="28">
        <f t="shared" si="84"/>
        <v>0.31873531296731467</v>
      </c>
    </row>
    <row r="620" spans="19:53" x14ac:dyDescent="0.25">
      <c r="S620" s="28">
        <f t="shared" si="85"/>
        <v>0.60800000000000043</v>
      </c>
      <c r="T620">
        <v>0.36231574449903869</v>
      </c>
      <c r="U620" s="28">
        <f t="shared" si="82"/>
        <v>0.43019992693940601</v>
      </c>
      <c r="AI620" s="28">
        <f t="shared" si="86"/>
        <v>0.60800000000000043</v>
      </c>
      <c r="AJ620">
        <v>6.9734794152653587E-2</v>
      </c>
      <c r="AK620" s="28">
        <f t="shared" si="83"/>
        <v>8.4788220666203173E-2</v>
      </c>
      <c r="AY620" s="28">
        <f t="shared" si="87"/>
        <v>0.60800000000000043</v>
      </c>
      <c r="AZ620">
        <v>0.83172093874935149</v>
      </c>
      <c r="BA620" s="28">
        <f t="shared" si="84"/>
        <v>0.83172093874935149</v>
      </c>
    </row>
    <row r="621" spans="19:53" x14ac:dyDescent="0.25">
      <c r="S621" s="28">
        <f t="shared" si="85"/>
        <v>0.60900000000000043</v>
      </c>
      <c r="T621">
        <v>0.19519638660847805</v>
      </c>
      <c r="U621" s="28">
        <f t="shared" si="82"/>
        <v>0.33391012596822017</v>
      </c>
      <c r="AI621" s="28">
        <f t="shared" si="86"/>
        <v>0.60900000000000043</v>
      </c>
      <c r="AJ621">
        <v>2.4689474166081728E-2</v>
      </c>
      <c r="AK621" s="28">
        <f t="shared" si="83"/>
        <v>5.8354605207638612E-2</v>
      </c>
      <c r="AY621" s="28">
        <f t="shared" si="87"/>
        <v>0.60900000000000043</v>
      </c>
      <c r="AZ621">
        <v>7.0650349436933504E-2</v>
      </c>
      <c r="BA621" s="28">
        <f t="shared" si="84"/>
        <v>7.0650349436933504E-2</v>
      </c>
    </row>
    <row r="622" spans="19:53" x14ac:dyDescent="0.25">
      <c r="S622" s="28">
        <f t="shared" si="85"/>
        <v>0.61000000000000043</v>
      </c>
      <c r="T622">
        <v>0.17154454176458023</v>
      </c>
      <c r="U622" s="28">
        <f t="shared" si="82"/>
        <v>0.31782193040931567</v>
      </c>
      <c r="AI622" s="28">
        <f t="shared" si="86"/>
        <v>0.61000000000000043</v>
      </c>
      <c r="AJ622">
        <v>0.49494918668172244</v>
      </c>
      <c r="AK622" s="28">
        <f t="shared" si="83"/>
        <v>0.20677220855633602</v>
      </c>
      <c r="AY622" s="28">
        <f t="shared" si="87"/>
        <v>0.61000000000000043</v>
      </c>
      <c r="AZ622">
        <v>0.60185552537614062</v>
      </c>
      <c r="BA622" s="28">
        <f t="shared" si="84"/>
        <v>0.60185552537614062</v>
      </c>
    </row>
    <row r="623" spans="19:53" x14ac:dyDescent="0.25">
      <c r="S623" s="28">
        <f t="shared" si="85"/>
        <v>0.61100000000000043</v>
      </c>
      <c r="T623">
        <v>0.70366527298806725</v>
      </c>
      <c r="U623" s="28">
        <f t="shared" si="82"/>
        <v>0.60531551412999018</v>
      </c>
      <c r="AI623" s="28">
        <f t="shared" si="86"/>
        <v>0.61100000000000043</v>
      </c>
      <c r="AJ623">
        <v>0.79531235694448688</v>
      </c>
      <c r="AK623" s="28">
        <f t="shared" si="83"/>
        <v>0.30255879454466683</v>
      </c>
      <c r="AY623" s="28">
        <f t="shared" si="87"/>
        <v>0.61100000000000043</v>
      </c>
      <c r="AZ623">
        <v>1.947080904568621E-2</v>
      </c>
      <c r="BA623" s="28">
        <f t="shared" si="84"/>
        <v>1.9470809045686214E-2</v>
      </c>
    </row>
    <row r="624" spans="19:53" x14ac:dyDescent="0.25">
      <c r="S624" s="28">
        <f t="shared" si="85"/>
        <v>0.61200000000000043</v>
      </c>
      <c r="T624">
        <v>0.56514175847651604</v>
      </c>
      <c r="U624" s="28">
        <f t="shared" si="82"/>
        <v>0.53262559131687515</v>
      </c>
      <c r="AI624" s="28">
        <f t="shared" si="86"/>
        <v>0.61200000000000043</v>
      </c>
      <c r="AJ624">
        <v>0.1119418927579577</v>
      </c>
      <c r="AK624" s="28">
        <f t="shared" si="83"/>
        <v>0.10184276453555408</v>
      </c>
      <c r="AY624" s="28">
        <f t="shared" si="87"/>
        <v>0.61200000000000043</v>
      </c>
      <c r="AZ624">
        <v>0.9668568987090671</v>
      </c>
      <c r="BA624" s="28">
        <f t="shared" si="84"/>
        <v>0.9668568987090671</v>
      </c>
    </row>
    <row r="625" spans="19:53" x14ac:dyDescent="0.25">
      <c r="S625" s="28">
        <f t="shared" si="85"/>
        <v>0.61300000000000043</v>
      </c>
      <c r="T625">
        <v>0.5832697531052583</v>
      </c>
      <c r="U625" s="28">
        <f t="shared" si="82"/>
        <v>0.54179568842196546</v>
      </c>
      <c r="AI625" s="28">
        <f t="shared" si="86"/>
        <v>0.61300000000000043</v>
      </c>
      <c r="AJ625">
        <v>0.95574816125980411</v>
      </c>
      <c r="AK625" s="28">
        <f t="shared" si="83"/>
        <v>0.4159357636047365</v>
      </c>
      <c r="AY625" s="28">
        <f t="shared" si="87"/>
        <v>0.61300000000000043</v>
      </c>
      <c r="AZ625">
        <v>0.32218390453810236</v>
      </c>
      <c r="BA625" s="28">
        <f t="shared" si="84"/>
        <v>0.32218390453810236</v>
      </c>
    </row>
    <row r="626" spans="19:53" x14ac:dyDescent="0.25">
      <c r="S626" s="28">
        <f t="shared" si="85"/>
        <v>0.61400000000000043</v>
      </c>
      <c r="T626">
        <v>0.29297769096957305</v>
      </c>
      <c r="U626" s="28">
        <f t="shared" si="82"/>
        <v>0.39281295770667179</v>
      </c>
      <c r="AI626" s="28">
        <f t="shared" si="86"/>
        <v>0.61400000000000043</v>
      </c>
      <c r="AJ626">
        <v>0.20276497695852536</v>
      </c>
      <c r="AK626" s="28">
        <f t="shared" si="83"/>
        <v>0.13068151103164835</v>
      </c>
      <c r="AY626" s="28">
        <f t="shared" si="87"/>
        <v>0.61400000000000043</v>
      </c>
      <c r="AZ626">
        <v>0.76894436475722527</v>
      </c>
      <c r="BA626" s="28">
        <f t="shared" si="84"/>
        <v>0.76894436475722527</v>
      </c>
    </row>
    <row r="627" spans="19:53" x14ac:dyDescent="0.25">
      <c r="S627" s="28">
        <f t="shared" si="85"/>
        <v>0.61500000000000044</v>
      </c>
      <c r="T627">
        <v>0.65614795373393964</v>
      </c>
      <c r="U627" s="28">
        <f t="shared" si="82"/>
        <v>0.57952770351119431</v>
      </c>
      <c r="AI627" s="28">
        <f t="shared" si="86"/>
        <v>0.61500000000000044</v>
      </c>
      <c r="AJ627">
        <v>0.14761803033539841</v>
      </c>
      <c r="AK627" s="28">
        <f t="shared" si="83"/>
        <v>0.11400668699671469</v>
      </c>
      <c r="AY627" s="28">
        <f t="shared" si="87"/>
        <v>0.61500000000000044</v>
      </c>
      <c r="AZ627">
        <v>7.5472273934141063E-2</v>
      </c>
      <c r="BA627" s="28">
        <f t="shared" si="84"/>
        <v>7.5472273934141049E-2</v>
      </c>
    </row>
    <row r="628" spans="19:53" x14ac:dyDescent="0.25">
      <c r="S628" s="28">
        <f t="shared" si="85"/>
        <v>0.61600000000000044</v>
      </c>
      <c r="T628">
        <v>0.23563341166417431</v>
      </c>
      <c r="U628" s="28">
        <f t="shared" si="82"/>
        <v>0.35948216706197755</v>
      </c>
      <c r="AI628" s="28">
        <f t="shared" si="86"/>
        <v>0.61600000000000044</v>
      </c>
      <c r="AJ628">
        <v>0.69222083193456829</v>
      </c>
      <c r="AK628" s="28">
        <f t="shared" si="83"/>
        <v>0.26380988780591585</v>
      </c>
      <c r="AY628" s="28">
        <f t="shared" si="87"/>
        <v>0.61600000000000044</v>
      </c>
      <c r="AZ628">
        <v>0.16031373027741325</v>
      </c>
      <c r="BA628" s="28">
        <f t="shared" si="84"/>
        <v>0.16031373027741325</v>
      </c>
    </row>
    <row r="629" spans="19:53" x14ac:dyDescent="0.25">
      <c r="S629" s="28">
        <f t="shared" si="85"/>
        <v>0.61700000000000044</v>
      </c>
      <c r="T629">
        <v>0.55223242896816915</v>
      </c>
      <c r="U629" s="28">
        <f t="shared" si="82"/>
        <v>0.52612824985611417</v>
      </c>
      <c r="AI629" s="28">
        <f t="shared" si="86"/>
        <v>0.61700000000000044</v>
      </c>
      <c r="AJ629">
        <v>0.10992767113254188</v>
      </c>
      <c r="AK629" s="28">
        <f t="shared" si="83"/>
        <v>0.10110809941802246</v>
      </c>
      <c r="AY629" s="28">
        <f t="shared" si="87"/>
        <v>0.61700000000000044</v>
      </c>
      <c r="AZ629">
        <v>0.5578173162022767</v>
      </c>
      <c r="BA629" s="28">
        <f t="shared" si="84"/>
        <v>0.5578173162022767</v>
      </c>
    </row>
    <row r="630" spans="19:53" x14ac:dyDescent="0.25">
      <c r="S630" s="28">
        <f t="shared" si="85"/>
        <v>0.61800000000000044</v>
      </c>
      <c r="T630">
        <v>0.75127414777062285</v>
      </c>
      <c r="U630" s="28">
        <f t="shared" si="82"/>
        <v>0.63265016685654452</v>
      </c>
      <c r="AI630" s="28">
        <f t="shared" si="86"/>
        <v>0.61800000000000044</v>
      </c>
      <c r="AJ630">
        <v>0.63542588579973758</v>
      </c>
      <c r="AK630" s="28">
        <f t="shared" si="83"/>
        <v>0.24587375763211294</v>
      </c>
      <c r="AY630" s="28">
        <f t="shared" si="87"/>
        <v>0.61800000000000044</v>
      </c>
      <c r="AZ630">
        <v>0.91274758140812406</v>
      </c>
      <c r="BA630" s="28">
        <f t="shared" si="84"/>
        <v>0.91274758140812406</v>
      </c>
    </row>
    <row r="631" spans="19:53" x14ac:dyDescent="0.25">
      <c r="S631" s="28">
        <f t="shared" si="85"/>
        <v>0.61900000000000044</v>
      </c>
      <c r="T631">
        <v>0.26593829157383952</v>
      </c>
      <c r="U631" s="28">
        <f t="shared" si="82"/>
        <v>0.37744416589163948</v>
      </c>
      <c r="AI631" s="28">
        <f t="shared" si="86"/>
        <v>0.61900000000000044</v>
      </c>
      <c r="AJ631">
        <v>0.42365794854579303</v>
      </c>
      <c r="AK631" s="28">
        <f t="shared" si="83"/>
        <v>0.1884266848819221</v>
      </c>
      <c r="AY631" s="28">
        <f t="shared" si="87"/>
        <v>0.61900000000000044</v>
      </c>
      <c r="AZ631">
        <v>0.19562364574114199</v>
      </c>
      <c r="BA631" s="28">
        <f t="shared" si="84"/>
        <v>0.19562364574114199</v>
      </c>
    </row>
    <row r="632" spans="19:53" x14ac:dyDescent="0.25">
      <c r="S632" s="28">
        <f t="shared" si="85"/>
        <v>0.62000000000000044</v>
      </c>
      <c r="T632">
        <v>0.21228675191503646</v>
      </c>
      <c r="U632" s="28">
        <f t="shared" si="82"/>
        <v>0.34497856702118451</v>
      </c>
      <c r="AI632" s="28">
        <f t="shared" si="86"/>
        <v>0.62000000000000044</v>
      </c>
      <c r="AJ632">
        <v>0.36265144810327465</v>
      </c>
      <c r="AK632" s="28">
        <f t="shared" si="83"/>
        <v>0.17296969014979111</v>
      </c>
      <c r="AY632" s="28">
        <f t="shared" si="87"/>
        <v>0.62000000000000044</v>
      </c>
      <c r="AZ632">
        <v>0.83477278969695123</v>
      </c>
      <c r="BA632" s="28">
        <f t="shared" si="84"/>
        <v>0.83477278969695123</v>
      </c>
    </row>
    <row r="633" spans="19:53" x14ac:dyDescent="0.25">
      <c r="S633" s="28">
        <f t="shared" si="85"/>
        <v>0.62100000000000044</v>
      </c>
      <c r="T633">
        <v>0.92510757774590291</v>
      </c>
      <c r="U633" s="28">
        <f t="shared" si="82"/>
        <v>0.76451364574308855</v>
      </c>
      <c r="AI633" s="28">
        <f t="shared" si="86"/>
        <v>0.62100000000000044</v>
      </c>
      <c r="AJ633">
        <v>0.94076357310708947</v>
      </c>
      <c r="AK633" s="28">
        <f t="shared" si="83"/>
        <v>0.39705371752012464</v>
      </c>
      <c r="AY633" s="28">
        <f t="shared" si="87"/>
        <v>0.62100000000000044</v>
      </c>
      <c r="AZ633">
        <v>0.36173589281899471</v>
      </c>
      <c r="BA633" s="28">
        <f t="shared" si="84"/>
        <v>0.36173589281899471</v>
      </c>
    </row>
    <row r="634" spans="19:53" x14ac:dyDescent="0.25">
      <c r="S634" s="28">
        <f t="shared" si="85"/>
        <v>0.62200000000000044</v>
      </c>
      <c r="T634">
        <v>0.56221198156682028</v>
      </c>
      <c r="U634" s="28">
        <f t="shared" si="82"/>
        <v>0.53114888407720195</v>
      </c>
      <c r="AI634" s="28">
        <f t="shared" si="86"/>
        <v>0.62200000000000044</v>
      </c>
      <c r="AJ634">
        <v>0.60295419171727649</v>
      </c>
      <c r="AK634" s="28">
        <f t="shared" si="83"/>
        <v>0.23629956759150872</v>
      </c>
      <c r="AY634" s="28">
        <f t="shared" si="87"/>
        <v>0.62200000000000044</v>
      </c>
      <c r="AZ634">
        <v>0.22443311868648336</v>
      </c>
      <c r="BA634" s="28">
        <f t="shared" si="84"/>
        <v>0.22443311868648336</v>
      </c>
    </row>
    <row r="635" spans="19:53" x14ac:dyDescent="0.25">
      <c r="S635" s="28">
        <f t="shared" si="85"/>
        <v>0.62300000000000044</v>
      </c>
      <c r="T635">
        <v>0.53086947233497117</v>
      </c>
      <c r="U635" s="28">
        <f t="shared" si="82"/>
        <v>0.51541994929615242</v>
      </c>
      <c r="AI635" s="28">
        <f t="shared" si="86"/>
        <v>0.62300000000000044</v>
      </c>
      <c r="AJ635">
        <v>0.18216498306222725</v>
      </c>
      <c r="AK635" s="28">
        <f t="shared" si="83"/>
        <v>0.12467475896383014</v>
      </c>
      <c r="AY635" s="28">
        <f t="shared" si="87"/>
        <v>0.62300000000000044</v>
      </c>
      <c r="AZ635">
        <v>0.47483748893704031</v>
      </c>
      <c r="BA635" s="28">
        <f t="shared" si="84"/>
        <v>0.47483748893704031</v>
      </c>
    </row>
    <row r="636" spans="19:53" x14ac:dyDescent="0.25">
      <c r="S636" s="28">
        <f t="shared" si="85"/>
        <v>0.62400000000000044</v>
      </c>
      <c r="T636">
        <v>0.86523026215399634</v>
      </c>
      <c r="U636" s="28">
        <f t="shared" si="82"/>
        <v>0.70953118837682427</v>
      </c>
      <c r="AI636" s="28">
        <f t="shared" si="86"/>
        <v>0.62400000000000044</v>
      </c>
      <c r="AJ636">
        <v>0.98074282052064576</v>
      </c>
      <c r="AK636" s="28">
        <f t="shared" si="83"/>
        <v>0.46495462260344145</v>
      </c>
      <c r="AY636" s="28">
        <f t="shared" si="87"/>
        <v>0.62400000000000044</v>
      </c>
      <c r="AZ636">
        <v>0.19986571855830562</v>
      </c>
      <c r="BA636" s="28">
        <f t="shared" si="84"/>
        <v>0.19986571855830562</v>
      </c>
    </row>
    <row r="637" spans="19:53" x14ac:dyDescent="0.25">
      <c r="S637" s="28">
        <f t="shared" si="85"/>
        <v>0.62500000000000044</v>
      </c>
      <c r="T637">
        <v>9.1555528427991577E-5</v>
      </c>
      <c r="U637" s="28">
        <f t="shared" si="82"/>
        <v>2.8799220027676622E-2</v>
      </c>
      <c r="AI637" s="28">
        <f t="shared" si="86"/>
        <v>0.62500000000000044</v>
      </c>
      <c r="AJ637">
        <v>0.77471236304818869</v>
      </c>
      <c r="AK637" s="28">
        <f t="shared" si="83"/>
        <v>0.29392168291710907</v>
      </c>
      <c r="AY637" s="28">
        <f t="shared" si="87"/>
        <v>0.62500000000000044</v>
      </c>
      <c r="AZ637">
        <v>0.12082277901547288</v>
      </c>
      <c r="BA637" s="28">
        <f t="shared" si="84"/>
        <v>0.12082277901547286</v>
      </c>
    </row>
    <row r="638" spans="19:53" x14ac:dyDescent="0.25">
      <c r="S638" s="28">
        <f t="shared" si="85"/>
        <v>0.62600000000000044</v>
      </c>
      <c r="T638">
        <v>0.10495315408795435</v>
      </c>
      <c r="U638" s="28">
        <f t="shared" si="82"/>
        <v>0.26527986211471932</v>
      </c>
      <c r="AI638" s="28">
        <f t="shared" si="86"/>
        <v>0.62600000000000044</v>
      </c>
      <c r="AJ638">
        <v>0.92901394695883055</v>
      </c>
      <c r="AK638" s="28">
        <f t="shared" si="83"/>
        <v>0.38481270860609051</v>
      </c>
      <c r="AY638" s="28">
        <f t="shared" si="87"/>
        <v>0.62600000000000044</v>
      </c>
      <c r="AZ638">
        <v>0.99514755699331647</v>
      </c>
      <c r="BA638" s="28">
        <f t="shared" si="84"/>
        <v>0.99514755699331647</v>
      </c>
    </row>
    <row r="639" spans="19:53" x14ac:dyDescent="0.25">
      <c r="S639" s="28">
        <f t="shared" si="85"/>
        <v>0.62700000000000045</v>
      </c>
      <c r="T639">
        <v>0.99179052095095677</v>
      </c>
      <c r="U639" s="28">
        <f t="shared" si="82"/>
        <v>0.88620524861208261</v>
      </c>
      <c r="AI639" s="28">
        <f t="shared" si="86"/>
        <v>0.62700000000000045</v>
      </c>
      <c r="AJ639">
        <v>4.2512283700064088E-2</v>
      </c>
      <c r="AK639" s="28">
        <f t="shared" si="83"/>
        <v>7.0680713345483967E-2</v>
      </c>
      <c r="AY639" s="28">
        <f t="shared" si="87"/>
        <v>0.62700000000000045</v>
      </c>
      <c r="AZ639">
        <v>0.18485061189611499</v>
      </c>
      <c r="BA639" s="28">
        <f t="shared" si="84"/>
        <v>0.18485061189611501</v>
      </c>
    </row>
    <row r="640" spans="19:53" x14ac:dyDescent="0.25">
      <c r="S640" s="28">
        <f t="shared" si="85"/>
        <v>0.62800000000000045</v>
      </c>
      <c r="T640">
        <v>3.7263100070192574E-2</v>
      </c>
      <c r="U640" s="28">
        <f t="shared" si="82"/>
        <v>0.18568927513336966</v>
      </c>
      <c r="AI640" s="28">
        <f t="shared" si="86"/>
        <v>0.62800000000000045</v>
      </c>
      <c r="AJ640">
        <v>0.91741691335795161</v>
      </c>
      <c r="AK640" s="28">
        <f t="shared" si="83"/>
        <v>0.37423604335573402</v>
      </c>
      <c r="AY640" s="28">
        <f t="shared" si="87"/>
        <v>0.62800000000000045</v>
      </c>
      <c r="AZ640">
        <v>0.50563066499832143</v>
      </c>
      <c r="BA640" s="28">
        <f t="shared" si="84"/>
        <v>0.50563066499832143</v>
      </c>
    </row>
    <row r="641" spans="19:53" x14ac:dyDescent="0.25">
      <c r="S641" s="28">
        <f t="shared" si="85"/>
        <v>0.62900000000000045</v>
      </c>
      <c r="T641">
        <v>0.35270241401409957</v>
      </c>
      <c r="U641" s="28">
        <f t="shared" si="82"/>
        <v>0.42515240597648912</v>
      </c>
      <c r="AI641" s="28">
        <f t="shared" si="86"/>
        <v>0.62900000000000045</v>
      </c>
      <c r="AJ641">
        <v>0.31196020386364332</v>
      </c>
      <c r="AK641" s="28">
        <f t="shared" si="83"/>
        <v>0.16004115316190995</v>
      </c>
      <c r="AY641" s="28">
        <f t="shared" si="87"/>
        <v>0.62900000000000045</v>
      </c>
      <c r="AZ641">
        <v>0.39042329172643209</v>
      </c>
      <c r="BA641" s="28">
        <f t="shared" si="84"/>
        <v>0.39042329172643209</v>
      </c>
    </row>
    <row r="642" spans="19:53" x14ac:dyDescent="0.25">
      <c r="S642" s="28">
        <f t="shared" si="85"/>
        <v>0.63000000000000045</v>
      </c>
      <c r="T642">
        <v>0.84130375072481456</v>
      </c>
      <c r="U642" s="28">
        <f t="shared" si="82"/>
        <v>0.69136659435632564</v>
      </c>
      <c r="AI642" s="28">
        <f t="shared" si="86"/>
        <v>0.63000000000000045</v>
      </c>
      <c r="AJ642">
        <v>0.57405316324350719</v>
      </c>
      <c r="AK642" s="28">
        <f t="shared" si="83"/>
        <v>0.2280977504651811</v>
      </c>
      <c r="AY642" s="28">
        <f t="shared" si="87"/>
        <v>0.63000000000000045</v>
      </c>
      <c r="AZ642">
        <v>0.14334543900875882</v>
      </c>
      <c r="BA642" s="28">
        <f t="shared" si="84"/>
        <v>0.14334543900875882</v>
      </c>
    </row>
    <row r="643" spans="19:53" x14ac:dyDescent="0.25">
      <c r="S643" s="28">
        <f t="shared" si="85"/>
        <v>0.63100000000000045</v>
      </c>
      <c r="T643">
        <v>0.19934690389721366</v>
      </c>
      <c r="U643" s="28">
        <f t="shared" si="82"/>
        <v>0.33663730144062431</v>
      </c>
      <c r="AI643" s="28">
        <f t="shared" si="86"/>
        <v>0.63100000000000045</v>
      </c>
      <c r="AJ643">
        <v>0.44016846217230748</v>
      </c>
      <c r="AK643" s="28">
        <f t="shared" si="83"/>
        <v>0.1926317237431085</v>
      </c>
      <c r="AY643" s="28">
        <f t="shared" si="87"/>
        <v>0.63100000000000045</v>
      </c>
      <c r="AZ643">
        <v>0.31656849879451887</v>
      </c>
      <c r="BA643" s="28">
        <f t="shared" si="84"/>
        <v>0.31656849879451887</v>
      </c>
    </row>
    <row r="644" spans="19:53" x14ac:dyDescent="0.25">
      <c r="S644" s="28">
        <f t="shared" si="85"/>
        <v>0.63200000000000045</v>
      </c>
      <c r="T644">
        <v>0.76833399456770535</v>
      </c>
      <c r="U644" s="28">
        <f t="shared" si="82"/>
        <v>0.64293755502306515</v>
      </c>
      <c r="AI644" s="28">
        <f t="shared" si="86"/>
        <v>0.63200000000000045</v>
      </c>
      <c r="AJ644">
        <v>0.41560106204412978</v>
      </c>
      <c r="AK644" s="28">
        <f t="shared" si="83"/>
        <v>0.18638055307164081</v>
      </c>
      <c r="AY644" s="28">
        <f t="shared" si="87"/>
        <v>0.63200000000000045</v>
      </c>
      <c r="AZ644">
        <v>3.9399395733512373E-2</v>
      </c>
      <c r="BA644" s="28">
        <f t="shared" si="84"/>
        <v>3.9399395733512373E-2</v>
      </c>
    </row>
    <row r="645" spans="19:53" x14ac:dyDescent="0.25">
      <c r="S645" s="28">
        <f t="shared" si="85"/>
        <v>0.63300000000000045</v>
      </c>
      <c r="T645">
        <v>0.28763695181127352</v>
      </c>
      <c r="U645" s="28">
        <f t="shared" si="82"/>
        <v>0.38981985519976259</v>
      </c>
      <c r="AI645" s="28">
        <f t="shared" si="86"/>
        <v>0.63300000000000045</v>
      </c>
      <c r="AJ645">
        <v>0.67589342936490981</v>
      </c>
      <c r="AK645" s="28">
        <f t="shared" si="83"/>
        <v>0.25847199654066855</v>
      </c>
      <c r="AY645" s="28">
        <f t="shared" si="87"/>
        <v>0.63300000000000045</v>
      </c>
      <c r="AZ645">
        <v>2.7649769585253458E-2</v>
      </c>
      <c r="BA645" s="28">
        <f t="shared" si="84"/>
        <v>2.7649769585253461E-2</v>
      </c>
    </row>
    <row r="646" spans="19:53" x14ac:dyDescent="0.25">
      <c r="S646" s="28">
        <f t="shared" si="85"/>
        <v>0.63400000000000045</v>
      </c>
      <c r="T646">
        <v>8.3803827021088295E-2</v>
      </c>
      <c r="U646" s="28">
        <f t="shared" si="82"/>
        <v>0.24492989825797032</v>
      </c>
      <c r="AI646" s="28">
        <f t="shared" si="86"/>
        <v>0.63400000000000045</v>
      </c>
      <c r="AJ646">
        <v>0.11209448530533769</v>
      </c>
      <c r="AK646" s="28">
        <f t="shared" si="83"/>
        <v>0.10189817322499164</v>
      </c>
      <c r="AY646" s="28">
        <f t="shared" si="87"/>
        <v>0.63400000000000045</v>
      </c>
      <c r="AZ646">
        <v>0.43980224005859553</v>
      </c>
      <c r="BA646" s="28">
        <f t="shared" si="84"/>
        <v>0.43980224005859553</v>
      </c>
    </row>
    <row r="647" spans="19:53" x14ac:dyDescent="0.25">
      <c r="S647" s="28">
        <f t="shared" si="85"/>
        <v>0.63500000000000045</v>
      </c>
      <c r="T647">
        <v>3.4607989745780818E-2</v>
      </c>
      <c r="U647" s="28">
        <f t="shared" si="82"/>
        <v>0.18117506685844362</v>
      </c>
      <c r="AI647" s="28">
        <f t="shared" si="86"/>
        <v>0.63500000000000045</v>
      </c>
      <c r="AJ647">
        <v>0.32157353434858243</v>
      </c>
      <c r="AK647" s="28">
        <f t="shared" si="83"/>
        <v>0.16250989834568813</v>
      </c>
      <c r="AY647" s="28">
        <f t="shared" si="87"/>
        <v>0.63500000000000045</v>
      </c>
      <c r="AZ647">
        <v>3.109836115604114E-2</v>
      </c>
      <c r="BA647" s="28">
        <f t="shared" si="84"/>
        <v>3.109836115604114E-2</v>
      </c>
    </row>
    <row r="648" spans="19:53" x14ac:dyDescent="0.25">
      <c r="S648" s="28">
        <f t="shared" si="85"/>
        <v>0.63600000000000045</v>
      </c>
      <c r="T648">
        <v>0.45884578997161779</v>
      </c>
      <c r="U648" s="28">
        <f t="shared" si="82"/>
        <v>0.4794304512592592</v>
      </c>
      <c r="AI648" s="28">
        <f t="shared" si="86"/>
        <v>0.63600000000000045</v>
      </c>
      <c r="AJ648">
        <v>0.130344553971984</v>
      </c>
      <c r="AK648" s="28">
        <f t="shared" si="83"/>
        <v>0.10829825593052173</v>
      </c>
      <c r="AY648" s="28">
        <f t="shared" si="87"/>
        <v>0.63600000000000045</v>
      </c>
      <c r="AZ648">
        <v>0.39848017822809534</v>
      </c>
      <c r="BA648" s="28">
        <f t="shared" si="84"/>
        <v>0.39848017822809534</v>
      </c>
    </row>
    <row r="649" spans="19:53" x14ac:dyDescent="0.25">
      <c r="S649" s="28">
        <f t="shared" si="85"/>
        <v>0.63700000000000045</v>
      </c>
      <c r="T649">
        <v>0.97314371166112246</v>
      </c>
      <c r="U649" s="28">
        <f t="shared" si="82"/>
        <v>0.83338578636665983</v>
      </c>
      <c r="AI649" s="28">
        <f t="shared" si="86"/>
        <v>0.63700000000000045</v>
      </c>
      <c r="AJ649">
        <v>0.91732535782952362</v>
      </c>
      <c r="AK649" s="28">
        <f t="shared" si="83"/>
        <v>0.37415739228844458</v>
      </c>
      <c r="AY649" s="28">
        <f t="shared" si="87"/>
        <v>0.63700000000000045</v>
      </c>
      <c r="AZ649">
        <v>0.49891659291360207</v>
      </c>
      <c r="BA649" s="28">
        <f t="shared" si="84"/>
        <v>0.49891659291360207</v>
      </c>
    </row>
    <row r="650" spans="19:53" x14ac:dyDescent="0.25">
      <c r="S650" s="28">
        <f t="shared" si="85"/>
        <v>0.63800000000000046</v>
      </c>
      <c r="T650">
        <v>0.71929074983977781</v>
      </c>
      <c r="U650" s="28">
        <f t="shared" si="82"/>
        <v>0.61409254068551422</v>
      </c>
      <c r="AI650" s="28">
        <f t="shared" si="86"/>
        <v>0.63800000000000046</v>
      </c>
      <c r="AJ650">
        <v>0.84206671346171458</v>
      </c>
      <c r="AK650" s="28">
        <f t="shared" si="83"/>
        <v>0.32473265595338019</v>
      </c>
      <c r="AY650" s="28">
        <f t="shared" si="87"/>
        <v>0.63800000000000046</v>
      </c>
      <c r="AZ650">
        <v>0.21057771538438064</v>
      </c>
      <c r="BA650" s="28">
        <f t="shared" si="84"/>
        <v>0.21057771538438064</v>
      </c>
    </row>
    <row r="651" spans="19:53" x14ac:dyDescent="0.25">
      <c r="S651" s="28">
        <f t="shared" si="85"/>
        <v>0.63900000000000046</v>
      </c>
      <c r="T651">
        <v>0.16397595141453292</v>
      </c>
      <c r="U651" s="28">
        <f t="shared" si="82"/>
        <v>0.31245184063017573</v>
      </c>
      <c r="AI651" s="28">
        <f t="shared" si="86"/>
        <v>0.63900000000000046</v>
      </c>
      <c r="AJ651">
        <v>0.93508713034455393</v>
      </c>
      <c r="AK651" s="28">
        <f t="shared" si="83"/>
        <v>0.39091635731574736</v>
      </c>
      <c r="AY651" s="28">
        <f t="shared" si="87"/>
        <v>0.63900000000000046</v>
      </c>
      <c r="AZ651">
        <v>0.67491683706167793</v>
      </c>
      <c r="BA651" s="28">
        <f t="shared" si="84"/>
        <v>0.67491683706167782</v>
      </c>
    </row>
    <row r="652" spans="19:53" x14ac:dyDescent="0.25">
      <c r="S652" s="28">
        <f t="shared" si="85"/>
        <v>0.64000000000000046</v>
      </c>
      <c r="T652">
        <v>0.62938322092349008</v>
      </c>
      <c r="U652" s="28">
        <f t="shared" si="82"/>
        <v>0.56546943393754279</v>
      </c>
      <c r="AI652" s="28">
        <f t="shared" si="86"/>
        <v>0.64000000000000046</v>
      </c>
      <c r="AJ652">
        <v>0.38193914609210489</v>
      </c>
      <c r="AK652" s="28">
        <f t="shared" si="83"/>
        <v>0.17785407113578289</v>
      </c>
      <c r="AY652" s="28">
        <f t="shared" si="87"/>
        <v>0.64000000000000046</v>
      </c>
      <c r="AZ652">
        <v>6.9399090548417613E-2</v>
      </c>
      <c r="BA652" s="28">
        <f t="shared" si="84"/>
        <v>6.93990905484176E-2</v>
      </c>
    </row>
    <row r="653" spans="19:53" x14ac:dyDescent="0.25">
      <c r="S653" s="28">
        <f t="shared" si="85"/>
        <v>0.64100000000000046</v>
      </c>
      <c r="T653">
        <v>0.78734702597125161</v>
      </c>
      <c r="U653" s="28">
        <f t="shared" ref="U653:U716" si="88">_xlfn.BETA.INV(T653,$V$5,$V$6,0,1)</f>
        <v>0.65478872055457926</v>
      </c>
      <c r="AI653" s="28">
        <f t="shared" si="86"/>
        <v>0.64100000000000046</v>
      </c>
      <c r="AJ653">
        <v>0.38062685018463699</v>
      </c>
      <c r="AK653" s="28">
        <f t="shared" ref="AK653:AK716" si="89">_xlfn.BETA.INV(AJ653,$AL$5,$AL$6,0,1)</f>
        <v>0.17752192505053715</v>
      </c>
      <c r="AY653" s="28">
        <f t="shared" si="87"/>
        <v>0.64100000000000046</v>
      </c>
      <c r="AZ653">
        <v>0.26700643940549945</v>
      </c>
      <c r="BA653" s="28">
        <f t="shared" ref="BA653:BA716" si="90">_xlfn.BETA.INV(AZ653,$BB$5,$BB$6,0,1)</f>
        <v>0.26700643940549945</v>
      </c>
    </row>
    <row r="654" spans="19:53" x14ac:dyDescent="0.25">
      <c r="S654" s="28">
        <f t="shared" si="85"/>
        <v>0.64200000000000046</v>
      </c>
      <c r="T654">
        <v>0.29309976500747703</v>
      </c>
      <c r="U654" s="28">
        <f t="shared" si="88"/>
        <v>0.39288114453651646</v>
      </c>
      <c r="AI654" s="28">
        <f t="shared" si="86"/>
        <v>0.64200000000000046</v>
      </c>
      <c r="AJ654">
        <v>0.31525620288705097</v>
      </c>
      <c r="AK654" s="28">
        <f t="shared" si="89"/>
        <v>0.16088877134336046</v>
      </c>
      <c r="AY654" s="28">
        <f t="shared" si="87"/>
        <v>0.64200000000000046</v>
      </c>
      <c r="AZ654">
        <v>0.8001647999511704</v>
      </c>
      <c r="BA654" s="28">
        <f t="shared" si="90"/>
        <v>0.8001647999511704</v>
      </c>
    </row>
    <row r="655" spans="19:53" x14ac:dyDescent="0.25">
      <c r="S655" s="28">
        <f t="shared" ref="S655:S718" si="91">S654+0.001</f>
        <v>0.64300000000000046</v>
      </c>
      <c r="T655">
        <v>0.4106875820184942</v>
      </c>
      <c r="U655" s="28">
        <f t="shared" si="88"/>
        <v>0.45513324342492395</v>
      </c>
      <c r="AI655" s="28">
        <f t="shared" ref="AI655:AI718" si="92">AI654+0.001</f>
        <v>0.64300000000000046</v>
      </c>
      <c r="AJ655">
        <v>0.37308877834406567</v>
      </c>
      <c r="AK655" s="28">
        <f t="shared" si="89"/>
        <v>0.17561369096438711</v>
      </c>
      <c r="AY655" s="28">
        <f t="shared" ref="AY655:AY718" si="93">AY654+0.001</f>
        <v>0.64300000000000046</v>
      </c>
      <c r="AZ655">
        <v>0.51579332865382854</v>
      </c>
      <c r="BA655" s="28">
        <f t="shared" si="90"/>
        <v>0.51579332865382854</v>
      </c>
    </row>
    <row r="656" spans="19:53" x14ac:dyDescent="0.25">
      <c r="S656" s="28">
        <f t="shared" si="91"/>
        <v>0.64400000000000046</v>
      </c>
      <c r="T656">
        <v>0.9319742423780023</v>
      </c>
      <c r="U656" s="28">
        <f t="shared" si="88"/>
        <v>0.77224181629956223</v>
      </c>
      <c r="AI656" s="28">
        <f t="shared" si="92"/>
        <v>0.64400000000000046</v>
      </c>
      <c r="AJ656">
        <v>0.15305032502212593</v>
      </c>
      <c r="AK656" s="28">
        <f t="shared" si="89"/>
        <v>0.11574397904408319</v>
      </c>
      <c r="AY656" s="28">
        <f t="shared" si="93"/>
        <v>0.64400000000000046</v>
      </c>
      <c r="AZ656">
        <v>0.84499649037141022</v>
      </c>
      <c r="BA656" s="28">
        <f t="shared" si="90"/>
        <v>0.84499649037141022</v>
      </c>
    </row>
    <row r="657" spans="19:53" x14ac:dyDescent="0.25">
      <c r="S657" s="28">
        <f t="shared" si="91"/>
        <v>0.64500000000000046</v>
      </c>
      <c r="T657">
        <v>0.90963469344157233</v>
      </c>
      <c r="U657" s="28">
        <f t="shared" si="88"/>
        <v>0.74847687954167208</v>
      </c>
      <c r="AI657" s="28">
        <f t="shared" si="92"/>
        <v>0.64500000000000046</v>
      </c>
      <c r="AJ657">
        <v>0.83715323343607895</v>
      </c>
      <c r="AK657" s="28">
        <f t="shared" si="89"/>
        <v>0.32219513211805051</v>
      </c>
      <c r="AY657" s="28">
        <f t="shared" si="93"/>
        <v>0.64500000000000046</v>
      </c>
      <c r="AZ657">
        <v>0.66484572893459881</v>
      </c>
      <c r="BA657" s="28">
        <f t="shared" si="90"/>
        <v>0.66484572893459881</v>
      </c>
    </row>
    <row r="658" spans="19:53" x14ac:dyDescent="0.25">
      <c r="S658" s="28">
        <f t="shared" si="91"/>
        <v>0.64600000000000046</v>
      </c>
      <c r="T658">
        <v>0.36158330027161473</v>
      </c>
      <c r="U658" s="28">
        <f t="shared" si="88"/>
        <v>0.42981660612968697</v>
      </c>
      <c r="AI658" s="28">
        <f t="shared" si="92"/>
        <v>0.64600000000000046</v>
      </c>
      <c r="AJ658">
        <v>0.56022827845088041</v>
      </c>
      <c r="AK658" s="28">
        <f t="shared" si="89"/>
        <v>0.22426418068298215</v>
      </c>
      <c r="AY658" s="28">
        <f t="shared" si="93"/>
        <v>0.64600000000000046</v>
      </c>
      <c r="AZ658">
        <v>0.57545701467940302</v>
      </c>
      <c r="BA658" s="28">
        <f t="shared" si="90"/>
        <v>0.57545701467940302</v>
      </c>
    </row>
    <row r="659" spans="19:53" x14ac:dyDescent="0.25">
      <c r="S659" s="28">
        <f t="shared" si="91"/>
        <v>0.64700000000000046</v>
      </c>
      <c r="T659">
        <v>0.32316049684133424</v>
      </c>
      <c r="U659" s="28">
        <f t="shared" si="88"/>
        <v>0.40939128818158615</v>
      </c>
      <c r="AI659" s="28">
        <f t="shared" si="92"/>
        <v>0.64700000000000046</v>
      </c>
      <c r="AJ659">
        <v>2.3316141239661855E-2</v>
      </c>
      <c r="AK659" s="28">
        <f t="shared" si="89"/>
        <v>5.7211582105725571E-2</v>
      </c>
      <c r="AY659" s="28">
        <f t="shared" si="93"/>
        <v>0.64700000000000046</v>
      </c>
      <c r="AZ659">
        <v>0.85573900570696126</v>
      </c>
      <c r="BA659" s="28">
        <f t="shared" si="90"/>
        <v>0.85573900570696126</v>
      </c>
    </row>
    <row r="660" spans="19:53" x14ac:dyDescent="0.25">
      <c r="S660" s="28">
        <f t="shared" si="91"/>
        <v>0.64800000000000046</v>
      </c>
      <c r="T660">
        <v>0.56953642384105962</v>
      </c>
      <c r="U660" s="28">
        <f t="shared" si="88"/>
        <v>0.53484323922564458</v>
      </c>
      <c r="AI660" s="28">
        <f t="shared" si="92"/>
        <v>0.64800000000000046</v>
      </c>
      <c r="AJ660">
        <v>0.36127811517685476</v>
      </c>
      <c r="AK660" s="28">
        <f t="shared" si="89"/>
        <v>0.17262155643070043</v>
      </c>
      <c r="AY660" s="28">
        <f t="shared" si="93"/>
        <v>0.64800000000000046</v>
      </c>
      <c r="AZ660">
        <v>0.11066011535996582</v>
      </c>
      <c r="BA660" s="28">
        <f t="shared" si="90"/>
        <v>0.11066011535996584</v>
      </c>
    </row>
    <row r="661" spans="19:53" x14ac:dyDescent="0.25">
      <c r="S661" s="28">
        <f t="shared" si="91"/>
        <v>0.64900000000000047</v>
      </c>
      <c r="T661">
        <v>0.68666646320993685</v>
      </c>
      <c r="U661" s="28">
        <f t="shared" si="88"/>
        <v>0.59594772179539324</v>
      </c>
      <c r="AI661" s="28">
        <f t="shared" si="92"/>
        <v>0.64900000000000047</v>
      </c>
      <c r="AJ661">
        <v>0.79219946897793514</v>
      </c>
      <c r="AK661" s="28">
        <f t="shared" si="89"/>
        <v>0.30121621380628372</v>
      </c>
      <c r="AY661" s="28">
        <f t="shared" si="93"/>
        <v>0.64900000000000047</v>
      </c>
      <c r="AZ661">
        <v>0.16168706320383314</v>
      </c>
      <c r="BA661" s="28">
        <f t="shared" si="90"/>
        <v>0.16168706320383314</v>
      </c>
    </row>
    <row r="662" spans="19:53" x14ac:dyDescent="0.25">
      <c r="S662" s="28">
        <f t="shared" si="91"/>
        <v>0.65000000000000047</v>
      </c>
      <c r="T662">
        <v>0.5178685872981964</v>
      </c>
      <c r="U662" s="28">
        <f t="shared" si="88"/>
        <v>0.50892123138555356</v>
      </c>
      <c r="AI662" s="28">
        <f t="shared" si="92"/>
        <v>0.65000000000000047</v>
      </c>
      <c r="AJ662">
        <v>0.78588213751640368</v>
      </c>
      <c r="AK662" s="28">
        <f t="shared" si="89"/>
        <v>0.29853390938727531</v>
      </c>
      <c r="AY662" s="28">
        <f t="shared" si="93"/>
        <v>0.65000000000000047</v>
      </c>
      <c r="AZ662">
        <v>0.75218970305490285</v>
      </c>
      <c r="BA662" s="28">
        <f t="shared" si="90"/>
        <v>0.75218970305490285</v>
      </c>
    </row>
    <row r="663" spans="19:53" x14ac:dyDescent="0.25">
      <c r="S663" s="28">
        <f t="shared" si="91"/>
        <v>0.65100000000000047</v>
      </c>
      <c r="T663">
        <v>0.7219458601641896</v>
      </c>
      <c r="U663" s="28">
        <f t="shared" si="88"/>
        <v>0.61560132895769926</v>
      </c>
      <c r="AI663" s="28">
        <f t="shared" si="92"/>
        <v>0.65100000000000047</v>
      </c>
      <c r="AJ663">
        <v>0.58381908627582624</v>
      </c>
      <c r="AK663" s="28">
        <f t="shared" si="89"/>
        <v>0.23083927888296185</v>
      </c>
      <c r="AY663" s="28">
        <f t="shared" si="93"/>
        <v>0.65100000000000047</v>
      </c>
      <c r="AZ663">
        <v>0.67720572527237766</v>
      </c>
      <c r="BA663" s="28">
        <f t="shared" si="90"/>
        <v>0.67720572527237766</v>
      </c>
    </row>
    <row r="664" spans="19:53" x14ac:dyDescent="0.25">
      <c r="S664" s="28">
        <f t="shared" si="91"/>
        <v>0.65200000000000047</v>
      </c>
      <c r="T664">
        <v>0.77999206518753628</v>
      </c>
      <c r="U664" s="28">
        <f t="shared" si="88"/>
        <v>0.65015183861132941</v>
      </c>
      <c r="AI664" s="28">
        <f t="shared" si="92"/>
        <v>0.65200000000000047</v>
      </c>
      <c r="AJ664">
        <v>0.43848994415112769</v>
      </c>
      <c r="AK664" s="28">
        <f t="shared" si="89"/>
        <v>0.19220335354830551</v>
      </c>
      <c r="AY664" s="28">
        <f t="shared" si="93"/>
        <v>0.65200000000000047</v>
      </c>
      <c r="AZ664">
        <v>0.53099154637287516</v>
      </c>
      <c r="BA664" s="28">
        <f t="shared" si="90"/>
        <v>0.53099154637287516</v>
      </c>
    </row>
    <row r="665" spans="19:53" x14ac:dyDescent="0.25">
      <c r="S665" s="28">
        <f t="shared" si="91"/>
        <v>0.65300000000000047</v>
      </c>
      <c r="T665">
        <v>0.80559709463789786</v>
      </c>
      <c r="U665" s="28">
        <f t="shared" si="88"/>
        <v>0.66661426875837893</v>
      </c>
      <c r="AI665" s="28">
        <f t="shared" si="92"/>
        <v>0.65300000000000047</v>
      </c>
      <c r="AJ665">
        <v>0.87267677846613967</v>
      </c>
      <c r="AK665" s="28">
        <f t="shared" si="89"/>
        <v>0.34202386773088667</v>
      </c>
      <c r="AY665" s="28">
        <f t="shared" si="93"/>
        <v>0.65300000000000047</v>
      </c>
      <c r="AZ665">
        <v>0.42829676198614458</v>
      </c>
      <c r="BA665" s="28">
        <f t="shared" si="90"/>
        <v>0.42829676198614458</v>
      </c>
    </row>
    <row r="666" spans="19:53" x14ac:dyDescent="0.25">
      <c r="S666" s="28">
        <f t="shared" si="91"/>
        <v>0.65400000000000047</v>
      </c>
      <c r="T666">
        <v>0.99810785241248823</v>
      </c>
      <c r="U666" s="28">
        <f t="shared" si="88"/>
        <v>0.92794164709672489</v>
      </c>
      <c r="AI666" s="28">
        <f t="shared" si="92"/>
        <v>0.65400000000000047</v>
      </c>
      <c r="AJ666">
        <v>0.84447767571031829</v>
      </c>
      <c r="AK666" s="28">
        <f t="shared" si="89"/>
        <v>0.3259990574545728</v>
      </c>
      <c r="AY666" s="28">
        <f t="shared" si="93"/>
        <v>0.65400000000000047</v>
      </c>
      <c r="AZ666">
        <v>0.82451857051301614</v>
      </c>
      <c r="BA666" s="28">
        <f t="shared" si="90"/>
        <v>0.82451857051301614</v>
      </c>
    </row>
    <row r="667" spans="19:53" x14ac:dyDescent="0.25">
      <c r="S667" s="28">
        <f t="shared" si="91"/>
        <v>0.65500000000000047</v>
      </c>
      <c r="T667">
        <v>0.50657673879207743</v>
      </c>
      <c r="U667" s="28">
        <f t="shared" si="88"/>
        <v>0.50328284096836107</v>
      </c>
      <c r="AI667" s="28">
        <f t="shared" si="92"/>
        <v>0.65500000000000047</v>
      </c>
      <c r="AJ667">
        <v>0.79885250404370256</v>
      </c>
      <c r="AK667" s="28">
        <f t="shared" si="89"/>
        <v>0.30410308642960238</v>
      </c>
      <c r="AY667" s="28">
        <f t="shared" si="93"/>
        <v>0.65500000000000047</v>
      </c>
      <c r="AZ667">
        <v>0.47846919156468398</v>
      </c>
      <c r="BA667" s="28">
        <f t="shared" si="90"/>
        <v>0.47846919156468398</v>
      </c>
    </row>
    <row r="668" spans="19:53" x14ac:dyDescent="0.25">
      <c r="S668" s="28">
        <f t="shared" si="91"/>
        <v>0.65600000000000047</v>
      </c>
      <c r="T668">
        <v>0.54097109897152618</v>
      </c>
      <c r="U668" s="28">
        <f t="shared" si="88"/>
        <v>0.52047778077344165</v>
      </c>
      <c r="AI668" s="28">
        <f t="shared" si="92"/>
        <v>0.65600000000000047</v>
      </c>
      <c r="AJ668">
        <v>0.74779503769035915</v>
      </c>
      <c r="AK668" s="28">
        <f t="shared" si="89"/>
        <v>0.28340908038608925</v>
      </c>
      <c r="AY668" s="28">
        <f t="shared" si="93"/>
        <v>0.65600000000000047</v>
      </c>
      <c r="AZ668">
        <v>0.16812646870326853</v>
      </c>
      <c r="BA668" s="28">
        <f t="shared" si="90"/>
        <v>0.16812646870326853</v>
      </c>
    </row>
    <row r="669" spans="19:53" x14ac:dyDescent="0.25">
      <c r="S669" s="28">
        <f t="shared" si="91"/>
        <v>0.65700000000000047</v>
      </c>
      <c r="T669">
        <v>0.80471205786309397</v>
      </c>
      <c r="U669" s="28">
        <f t="shared" si="88"/>
        <v>0.6660294302049492</v>
      </c>
      <c r="AI669" s="28">
        <f t="shared" si="92"/>
        <v>0.65700000000000047</v>
      </c>
      <c r="AJ669">
        <v>0.70058290353099151</v>
      </c>
      <c r="AK669" s="28">
        <f t="shared" si="89"/>
        <v>0.26660933679209298</v>
      </c>
      <c r="AY669" s="28">
        <f t="shared" si="93"/>
        <v>0.65700000000000047</v>
      </c>
      <c r="AZ669">
        <v>0.10693685720389416</v>
      </c>
      <c r="BA669" s="28">
        <f t="shared" si="90"/>
        <v>0.10693685720389415</v>
      </c>
    </row>
    <row r="670" spans="19:53" x14ac:dyDescent="0.25">
      <c r="S670" s="28">
        <f t="shared" si="91"/>
        <v>0.65800000000000047</v>
      </c>
      <c r="T670">
        <v>0.27375102999969481</v>
      </c>
      <c r="U670" s="28">
        <f t="shared" si="88"/>
        <v>0.38194200094906172</v>
      </c>
      <c r="AI670" s="28">
        <f t="shared" si="92"/>
        <v>0.65800000000000047</v>
      </c>
      <c r="AJ670">
        <v>0.2357860042115543</v>
      </c>
      <c r="AK670" s="28">
        <f t="shared" si="89"/>
        <v>0.13991463716572336</v>
      </c>
      <c r="AY670" s="28">
        <f t="shared" si="93"/>
        <v>0.65800000000000047</v>
      </c>
      <c r="AZ670">
        <v>0.87978759117404703</v>
      </c>
      <c r="BA670" s="28">
        <f t="shared" si="90"/>
        <v>0.87978759117404703</v>
      </c>
    </row>
    <row r="671" spans="19:53" x14ac:dyDescent="0.25">
      <c r="S671" s="28">
        <f t="shared" si="91"/>
        <v>0.65900000000000047</v>
      </c>
      <c r="T671">
        <v>0.5034028138065737</v>
      </c>
      <c r="U671" s="28">
        <f t="shared" si="88"/>
        <v>0.50169850372365543</v>
      </c>
      <c r="AI671" s="28">
        <f t="shared" si="92"/>
        <v>0.65900000000000047</v>
      </c>
      <c r="AJ671">
        <v>0.57206946012756732</v>
      </c>
      <c r="AK671" s="28">
        <f t="shared" si="89"/>
        <v>0.22754435767062775</v>
      </c>
      <c r="AY671" s="28">
        <f t="shared" si="93"/>
        <v>0.65900000000000047</v>
      </c>
      <c r="AZ671">
        <v>0.45512253181554613</v>
      </c>
      <c r="BA671" s="28">
        <f t="shared" si="90"/>
        <v>0.45512253181554613</v>
      </c>
    </row>
    <row r="672" spans="19:53" x14ac:dyDescent="0.25">
      <c r="S672" s="28">
        <f t="shared" si="91"/>
        <v>0.66000000000000048</v>
      </c>
      <c r="T672">
        <v>0.15146336252937406</v>
      </c>
      <c r="U672" s="28">
        <f t="shared" si="88"/>
        <v>0.30329829401762104</v>
      </c>
      <c r="AI672" s="28">
        <f t="shared" si="92"/>
        <v>0.66000000000000048</v>
      </c>
      <c r="AJ672">
        <v>0.8699301126133</v>
      </c>
      <c r="AK672" s="28">
        <f t="shared" si="89"/>
        <v>0.3403519285210902</v>
      </c>
      <c r="AY672" s="28">
        <f t="shared" si="93"/>
        <v>0.66000000000000048</v>
      </c>
      <c r="AZ672">
        <v>0.56285287026581621</v>
      </c>
      <c r="BA672" s="28">
        <f t="shared" si="90"/>
        <v>0.56285287026581621</v>
      </c>
    </row>
    <row r="673" spans="19:53" x14ac:dyDescent="0.25">
      <c r="S673" s="28">
        <f t="shared" si="91"/>
        <v>0.66100000000000048</v>
      </c>
      <c r="T673">
        <v>0.95352031006805626</v>
      </c>
      <c r="U673" s="28">
        <f t="shared" si="88"/>
        <v>0.80001879500353879</v>
      </c>
      <c r="AI673" s="28">
        <f t="shared" si="92"/>
        <v>0.66100000000000048</v>
      </c>
      <c r="AJ673">
        <v>0.15924558244575335</v>
      </c>
      <c r="AK673" s="28">
        <f t="shared" si="89"/>
        <v>0.11769546322365398</v>
      </c>
      <c r="AY673" s="28">
        <f t="shared" si="93"/>
        <v>0.66100000000000048</v>
      </c>
      <c r="AZ673">
        <v>0.6929532761619922</v>
      </c>
      <c r="BA673" s="28">
        <f t="shared" si="90"/>
        <v>0.6929532761619922</v>
      </c>
    </row>
    <row r="674" spans="19:53" x14ac:dyDescent="0.25">
      <c r="S674" s="28">
        <f t="shared" si="91"/>
        <v>0.66200000000000048</v>
      </c>
      <c r="T674">
        <v>0.53666798913541058</v>
      </c>
      <c r="U674" s="28">
        <f t="shared" si="88"/>
        <v>0.51832215277532812</v>
      </c>
      <c r="AI674" s="28">
        <f t="shared" si="92"/>
        <v>0.66200000000000048</v>
      </c>
      <c r="AJ674">
        <v>0.93328653828547015</v>
      </c>
      <c r="AK674" s="28">
        <f t="shared" si="89"/>
        <v>0.38906036885848938</v>
      </c>
      <c r="AY674" s="28">
        <f t="shared" si="93"/>
        <v>0.66200000000000048</v>
      </c>
      <c r="AZ674">
        <v>0.57899716177861871</v>
      </c>
      <c r="BA674" s="28">
        <f t="shared" si="90"/>
        <v>0.57899716177861871</v>
      </c>
    </row>
    <row r="675" spans="19:53" x14ac:dyDescent="0.25">
      <c r="S675" s="28">
        <f t="shared" si="91"/>
        <v>0.66300000000000048</v>
      </c>
      <c r="T675">
        <v>0.63545640430921357</v>
      </c>
      <c r="U675" s="28">
        <f t="shared" si="88"/>
        <v>0.56863536328599451</v>
      </c>
      <c r="AI675" s="28">
        <f t="shared" si="92"/>
        <v>0.66300000000000048</v>
      </c>
      <c r="AJ675">
        <v>0.61241492965483568</v>
      </c>
      <c r="AK675" s="28">
        <f t="shared" si="89"/>
        <v>0.23904645210489961</v>
      </c>
      <c r="AY675" s="28">
        <f t="shared" si="93"/>
        <v>0.66300000000000048</v>
      </c>
      <c r="AZ675">
        <v>0.68312631611072117</v>
      </c>
      <c r="BA675" s="28">
        <f t="shared" si="90"/>
        <v>0.68312631611072117</v>
      </c>
    </row>
    <row r="676" spans="19:53" x14ac:dyDescent="0.25">
      <c r="S676" s="28">
        <f t="shared" si="91"/>
        <v>0.66400000000000048</v>
      </c>
      <c r="T676">
        <v>0.84673604541154213</v>
      </c>
      <c r="U676" s="28">
        <f t="shared" si="88"/>
        <v>0.69536183947398733</v>
      </c>
      <c r="AI676" s="28">
        <f t="shared" si="92"/>
        <v>0.66400000000000048</v>
      </c>
      <c r="AJ676">
        <v>0.28980376598406932</v>
      </c>
      <c r="AK676" s="28">
        <f t="shared" si="89"/>
        <v>0.15430502616127223</v>
      </c>
      <c r="AY676" s="28">
        <f t="shared" si="93"/>
        <v>0.66400000000000048</v>
      </c>
      <c r="AZ676">
        <v>0.80993072298348945</v>
      </c>
      <c r="BA676" s="28">
        <f t="shared" si="90"/>
        <v>0.80993072298348945</v>
      </c>
    </row>
    <row r="677" spans="19:53" x14ac:dyDescent="0.25">
      <c r="S677" s="28">
        <f t="shared" si="91"/>
        <v>0.66500000000000048</v>
      </c>
      <c r="T677">
        <v>3.3234656819360942E-2</v>
      </c>
      <c r="U677" s="28">
        <f t="shared" si="88"/>
        <v>0.17875567636647968</v>
      </c>
      <c r="AI677" s="28">
        <f t="shared" si="92"/>
        <v>0.66500000000000048</v>
      </c>
      <c r="AJ677">
        <v>0.45851008636738183</v>
      </c>
      <c r="AK677" s="28">
        <f t="shared" si="89"/>
        <v>0.19732847787282409</v>
      </c>
      <c r="AY677" s="28">
        <f t="shared" si="93"/>
        <v>0.66500000000000048</v>
      </c>
      <c r="AZ677">
        <v>0.4336680196539201</v>
      </c>
      <c r="BA677" s="28">
        <f t="shared" si="90"/>
        <v>0.4336680196539201</v>
      </c>
    </row>
    <row r="678" spans="19:53" x14ac:dyDescent="0.25">
      <c r="S678" s="28">
        <f t="shared" si="91"/>
        <v>0.66600000000000048</v>
      </c>
      <c r="T678">
        <v>0.48277230140079957</v>
      </c>
      <c r="U678" s="28">
        <f t="shared" si="88"/>
        <v>0.49139889837652612</v>
      </c>
      <c r="AI678" s="28">
        <f t="shared" si="92"/>
        <v>0.66600000000000048</v>
      </c>
      <c r="AJ678">
        <v>0.81398968474379707</v>
      </c>
      <c r="AK678" s="28">
        <f t="shared" si="89"/>
        <v>0.31093101419978597</v>
      </c>
      <c r="AY678" s="28">
        <f t="shared" si="93"/>
        <v>0.66600000000000048</v>
      </c>
      <c r="AZ678">
        <v>8.4749900814844209E-2</v>
      </c>
      <c r="BA678" s="28">
        <f t="shared" si="90"/>
        <v>8.4749900814844223E-2</v>
      </c>
    </row>
    <row r="679" spans="19:53" x14ac:dyDescent="0.25">
      <c r="S679" s="28">
        <f t="shared" si="91"/>
        <v>0.66700000000000048</v>
      </c>
      <c r="T679">
        <v>0.19608142338328197</v>
      </c>
      <c r="U679" s="28">
        <f t="shared" si="88"/>
        <v>0.33449387102759082</v>
      </c>
      <c r="AI679" s="28">
        <f t="shared" si="92"/>
        <v>0.66700000000000048</v>
      </c>
      <c r="AJ679">
        <v>0.26978362376781517</v>
      </c>
      <c r="AK679" s="28">
        <f t="shared" si="89"/>
        <v>0.14905077437568767</v>
      </c>
      <c r="AY679" s="28">
        <f t="shared" si="93"/>
        <v>0.66700000000000048</v>
      </c>
      <c r="AZ679">
        <v>0.46040223395489366</v>
      </c>
      <c r="BA679" s="28">
        <f t="shared" si="90"/>
        <v>0.46040223395489366</v>
      </c>
    </row>
    <row r="680" spans="19:53" x14ac:dyDescent="0.25">
      <c r="S680" s="28">
        <f t="shared" si="91"/>
        <v>0.66800000000000048</v>
      </c>
      <c r="T680">
        <v>0.10242011780144658</v>
      </c>
      <c r="U680" s="28">
        <f t="shared" si="88"/>
        <v>0.2629707831691907</v>
      </c>
      <c r="AI680" s="28">
        <f t="shared" si="92"/>
        <v>0.66800000000000048</v>
      </c>
      <c r="AJ680">
        <v>0.51487777336954865</v>
      </c>
      <c r="AK680" s="28">
        <f t="shared" si="89"/>
        <v>0.21202082311015902</v>
      </c>
      <c r="AY680" s="28">
        <f t="shared" si="93"/>
        <v>0.66800000000000048</v>
      </c>
      <c r="AZ680">
        <v>0.1588183233130894</v>
      </c>
      <c r="BA680" s="28">
        <f t="shared" si="90"/>
        <v>0.1588183233130894</v>
      </c>
    </row>
    <row r="681" spans="19:53" x14ac:dyDescent="0.25">
      <c r="S681" s="28">
        <f t="shared" si="91"/>
        <v>0.66900000000000048</v>
      </c>
      <c r="T681">
        <v>4.8768578142643515E-2</v>
      </c>
      <c r="U681" s="28">
        <f t="shared" si="88"/>
        <v>0.20325691059391124</v>
      </c>
      <c r="AI681" s="28">
        <f t="shared" si="92"/>
        <v>0.66900000000000048</v>
      </c>
      <c r="AJ681">
        <v>0.90466017639698482</v>
      </c>
      <c r="AK681" s="28">
        <f t="shared" si="89"/>
        <v>0.36388627564577358</v>
      </c>
      <c r="AY681" s="28">
        <f t="shared" si="93"/>
        <v>0.66900000000000048</v>
      </c>
      <c r="AZ681">
        <v>0.65150914029358808</v>
      </c>
      <c r="BA681" s="28">
        <f t="shared" si="90"/>
        <v>0.65150914029358808</v>
      </c>
    </row>
    <row r="682" spans="19:53" x14ac:dyDescent="0.25">
      <c r="S682" s="28">
        <f t="shared" si="91"/>
        <v>0.67000000000000048</v>
      </c>
      <c r="T682">
        <v>0.30115665150914028</v>
      </c>
      <c r="U682" s="28">
        <f t="shared" si="88"/>
        <v>0.39735985402708751</v>
      </c>
      <c r="AI682" s="28">
        <f t="shared" si="92"/>
        <v>0.67000000000000048</v>
      </c>
      <c r="AJ682">
        <v>0.97305215613269447</v>
      </c>
      <c r="AK682" s="28">
        <f t="shared" si="89"/>
        <v>0.44594182017491035</v>
      </c>
      <c r="AY682" s="28">
        <f t="shared" si="93"/>
        <v>0.67000000000000048</v>
      </c>
      <c r="AZ682">
        <v>0.71764275032807401</v>
      </c>
      <c r="BA682" s="28">
        <f t="shared" si="90"/>
        <v>0.71764275032807401</v>
      </c>
    </row>
    <row r="683" spans="19:53" x14ac:dyDescent="0.25">
      <c r="S683" s="28">
        <f t="shared" si="91"/>
        <v>0.67100000000000048</v>
      </c>
      <c r="T683">
        <v>0.50743125705740533</v>
      </c>
      <c r="U683" s="28">
        <f t="shared" si="88"/>
        <v>0.50370941708610006</v>
      </c>
      <c r="AI683" s="28">
        <f t="shared" si="92"/>
        <v>0.67100000000000048</v>
      </c>
      <c r="AJ683">
        <v>0.71633045442060606</v>
      </c>
      <c r="AK683" s="28">
        <f t="shared" si="89"/>
        <v>0.27201405085165575</v>
      </c>
      <c r="AY683" s="28">
        <f t="shared" si="93"/>
        <v>0.67100000000000048</v>
      </c>
      <c r="AZ683">
        <v>0.46250801110873746</v>
      </c>
      <c r="BA683" s="28">
        <f t="shared" si="90"/>
        <v>0.46250801110873746</v>
      </c>
    </row>
    <row r="684" spans="19:53" x14ac:dyDescent="0.25">
      <c r="S684" s="28">
        <f t="shared" si="91"/>
        <v>0.67200000000000049</v>
      </c>
      <c r="T684">
        <v>0.78493606372264779</v>
      </c>
      <c r="U684" s="28">
        <f t="shared" si="88"/>
        <v>0.65326109597957904</v>
      </c>
      <c r="AI684" s="28">
        <f t="shared" si="92"/>
        <v>0.67200000000000049</v>
      </c>
      <c r="AJ684">
        <v>0.15619373149815363</v>
      </c>
      <c r="AK684" s="28">
        <f t="shared" si="89"/>
        <v>0.11673796902095601</v>
      </c>
      <c r="AY684" s="28">
        <f t="shared" si="93"/>
        <v>0.67200000000000049</v>
      </c>
      <c r="AZ684">
        <v>0.17111728263191625</v>
      </c>
      <c r="BA684" s="28">
        <f t="shared" si="90"/>
        <v>0.17111728263191625</v>
      </c>
    </row>
    <row r="685" spans="19:53" x14ac:dyDescent="0.25">
      <c r="S685" s="28">
        <f t="shared" si="91"/>
        <v>0.67300000000000049</v>
      </c>
      <c r="T685">
        <v>0.4035462508011109</v>
      </c>
      <c r="U685" s="28">
        <f t="shared" si="88"/>
        <v>0.45149319502740926</v>
      </c>
      <c r="AI685" s="28">
        <f t="shared" si="92"/>
        <v>0.67300000000000049</v>
      </c>
      <c r="AJ685">
        <v>0.78203680532242803</v>
      </c>
      <c r="AK685" s="28">
        <f t="shared" si="89"/>
        <v>0.29692786540028249</v>
      </c>
      <c r="AY685" s="28">
        <f t="shared" si="93"/>
        <v>0.67300000000000049</v>
      </c>
      <c r="AZ685">
        <v>0.3967101046784875</v>
      </c>
      <c r="BA685" s="28">
        <f t="shared" si="90"/>
        <v>0.3967101046784875</v>
      </c>
    </row>
    <row r="686" spans="19:53" x14ac:dyDescent="0.25">
      <c r="S686" s="28">
        <f t="shared" si="91"/>
        <v>0.67400000000000049</v>
      </c>
      <c r="T686">
        <v>0.27408673360393077</v>
      </c>
      <c r="U686" s="28">
        <f t="shared" si="88"/>
        <v>0.38213417200259159</v>
      </c>
      <c r="AI686" s="28">
        <f t="shared" si="92"/>
        <v>0.67400000000000049</v>
      </c>
      <c r="AJ686">
        <v>0.70427564317758717</v>
      </c>
      <c r="AK686" s="28">
        <f t="shared" si="89"/>
        <v>0.26786070799441808</v>
      </c>
      <c r="AY686" s="28">
        <f t="shared" si="93"/>
        <v>0.67400000000000049</v>
      </c>
      <c r="AZ686">
        <v>0.62218085268715473</v>
      </c>
      <c r="BA686" s="28">
        <f t="shared" si="90"/>
        <v>0.62218085268715473</v>
      </c>
    </row>
    <row r="687" spans="19:53" x14ac:dyDescent="0.25">
      <c r="S687" s="28">
        <f t="shared" si="91"/>
        <v>0.67500000000000049</v>
      </c>
      <c r="T687">
        <v>0.74456007568590354</v>
      </c>
      <c r="U687" s="28">
        <f t="shared" si="88"/>
        <v>0.62868083072599057</v>
      </c>
      <c r="AI687" s="28">
        <f t="shared" si="92"/>
        <v>0.67500000000000049</v>
      </c>
      <c r="AJ687">
        <v>0.12955107272560809</v>
      </c>
      <c r="AK687" s="28">
        <f t="shared" si="89"/>
        <v>0.10802855159286064</v>
      </c>
      <c r="AY687" s="28">
        <f t="shared" si="93"/>
        <v>0.67500000000000049</v>
      </c>
      <c r="AZ687">
        <v>0.86941129795220806</v>
      </c>
      <c r="BA687" s="28">
        <f t="shared" si="90"/>
        <v>0.86941129795220806</v>
      </c>
    </row>
    <row r="688" spans="19:53" x14ac:dyDescent="0.25">
      <c r="S688" s="28">
        <f t="shared" si="91"/>
        <v>0.67600000000000049</v>
      </c>
      <c r="T688">
        <v>0.80315561387981815</v>
      </c>
      <c r="U688" s="28">
        <f t="shared" si="88"/>
        <v>0.66500387187036303</v>
      </c>
      <c r="AI688" s="28">
        <f t="shared" si="92"/>
        <v>0.67600000000000049</v>
      </c>
      <c r="AJ688">
        <v>3.8758507034516434E-3</v>
      </c>
      <c r="AK688" s="28">
        <f t="shared" si="89"/>
        <v>3.1588213158068042E-2</v>
      </c>
      <c r="AY688" s="28">
        <f t="shared" si="93"/>
        <v>0.67600000000000049</v>
      </c>
      <c r="AZ688">
        <v>0.96560563982055114</v>
      </c>
      <c r="BA688" s="28">
        <f t="shared" si="90"/>
        <v>0.96560563982055114</v>
      </c>
    </row>
    <row r="689" spans="19:53" x14ac:dyDescent="0.25">
      <c r="S689" s="28">
        <f t="shared" si="91"/>
        <v>0.67700000000000049</v>
      </c>
      <c r="T689">
        <v>0.56865138706625573</v>
      </c>
      <c r="U689" s="28">
        <f t="shared" si="88"/>
        <v>0.53439637127886663</v>
      </c>
      <c r="AI689" s="28">
        <f t="shared" si="92"/>
        <v>0.67700000000000049</v>
      </c>
      <c r="AJ689">
        <v>0.25217444380016479</v>
      </c>
      <c r="AK689" s="28">
        <f t="shared" si="89"/>
        <v>0.14435734677769421</v>
      </c>
      <c r="AY689" s="28">
        <f t="shared" si="93"/>
        <v>0.67700000000000049</v>
      </c>
      <c r="AZ689">
        <v>0.836725974303415</v>
      </c>
      <c r="BA689" s="28">
        <f t="shared" si="90"/>
        <v>0.836725974303415</v>
      </c>
    </row>
    <row r="690" spans="19:53" x14ac:dyDescent="0.25">
      <c r="S690" s="28">
        <f t="shared" si="91"/>
        <v>0.67800000000000049</v>
      </c>
      <c r="T690">
        <v>0.89498580889309365</v>
      </c>
      <c r="U690" s="28">
        <f t="shared" si="88"/>
        <v>0.73466487666692826</v>
      </c>
      <c r="AI690" s="28">
        <f t="shared" si="92"/>
        <v>0.67800000000000049</v>
      </c>
      <c r="AJ690">
        <v>0.42808313241981261</v>
      </c>
      <c r="AK690" s="28">
        <f t="shared" si="89"/>
        <v>0.18955198780331309</v>
      </c>
      <c r="AY690" s="28">
        <f t="shared" si="93"/>
        <v>0.67800000000000049</v>
      </c>
      <c r="AZ690">
        <v>0.22425000762962738</v>
      </c>
      <c r="BA690" s="28">
        <f t="shared" si="90"/>
        <v>0.22425000762962738</v>
      </c>
    </row>
    <row r="691" spans="19:53" x14ac:dyDescent="0.25">
      <c r="S691" s="28">
        <f t="shared" si="91"/>
        <v>0.67900000000000049</v>
      </c>
      <c r="T691">
        <v>0.20706808679464095</v>
      </c>
      <c r="U691" s="28">
        <f t="shared" si="88"/>
        <v>0.34164279273954073</v>
      </c>
      <c r="AI691" s="28">
        <f t="shared" si="92"/>
        <v>0.67900000000000049</v>
      </c>
      <c r="AJ691">
        <v>3.3906064027832881E-2</v>
      </c>
      <c r="AK691" s="28">
        <f t="shared" si="89"/>
        <v>6.5203179934625211E-2</v>
      </c>
      <c r="AY691" s="28">
        <f t="shared" si="93"/>
        <v>0.67900000000000049</v>
      </c>
      <c r="AZ691">
        <v>0.11896114993743706</v>
      </c>
      <c r="BA691" s="28">
        <f t="shared" si="90"/>
        <v>0.11896114993743709</v>
      </c>
    </row>
    <row r="692" spans="19:53" x14ac:dyDescent="0.25">
      <c r="S692" s="28">
        <f t="shared" si="91"/>
        <v>0.68000000000000049</v>
      </c>
      <c r="T692">
        <v>0.41862239448225347</v>
      </c>
      <c r="U692" s="28">
        <f t="shared" si="88"/>
        <v>0.45916437252829817</v>
      </c>
      <c r="AI692" s="28">
        <f t="shared" si="92"/>
        <v>0.68000000000000049</v>
      </c>
      <c r="AJ692">
        <v>0.62773522141178628</v>
      </c>
      <c r="AK692" s="28">
        <f t="shared" si="89"/>
        <v>0.24356762737036874</v>
      </c>
      <c r="AY692" s="28">
        <f t="shared" si="93"/>
        <v>0.68000000000000049</v>
      </c>
      <c r="AZ692">
        <v>0.58278145695364236</v>
      </c>
      <c r="BA692" s="28">
        <f t="shared" si="90"/>
        <v>0.58278145695364236</v>
      </c>
    </row>
    <row r="693" spans="19:53" x14ac:dyDescent="0.25">
      <c r="S693" s="28">
        <f t="shared" si="91"/>
        <v>0.68100000000000049</v>
      </c>
      <c r="T693">
        <v>0.77739799188207648</v>
      </c>
      <c r="U693" s="28">
        <f t="shared" si="88"/>
        <v>0.64853261987969035</v>
      </c>
      <c r="AI693" s="28">
        <f t="shared" si="92"/>
        <v>0.68100000000000049</v>
      </c>
      <c r="AJ693">
        <v>0.67647328104495374</v>
      </c>
      <c r="AK693" s="28">
        <f t="shared" si="89"/>
        <v>0.25865882082306857</v>
      </c>
      <c r="AY693" s="28">
        <f t="shared" si="93"/>
        <v>0.68100000000000049</v>
      </c>
      <c r="AZ693">
        <v>0.28809472945341352</v>
      </c>
      <c r="BA693" s="28">
        <f t="shared" si="90"/>
        <v>0.28809472945341352</v>
      </c>
    </row>
    <row r="694" spans="19:53" x14ac:dyDescent="0.25">
      <c r="S694" s="28">
        <f t="shared" si="91"/>
        <v>0.68200000000000049</v>
      </c>
      <c r="T694">
        <v>0.9098483230079043</v>
      </c>
      <c r="U694" s="28">
        <f t="shared" si="88"/>
        <v>0.748687210092567</v>
      </c>
      <c r="AI694" s="28">
        <f t="shared" si="92"/>
        <v>0.68200000000000049</v>
      </c>
      <c r="AJ694">
        <v>0.34784997100741599</v>
      </c>
      <c r="AK694" s="28">
        <f t="shared" si="89"/>
        <v>0.16921333281466078</v>
      </c>
      <c r="AY694" s="28">
        <f t="shared" si="93"/>
        <v>0.68200000000000049</v>
      </c>
      <c r="AZ694">
        <v>0.76033814508499409</v>
      </c>
      <c r="BA694" s="28">
        <f t="shared" si="90"/>
        <v>0.76033814508499409</v>
      </c>
    </row>
    <row r="695" spans="19:53" x14ac:dyDescent="0.25">
      <c r="S695" s="28">
        <f t="shared" si="91"/>
        <v>0.6830000000000005</v>
      </c>
      <c r="T695">
        <v>0.81945249794000063</v>
      </c>
      <c r="U695" s="28">
        <f t="shared" si="88"/>
        <v>0.67593738198267395</v>
      </c>
      <c r="AI695" s="28">
        <f t="shared" si="92"/>
        <v>0.6830000000000005</v>
      </c>
      <c r="AJ695">
        <v>0.45658742027039401</v>
      </c>
      <c r="AK695" s="28">
        <f t="shared" si="89"/>
        <v>0.1968346439111871</v>
      </c>
      <c r="AY695" s="28">
        <f t="shared" si="93"/>
        <v>0.6830000000000005</v>
      </c>
      <c r="AZ695">
        <v>0.44364757225257118</v>
      </c>
      <c r="BA695" s="28">
        <f t="shared" si="90"/>
        <v>0.44364757225257118</v>
      </c>
    </row>
    <row r="696" spans="19:53" x14ac:dyDescent="0.25">
      <c r="S696" s="28">
        <f t="shared" si="91"/>
        <v>0.6840000000000005</v>
      </c>
      <c r="T696">
        <v>0.87038789025543994</v>
      </c>
      <c r="U696" s="28">
        <f t="shared" si="88"/>
        <v>0.71365912331510128</v>
      </c>
      <c r="AI696" s="28">
        <f t="shared" si="92"/>
        <v>0.6840000000000005</v>
      </c>
      <c r="AJ696">
        <v>0.53456221198156684</v>
      </c>
      <c r="AK696" s="28">
        <f t="shared" si="89"/>
        <v>0.21727846744180435</v>
      </c>
      <c r="AY696" s="28">
        <f t="shared" si="93"/>
        <v>0.6840000000000005</v>
      </c>
      <c r="AZ696">
        <v>0.99957274086733605</v>
      </c>
      <c r="BA696" s="28">
        <f t="shared" si="90"/>
        <v>0.99957274086733605</v>
      </c>
    </row>
    <row r="697" spans="19:53" x14ac:dyDescent="0.25">
      <c r="S697" s="28">
        <f t="shared" si="91"/>
        <v>0.6850000000000005</v>
      </c>
      <c r="T697">
        <v>0.77617725150303662</v>
      </c>
      <c r="U697" s="28">
        <f t="shared" si="88"/>
        <v>0.6477734607554736</v>
      </c>
      <c r="AI697" s="28">
        <f t="shared" si="92"/>
        <v>0.6850000000000005</v>
      </c>
      <c r="AJ697">
        <v>0.26920377208777124</v>
      </c>
      <c r="AK697" s="28">
        <f t="shared" si="89"/>
        <v>0.14889738583667961</v>
      </c>
      <c r="AY697" s="28">
        <f t="shared" si="93"/>
        <v>0.6850000000000005</v>
      </c>
      <c r="AZ697">
        <v>0.29709768974883266</v>
      </c>
      <c r="BA697" s="28">
        <f t="shared" si="90"/>
        <v>0.29709768974883266</v>
      </c>
    </row>
    <row r="698" spans="19:53" x14ac:dyDescent="0.25">
      <c r="S698" s="28">
        <f t="shared" si="91"/>
        <v>0.6860000000000005</v>
      </c>
      <c r="T698">
        <v>0.18912320322275461</v>
      </c>
      <c r="U698" s="28">
        <f t="shared" si="88"/>
        <v>0.32987094952741286</v>
      </c>
      <c r="AI698" s="28">
        <f t="shared" si="92"/>
        <v>0.6860000000000005</v>
      </c>
      <c r="AJ698">
        <v>0.11593981749931333</v>
      </c>
      <c r="AK698" s="28">
        <f t="shared" si="89"/>
        <v>0.10328331508581022</v>
      </c>
      <c r="AY698" s="28">
        <f t="shared" si="93"/>
        <v>0.6860000000000005</v>
      </c>
      <c r="AZ698">
        <v>0.66048158207953123</v>
      </c>
      <c r="BA698" s="28">
        <f t="shared" si="90"/>
        <v>0.66048158207953123</v>
      </c>
    </row>
    <row r="699" spans="19:53" x14ac:dyDescent="0.25">
      <c r="S699" s="28">
        <f t="shared" si="91"/>
        <v>0.6870000000000005</v>
      </c>
      <c r="T699">
        <v>0.14069032868434705</v>
      </c>
      <c r="U699" s="28">
        <f t="shared" si="88"/>
        <v>0.29510750336546937</v>
      </c>
      <c r="AI699" s="28">
        <f t="shared" si="92"/>
        <v>0.6870000000000005</v>
      </c>
      <c r="AJ699">
        <v>5.4078798791467028E-2</v>
      </c>
      <c r="AK699" s="28">
        <f t="shared" si="89"/>
        <v>7.7140305196677139E-2</v>
      </c>
      <c r="AY699" s="28">
        <f t="shared" si="93"/>
        <v>0.6870000000000005</v>
      </c>
      <c r="AZ699">
        <v>0.84670552690206613</v>
      </c>
      <c r="BA699" s="28">
        <f t="shared" si="90"/>
        <v>0.84670552690206613</v>
      </c>
    </row>
    <row r="700" spans="19:53" x14ac:dyDescent="0.25">
      <c r="S700" s="28">
        <f t="shared" si="91"/>
        <v>0.6880000000000005</v>
      </c>
      <c r="T700">
        <v>0.47007660145878477</v>
      </c>
      <c r="U700" s="28">
        <f t="shared" si="88"/>
        <v>0.48505331967244902</v>
      </c>
      <c r="AI700" s="28">
        <f t="shared" si="92"/>
        <v>0.6880000000000005</v>
      </c>
      <c r="AJ700">
        <v>0.41355632190923797</v>
      </c>
      <c r="AK700" s="28">
        <f t="shared" si="89"/>
        <v>0.18586175285979553</v>
      </c>
      <c r="AY700" s="28">
        <f t="shared" si="93"/>
        <v>0.6880000000000005</v>
      </c>
      <c r="AZ700">
        <v>0.82573931089205599</v>
      </c>
      <c r="BA700" s="28">
        <f t="shared" si="90"/>
        <v>0.82573931089205599</v>
      </c>
    </row>
    <row r="701" spans="19:53" x14ac:dyDescent="0.25">
      <c r="S701" s="28">
        <f t="shared" si="91"/>
        <v>0.6890000000000005</v>
      </c>
      <c r="T701">
        <v>0.16373180333872495</v>
      </c>
      <c r="U701" s="28">
        <f t="shared" si="88"/>
        <v>0.31227661493872805</v>
      </c>
      <c r="AI701" s="28">
        <f t="shared" si="92"/>
        <v>0.6890000000000005</v>
      </c>
      <c r="AJ701">
        <v>0.48698385570848718</v>
      </c>
      <c r="AK701" s="28">
        <f t="shared" si="89"/>
        <v>0.2046925188595885</v>
      </c>
      <c r="AY701" s="28">
        <f t="shared" si="93"/>
        <v>0.6890000000000005</v>
      </c>
      <c r="AZ701">
        <v>0.67546617023224587</v>
      </c>
      <c r="BA701" s="28">
        <f t="shared" si="90"/>
        <v>0.67546617023224587</v>
      </c>
    </row>
    <row r="702" spans="19:53" x14ac:dyDescent="0.25">
      <c r="S702" s="28">
        <f t="shared" si="91"/>
        <v>0.6900000000000005</v>
      </c>
      <c r="T702">
        <v>0.83581041901913511</v>
      </c>
      <c r="U702" s="28">
        <f t="shared" si="88"/>
        <v>0.68739494204507223</v>
      </c>
      <c r="AI702" s="28">
        <f t="shared" si="92"/>
        <v>0.6900000000000005</v>
      </c>
      <c r="AJ702">
        <v>0.29105502487258522</v>
      </c>
      <c r="AK702" s="28">
        <f t="shared" si="89"/>
        <v>0.15463096285838587</v>
      </c>
      <c r="AY702" s="28">
        <f t="shared" si="93"/>
        <v>0.6900000000000005</v>
      </c>
      <c r="AZ702">
        <v>6.5981017487105928E-2</v>
      </c>
      <c r="BA702" s="28">
        <f t="shared" si="90"/>
        <v>6.5981017487105914E-2</v>
      </c>
    </row>
    <row r="703" spans="19:53" x14ac:dyDescent="0.25">
      <c r="S703" s="28">
        <f t="shared" si="91"/>
        <v>0.6910000000000005</v>
      </c>
      <c r="T703">
        <v>0.66539506210516675</v>
      </c>
      <c r="U703" s="28">
        <f t="shared" si="88"/>
        <v>0.5844544707171242</v>
      </c>
      <c r="AI703" s="28">
        <f t="shared" si="92"/>
        <v>0.6910000000000005</v>
      </c>
      <c r="AJ703">
        <v>0.86581011383404038</v>
      </c>
      <c r="AK703" s="28">
        <f t="shared" si="89"/>
        <v>0.3378934532448894</v>
      </c>
      <c r="AY703" s="28">
        <f t="shared" si="93"/>
        <v>0.6910000000000005</v>
      </c>
      <c r="AZ703">
        <v>0.67415387432477802</v>
      </c>
      <c r="BA703" s="28">
        <f t="shared" si="90"/>
        <v>0.67415387432477802</v>
      </c>
    </row>
    <row r="704" spans="19:53" x14ac:dyDescent="0.25">
      <c r="S704" s="28">
        <f t="shared" si="91"/>
        <v>0.6920000000000005</v>
      </c>
      <c r="T704">
        <v>0.82436597796563615</v>
      </c>
      <c r="U704" s="28">
        <f t="shared" si="88"/>
        <v>0.67932431129360604</v>
      </c>
      <c r="AI704" s="28">
        <f t="shared" si="92"/>
        <v>0.6920000000000005</v>
      </c>
      <c r="AJ704">
        <v>0.50047303689687794</v>
      </c>
      <c r="AK704" s="28">
        <f t="shared" si="89"/>
        <v>0.20822025952463885</v>
      </c>
      <c r="AY704" s="28">
        <f t="shared" si="93"/>
        <v>0.6920000000000005</v>
      </c>
      <c r="AZ704">
        <v>0.21320230719931638</v>
      </c>
      <c r="BA704" s="28">
        <f t="shared" si="90"/>
        <v>0.21320230719931638</v>
      </c>
    </row>
    <row r="705" spans="19:53" x14ac:dyDescent="0.25">
      <c r="S705" s="28">
        <f t="shared" si="91"/>
        <v>0.6930000000000005</v>
      </c>
      <c r="T705">
        <v>0.3490707113864559</v>
      </c>
      <c r="U705" s="28">
        <f t="shared" si="88"/>
        <v>0.42323594848254864</v>
      </c>
      <c r="AI705" s="28">
        <f t="shared" si="92"/>
        <v>0.6930000000000005</v>
      </c>
      <c r="AJ705">
        <v>6.0335093234046448E-2</v>
      </c>
      <c r="AK705" s="28">
        <f t="shared" si="89"/>
        <v>8.0321482765087465E-2</v>
      </c>
      <c r="AY705" s="28">
        <f t="shared" si="93"/>
        <v>0.6930000000000005</v>
      </c>
      <c r="AZ705">
        <v>0.89764091921750544</v>
      </c>
      <c r="BA705" s="28">
        <f t="shared" si="90"/>
        <v>0.89764091921750544</v>
      </c>
    </row>
    <row r="706" spans="19:53" x14ac:dyDescent="0.25">
      <c r="S706" s="28">
        <f t="shared" si="91"/>
        <v>0.69400000000000051</v>
      </c>
      <c r="T706">
        <v>0.43571275978881191</v>
      </c>
      <c r="U706" s="28">
        <f t="shared" si="88"/>
        <v>0.4678052534737242</v>
      </c>
      <c r="AI706" s="28">
        <f t="shared" si="92"/>
        <v>0.69400000000000051</v>
      </c>
      <c r="AJ706">
        <v>0.86745811334574419</v>
      </c>
      <c r="AK706" s="28">
        <f t="shared" si="89"/>
        <v>0.33886990222574798</v>
      </c>
      <c r="AY706" s="28">
        <f t="shared" si="93"/>
        <v>0.69400000000000051</v>
      </c>
      <c r="AZ706">
        <v>0.26325266273995179</v>
      </c>
      <c r="BA706" s="28">
        <f t="shared" si="90"/>
        <v>0.26325266273995179</v>
      </c>
    </row>
    <row r="707" spans="19:53" x14ac:dyDescent="0.25">
      <c r="S707" s="28">
        <f t="shared" si="91"/>
        <v>0.69500000000000051</v>
      </c>
      <c r="T707">
        <v>0.69676808984649186</v>
      </c>
      <c r="U707" s="28">
        <f t="shared" si="88"/>
        <v>0.60149324933981685</v>
      </c>
      <c r="AI707" s="28">
        <f t="shared" si="92"/>
        <v>0.69500000000000051</v>
      </c>
      <c r="AJ707">
        <v>0.85079500717184975</v>
      </c>
      <c r="AK707" s="28">
        <f t="shared" si="89"/>
        <v>0.32938758913677513</v>
      </c>
      <c r="AY707" s="28">
        <f t="shared" si="93"/>
        <v>0.69500000000000051</v>
      </c>
      <c r="AZ707">
        <v>0.43855098117007968</v>
      </c>
      <c r="BA707" s="28">
        <f t="shared" si="90"/>
        <v>0.43855098117007968</v>
      </c>
    </row>
    <row r="708" spans="19:53" x14ac:dyDescent="0.25">
      <c r="S708" s="28">
        <f t="shared" si="91"/>
        <v>0.69600000000000051</v>
      </c>
      <c r="T708">
        <v>0.34034241767632067</v>
      </c>
      <c r="U708" s="28">
        <f t="shared" si="88"/>
        <v>0.41860699581722449</v>
      </c>
      <c r="AI708" s="28">
        <f t="shared" si="92"/>
        <v>0.69600000000000051</v>
      </c>
      <c r="AJ708">
        <v>0.59257789849543752</v>
      </c>
      <c r="AK708" s="28">
        <f t="shared" si="89"/>
        <v>0.23332347281651011</v>
      </c>
      <c r="AY708" s="28">
        <f t="shared" si="93"/>
        <v>0.69600000000000051</v>
      </c>
      <c r="AZ708">
        <v>9.552293465987122E-3</v>
      </c>
      <c r="BA708" s="28">
        <f t="shared" si="90"/>
        <v>9.5522934659871255E-3</v>
      </c>
    </row>
    <row r="709" spans="19:53" x14ac:dyDescent="0.25">
      <c r="S709" s="28">
        <f t="shared" si="91"/>
        <v>0.69700000000000051</v>
      </c>
      <c r="T709">
        <v>0.66005432294686728</v>
      </c>
      <c r="U709" s="28">
        <f t="shared" si="88"/>
        <v>0.58160421247523764</v>
      </c>
      <c r="AI709" s="28">
        <f t="shared" si="92"/>
        <v>0.69700000000000051</v>
      </c>
      <c r="AJ709">
        <v>7.4587237159337141E-2</v>
      </c>
      <c r="AK709" s="28">
        <f t="shared" si="89"/>
        <v>8.6971614346264145E-2</v>
      </c>
      <c r="AY709" s="28">
        <f t="shared" si="93"/>
        <v>0.69700000000000051</v>
      </c>
      <c r="AZ709">
        <v>0.76519058809167761</v>
      </c>
      <c r="BA709" s="28">
        <f t="shared" si="90"/>
        <v>0.76519058809167761</v>
      </c>
    </row>
    <row r="710" spans="19:53" x14ac:dyDescent="0.25">
      <c r="S710" s="28">
        <f t="shared" si="91"/>
        <v>0.69800000000000051</v>
      </c>
      <c r="T710">
        <v>0.85732596819971307</v>
      </c>
      <c r="U710" s="28">
        <f t="shared" si="88"/>
        <v>0.70336086314224633</v>
      </c>
      <c r="AI710" s="28">
        <f t="shared" si="92"/>
        <v>0.69800000000000051</v>
      </c>
      <c r="AJ710">
        <v>0.65800958281197541</v>
      </c>
      <c r="AK710" s="28">
        <f t="shared" si="89"/>
        <v>0.25280181380989664</v>
      </c>
      <c r="AY710" s="28">
        <f t="shared" si="93"/>
        <v>0.69800000000000051</v>
      </c>
      <c r="AZ710">
        <v>0.31455427716910306</v>
      </c>
      <c r="BA710" s="28">
        <f t="shared" si="90"/>
        <v>0.31455427716910306</v>
      </c>
    </row>
    <row r="711" spans="19:53" x14ac:dyDescent="0.25">
      <c r="S711" s="28">
        <f t="shared" si="91"/>
        <v>0.69900000000000051</v>
      </c>
      <c r="T711">
        <v>0.57344279305398727</v>
      </c>
      <c r="U711" s="28">
        <f t="shared" si="88"/>
        <v>0.53681724604155268</v>
      </c>
      <c r="AI711" s="28">
        <f t="shared" si="92"/>
        <v>0.69900000000000051</v>
      </c>
      <c r="AJ711">
        <v>0.86385692922757651</v>
      </c>
      <c r="AK711" s="28">
        <f t="shared" si="89"/>
        <v>0.33674782508119261</v>
      </c>
      <c r="AY711" s="28">
        <f t="shared" si="93"/>
        <v>0.69900000000000051</v>
      </c>
      <c r="AZ711">
        <v>5.1118503372295294E-2</v>
      </c>
      <c r="BA711" s="28">
        <f t="shared" si="90"/>
        <v>5.1118503372295288E-2</v>
      </c>
    </row>
    <row r="712" spans="19:53" x14ac:dyDescent="0.25">
      <c r="S712" s="28">
        <f t="shared" si="91"/>
        <v>0.70000000000000051</v>
      </c>
      <c r="T712">
        <v>0.67070528275399033</v>
      </c>
      <c r="U712" s="28">
        <f t="shared" si="88"/>
        <v>0.58730190789051273</v>
      </c>
      <c r="AI712" s="28">
        <f t="shared" si="92"/>
        <v>0.70000000000000051</v>
      </c>
      <c r="AJ712">
        <v>0.7449568163090915</v>
      </c>
      <c r="AK712" s="28">
        <f t="shared" si="89"/>
        <v>0.28234479636588716</v>
      </c>
      <c r="AY712" s="28">
        <f t="shared" si="93"/>
        <v>0.70000000000000051</v>
      </c>
      <c r="AZ712">
        <v>0.68672750022888884</v>
      </c>
      <c r="BA712" s="28">
        <f t="shared" si="90"/>
        <v>0.68672750022888884</v>
      </c>
    </row>
    <row r="713" spans="19:53" x14ac:dyDescent="0.25">
      <c r="S713" s="28">
        <f t="shared" si="91"/>
        <v>0.70100000000000051</v>
      </c>
      <c r="T713">
        <v>0.63359477523117769</v>
      </c>
      <c r="U713" s="28">
        <f t="shared" si="88"/>
        <v>0.56766350510823971</v>
      </c>
      <c r="AI713" s="28">
        <f t="shared" si="92"/>
        <v>0.70100000000000051</v>
      </c>
      <c r="AJ713">
        <v>5.6154057435834834E-3</v>
      </c>
      <c r="AK713" s="28">
        <f t="shared" si="89"/>
        <v>3.559515377892522E-2</v>
      </c>
      <c r="AY713" s="28">
        <f t="shared" si="93"/>
        <v>0.70100000000000051</v>
      </c>
      <c r="AZ713">
        <v>0.74559770500808742</v>
      </c>
      <c r="BA713" s="28">
        <f t="shared" si="90"/>
        <v>0.74559770500808742</v>
      </c>
    </row>
    <row r="714" spans="19:53" x14ac:dyDescent="0.25">
      <c r="S714" s="28">
        <f t="shared" si="91"/>
        <v>0.70200000000000051</v>
      </c>
      <c r="T714">
        <v>0.5059663686025575</v>
      </c>
      <c r="U714" s="28">
        <f t="shared" si="88"/>
        <v>0.50297815082865727</v>
      </c>
      <c r="AI714" s="28">
        <f t="shared" si="92"/>
        <v>0.70200000000000051</v>
      </c>
      <c r="AJ714">
        <v>0.81185338908047733</v>
      </c>
      <c r="AK714" s="28">
        <f t="shared" si="89"/>
        <v>0.30994407995140627</v>
      </c>
      <c r="AY714" s="28">
        <f t="shared" si="93"/>
        <v>0.70200000000000051</v>
      </c>
      <c r="AZ714">
        <v>0.66771446882534258</v>
      </c>
      <c r="BA714" s="28">
        <f t="shared" si="90"/>
        <v>0.66771446882534258</v>
      </c>
    </row>
    <row r="715" spans="19:53" x14ac:dyDescent="0.25">
      <c r="S715" s="28">
        <f t="shared" si="91"/>
        <v>0.70300000000000051</v>
      </c>
      <c r="T715">
        <v>0.53089999084444717</v>
      </c>
      <c r="U715" s="28">
        <f t="shared" si="88"/>
        <v>0.51543521712791018</v>
      </c>
      <c r="AI715" s="28">
        <f t="shared" si="92"/>
        <v>0.70300000000000051</v>
      </c>
      <c r="AJ715">
        <v>0.22757652516251106</v>
      </c>
      <c r="AK715" s="28">
        <f t="shared" si="89"/>
        <v>0.13765749283996095</v>
      </c>
      <c r="AY715" s="28">
        <f t="shared" si="93"/>
        <v>0.70300000000000051</v>
      </c>
      <c r="AZ715">
        <v>0.11822870571001312</v>
      </c>
      <c r="BA715" s="28">
        <f t="shared" si="90"/>
        <v>0.11822870571001312</v>
      </c>
    </row>
    <row r="716" spans="19:53" x14ac:dyDescent="0.25">
      <c r="S716" s="28">
        <f t="shared" si="91"/>
        <v>0.70400000000000051</v>
      </c>
      <c r="T716">
        <v>0.25397503585924863</v>
      </c>
      <c r="U716" s="28">
        <f t="shared" si="88"/>
        <v>0.37045672049907519</v>
      </c>
      <c r="AI716" s="28">
        <f t="shared" si="92"/>
        <v>0.70400000000000051</v>
      </c>
      <c r="AJ716">
        <v>0.17984557634205145</v>
      </c>
      <c r="AK716" s="28">
        <f t="shared" si="89"/>
        <v>0.12398391037426222</v>
      </c>
      <c r="AY716" s="28">
        <f t="shared" si="93"/>
        <v>0.70400000000000051</v>
      </c>
      <c r="AZ716">
        <v>7.6509903256324965E-2</v>
      </c>
      <c r="BA716" s="28">
        <f t="shared" si="90"/>
        <v>7.6509903256324965E-2</v>
      </c>
    </row>
    <row r="717" spans="19:53" x14ac:dyDescent="0.25">
      <c r="S717" s="28">
        <f t="shared" si="91"/>
        <v>0.70500000000000052</v>
      </c>
      <c r="T717">
        <v>1.8646809289834285E-2</v>
      </c>
      <c r="U717" s="28">
        <f t="shared" ref="U717:U780" si="94">_xlfn.BETA.INV(T717,$V$5,$V$6,0,1)</f>
        <v>0.14792366624556094</v>
      </c>
      <c r="AI717" s="28">
        <f t="shared" si="92"/>
        <v>0.70500000000000052</v>
      </c>
      <c r="AJ717">
        <v>0.11682485427411725</v>
      </c>
      <c r="AK717" s="28">
        <f t="shared" ref="AK717:AK780" si="95">_xlfn.BETA.INV(AJ717,$AL$5,$AL$6,0,1)</f>
        <v>0.10359915626510136</v>
      </c>
      <c r="AY717" s="28">
        <f t="shared" si="93"/>
        <v>0.70500000000000052</v>
      </c>
      <c r="AZ717">
        <v>0.89068269905697806</v>
      </c>
      <c r="BA717" s="28">
        <f t="shared" ref="BA717:BA780" si="96">_xlfn.BETA.INV(AZ717,$BB$5,$BB$6,0,1)</f>
        <v>0.89068269905697806</v>
      </c>
    </row>
    <row r="718" spans="19:53" x14ac:dyDescent="0.25">
      <c r="S718" s="28">
        <f t="shared" si="91"/>
        <v>0.70600000000000052</v>
      </c>
      <c r="T718">
        <v>0.43995483260597551</v>
      </c>
      <c r="U718" s="28">
        <f t="shared" si="94"/>
        <v>0.469942421496782</v>
      </c>
      <c r="AI718" s="28">
        <f t="shared" si="92"/>
        <v>0.70600000000000052</v>
      </c>
      <c r="AJ718">
        <v>0.24814600054933317</v>
      </c>
      <c r="AK718" s="28">
        <f t="shared" si="95"/>
        <v>0.14327250866499514</v>
      </c>
      <c r="AY718" s="28">
        <f t="shared" si="93"/>
        <v>0.70600000000000052</v>
      </c>
      <c r="AZ718">
        <v>2.5208288827173683E-2</v>
      </c>
      <c r="BA718" s="28">
        <f t="shared" si="96"/>
        <v>2.5208288827173679E-2</v>
      </c>
    </row>
    <row r="719" spans="19:53" x14ac:dyDescent="0.25">
      <c r="S719" s="28">
        <f t="shared" ref="S719:S782" si="97">S718+0.001</f>
        <v>0.70700000000000052</v>
      </c>
      <c r="T719">
        <v>0.97888119144260999</v>
      </c>
      <c r="U719" s="28">
        <f t="shared" si="94"/>
        <v>0.84597587402213736</v>
      </c>
      <c r="AI719" s="28">
        <f t="shared" ref="AI719:AI782" si="98">AI718+0.001</f>
        <v>0.70700000000000052</v>
      </c>
      <c r="AJ719">
        <v>0.5561082796716208</v>
      </c>
      <c r="AK719" s="28">
        <f t="shared" si="95"/>
        <v>0.22313180099051377</v>
      </c>
      <c r="AY719" s="28">
        <f t="shared" ref="AY719:AY782" si="99">AY718+0.001</f>
        <v>0.70700000000000052</v>
      </c>
      <c r="AZ719">
        <v>0.45854060487685783</v>
      </c>
      <c r="BA719" s="28">
        <f t="shared" si="96"/>
        <v>0.45854060487685783</v>
      </c>
    </row>
    <row r="720" spans="19:53" x14ac:dyDescent="0.25">
      <c r="S720" s="28">
        <f t="shared" si="97"/>
        <v>0.70800000000000052</v>
      </c>
      <c r="T720">
        <v>0.60759300515762815</v>
      </c>
      <c r="U720" s="28">
        <f t="shared" si="94"/>
        <v>0.55420993059043333</v>
      </c>
      <c r="AI720" s="28">
        <f t="shared" si="98"/>
        <v>0.70800000000000052</v>
      </c>
      <c r="AJ720">
        <v>0.44010742515335549</v>
      </c>
      <c r="AK720" s="28">
        <f t="shared" si="95"/>
        <v>0.19261614281240541</v>
      </c>
      <c r="AY720" s="28">
        <f t="shared" si="99"/>
        <v>0.70800000000000052</v>
      </c>
      <c r="AZ720">
        <v>0.44413586840418712</v>
      </c>
      <c r="BA720" s="28">
        <f t="shared" si="96"/>
        <v>0.44413586840418712</v>
      </c>
    </row>
    <row r="721" spans="19:53" x14ac:dyDescent="0.25">
      <c r="S721" s="28">
        <f t="shared" si="97"/>
        <v>0.70900000000000052</v>
      </c>
      <c r="T721">
        <v>0.52354503006073183</v>
      </c>
      <c r="U721" s="28">
        <f t="shared" si="94"/>
        <v>0.51175750279524568</v>
      </c>
      <c r="AI721" s="28">
        <f t="shared" si="98"/>
        <v>0.70900000000000052</v>
      </c>
      <c r="AJ721">
        <v>0.1239356669820246</v>
      </c>
      <c r="AK721" s="28">
        <f t="shared" si="95"/>
        <v>0.10609893177694339</v>
      </c>
      <c r="AY721" s="28">
        <f t="shared" si="99"/>
        <v>0.70900000000000052</v>
      </c>
      <c r="AZ721">
        <v>0.7414777062288278</v>
      </c>
      <c r="BA721" s="28">
        <f t="shared" si="96"/>
        <v>0.7414777062288278</v>
      </c>
    </row>
    <row r="722" spans="19:53" x14ac:dyDescent="0.25">
      <c r="S722" s="28">
        <f t="shared" si="97"/>
        <v>0.71000000000000052</v>
      </c>
      <c r="T722">
        <v>0.25373088778344066</v>
      </c>
      <c r="U722" s="28">
        <f t="shared" si="94"/>
        <v>0.37031278703494735</v>
      </c>
      <c r="AI722" s="28">
        <f t="shared" si="98"/>
        <v>0.71000000000000052</v>
      </c>
      <c r="AJ722">
        <v>0.28705710013122959</v>
      </c>
      <c r="AK722" s="28">
        <f t="shared" si="95"/>
        <v>0.15358861752634451</v>
      </c>
      <c r="AY722" s="28">
        <f t="shared" si="99"/>
        <v>0.71000000000000052</v>
      </c>
      <c r="AZ722">
        <v>0.25461592455824456</v>
      </c>
      <c r="BA722" s="28">
        <f t="shared" si="96"/>
        <v>0.25461592455824456</v>
      </c>
    </row>
    <row r="723" spans="19:53" x14ac:dyDescent="0.25">
      <c r="S723" s="28">
        <f t="shared" si="97"/>
        <v>0.71100000000000052</v>
      </c>
      <c r="T723">
        <v>0.47614978484450821</v>
      </c>
      <c r="U723" s="28">
        <f t="shared" si="94"/>
        <v>0.48808996208116917</v>
      </c>
      <c r="AI723" s="28">
        <f t="shared" si="98"/>
        <v>0.71100000000000052</v>
      </c>
      <c r="AJ723">
        <v>0.98721274452955721</v>
      </c>
      <c r="AK723" s="28">
        <f t="shared" si="95"/>
        <v>0.48686523359523648</v>
      </c>
      <c r="AY723" s="28">
        <f t="shared" si="99"/>
        <v>0.71100000000000052</v>
      </c>
      <c r="AZ723">
        <v>0.49726859340189827</v>
      </c>
      <c r="BA723" s="28">
        <f t="shared" si="96"/>
        <v>0.49726859340189827</v>
      </c>
    </row>
    <row r="724" spans="19:53" x14ac:dyDescent="0.25">
      <c r="S724" s="28">
        <f t="shared" si="97"/>
        <v>0.71200000000000052</v>
      </c>
      <c r="T724">
        <v>0.52833643604846336</v>
      </c>
      <c r="U724" s="28">
        <f t="shared" si="94"/>
        <v>0.51415295276473616</v>
      </c>
      <c r="AI724" s="28">
        <f t="shared" si="98"/>
        <v>0.71200000000000052</v>
      </c>
      <c r="AJ724">
        <v>0.31797235023041476</v>
      </c>
      <c r="AK724" s="28">
        <f t="shared" si="95"/>
        <v>0.16158631839339851</v>
      </c>
      <c r="AY724" s="28">
        <f t="shared" si="99"/>
        <v>0.71200000000000052</v>
      </c>
      <c r="AZ724">
        <v>0.93041779839472638</v>
      </c>
      <c r="BA724" s="28">
        <f t="shared" si="96"/>
        <v>0.93041779839472638</v>
      </c>
    </row>
    <row r="725" spans="19:53" x14ac:dyDescent="0.25">
      <c r="S725" s="28">
        <f t="shared" si="97"/>
        <v>0.71300000000000052</v>
      </c>
      <c r="T725">
        <v>0.83828241828669092</v>
      </c>
      <c r="U725" s="28">
        <f t="shared" si="94"/>
        <v>0.6891739332730038</v>
      </c>
      <c r="AI725" s="28">
        <f t="shared" si="98"/>
        <v>0.71300000000000052</v>
      </c>
      <c r="AJ725">
        <v>0.53349406414990697</v>
      </c>
      <c r="AK725" s="28">
        <f t="shared" si="95"/>
        <v>0.21699109267544447</v>
      </c>
      <c r="AY725" s="28">
        <f t="shared" si="99"/>
        <v>0.71300000000000052</v>
      </c>
      <c r="AZ725">
        <v>0.12576677755058444</v>
      </c>
      <c r="BA725" s="28">
        <f t="shared" si="96"/>
        <v>0.12576677755058444</v>
      </c>
    </row>
    <row r="726" spans="19:53" x14ac:dyDescent="0.25">
      <c r="S726" s="28">
        <f t="shared" si="97"/>
        <v>0.71400000000000052</v>
      </c>
      <c r="T726">
        <v>0.13538010803552356</v>
      </c>
      <c r="U726" s="28">
        <f t="shared" si="94"/>
        <v>0.29095183926678853</v>
      </c>
      <c r="AI726" s="28">
        <f t="shared" si="98"/>
        <v>0.71400000000000052</v>
      </c>
      <c r="AJ726">
        <v>0.25910214545121618</v>
      </c>
      <c r="AK726" s="28">
        <f t="shared" si="95"/>
        <v>0.14621285714005613</v>
      </c>
      <c r="AY726" s="28">
        <f t="shared" si="99"/>
        <v>0.71400000000000052</v>
      </c>
      <c r="AZ726">
        <v>0.62105166783654286</v>
      </c>
      <c r="BA726" s="28">
        <f t="shared" si="96"/>
        <v>0.62105166783654286</v>
      </c>
    </row>
    <row r="727" spans="19:53" x14ac:dyDescent="0.25">
      <c r="S727" s="28">
        <f t="shared" si="97"/>
        <v>0.71500000000000052</v>
      </c>
      <c r="T727">
        <v>0.18372142704550309</v>
      </c>
      <c r="U727" s="28">
        <f t="shared" si="94"/>
        <v>0.32622717187458317</v>
      </c>
      <c r="AI727" s="28">
        <f t="shared" si="98"/>
        <v>0.71500000000000052</v>
      </c>
      <c r="AJ727">
        <v>0.47877437665944395</v>
      </c>
      <c r="AK727" s="28">
        <f t="shared" si="95"/>
        <v>0.20255872948030562</v>
      </c>
      <c r="AY727" s="28">
        <f t="shared" si="99"/>
        <v>0.71500000000000052</v>
      </c>
      <c r="AZ727">
        <v>0.69347209082308425</v>
      </c>
      <c r="BA727" s="28">
        <f t="shared" si="96"/>
        <v>0.69347209082308425</v>
      </c>
    </row>
    <row r="728" spans="19:53" x14ac:dyDescent="0.25">
      <c r="S728" s="28">
        <f t="shared" si="97"/>
        <v>0.71600000000000052</v>
      </c>
      <c r="T728">
        <v>0.85775322733237713</v>
      </c>
      <c r="U728" s="28">
        <f t="shared" si="94"/>
        <v>0.70368982624577758</v>
      </c>
      <c r="AI728" s="28">
        <f t="shared" si="98"/>
        <v>0.71600000000000052</v>
      </c>
      <c r="AJ728">
        <v>0.59062471388897364</v>
      </c>
      <c r="AK728" s="28">
        <f t="shared" si="95"/>
        <v>0.2327673479124408</v>
      </c>
      <c r="AY728" s="28">
        <f t="shared" si="99"/>
        <v>0.71600000000000052</v>
      </c>
      <c r="AZ728">
        <v>0.89495529038361765</v>
      </c>
      <c r="BA728" s="28">
        <f t="shared" si="96"/>
        <v>0.89495529038361765</v>
      </c>
    </row>
    <row r="729" spans="19:53" x14ac:dyDescent="0.25">
      <c r="S729" s="28">
        <f t="shared" si="97"/>
        <v>0.71700000000000053</v>
      </c>
      <c r="T729">
        <v>0.96404919583727533</v>
      </c>
      <c r="U729" s="28">
        <f t="shared" si="94"/>
        <v>0.81651613722456262</v>
      </c>
      <c r="AI729" s="28">
        <f t="shared" si="98"/>
        <v>0.71700000000000053</v>
      </c>
      <c r="AJ729">
        <v>0.56129642628254039</v>
      </c>
      <c r="AK729" s="28">
        <f t="shared" si="95"/>
        <v>0.22455849321731525</v>
      </c>
      <c r="AY729" s="28">
        <f t="shared" si="99"/>
        <v>0.71700000000000053</v>
      </c>
      <c r="AZ729">
        <v>0.25449385052034057</v>
      </c>
      <c r="BA729" s="28">
        <f t="shared" si="96"/>
        <v>0.25449385052034057</v>
      </c>
    </row>
    <row r="730" spans="19:53" x14ac:dyDescent="0.25">
      <c r="S730" s="28">
        <f t="shared" si="97"/>
        <v>0.71800000000000053</v>
      </c>
      <c r="T730">
        <v>3.7232581560716575E-3</v>
      </c>
      <c r="U730" s="28">
        <f t="shared" si="94"/>
        <v>8.8826165628675832E-2</v>
      </c>
      <c r="AI730" s="28">
        <f t="shared" si="98"/>
        <v>0.71800000000000053</v>
      </c>
      <c r="AJ730">
        <v>0.37470625934629354</v>
      </c>
      <c r="AK730" s="28">
        <f t="shared" si="95"/>
        <v>0.17602321416921474</v>
      </c>
      <c r="AY730" s="28">
        <f t="shared" si="99"/>
        <v>0.71800000000000053</v>
      </c>
      <c r="AZ730">
        <v>0.12317270424512466</v>
      </c>
      <c r="BA730" s="28">
        <f t="shared" si="96"/>
        <v>0.12317270424512468</v>
      </c>
    </row>
    <row r="731" spans="19:53" x14ac:dyDescent="0.25">
      <c r="S731" s="28">
        <f t="shared" si="97"/>
        <v>0.71900000000000053</v>
      </c>
      <c r="T731">
        <v>7.7974791711172831E-2</v>
      </c>
      <c r="U731" s="28">
        <f t="shared" si="94"/>
        <v>0.23882216525928188</v>
      </c>
      <c r="AI731" s="28">
        <f t="shared" si="98"/>
        <v>0.71900000000000053</v>
      </c>
      <c r="AJ731">
        <v>0.32605975524155401</v>
      </c>
      <c r="AK731" s="28">
        <f t="shared" si="95"/>
        <v>0.16365857730057437</v>
      </c>
      <c r="AY731" s="28">
        <f t="shared" si="99"/>
        <v>0.71900000000000053</v>
      </c>
      <c r="AZ731">
        <v>0.65694143498031554</v>
      </c>
      <c r="BA731" s="28">
        <f t="shared" si="96"/>
        <v>0.65694143498031554</v>
      </c>
    </row>
    <row r="732" spans="19:53" x14ac:dyDescent="0.25">
      <c r="S732" s="28">
        <f t="shared" si="97"/>
        <v>0.72000000000000053</v>
      </c>
      <c r="T732">
        <v>0.96816919461653494</v>
      </c>
      <c r="U732" s="28">
        <f t="shared" si="94"/>
        <v>0.82378252534702079</v>
      </c>
      <c r="AI732" s="28">
        <f t="shared" si="98"/>
        <v>0.72000000000000053</v>
      </c>
      <c r="AJ732">
        <v>9.3508713034455404E-2</v>
      </c>
      <c r="AK732" s="28">
        <f t="shared" si="95"/>
        <v>9.4867291415410726E-2</v>
      </c>
      <c r="AY732" s="28">
        <f t="shared" si="99"/>
        <v>0.72000000000000053</v>
      </c>
      <c r="AZ732">
        <v>0.19043549913022248</v>
      </c>
      <c r="BA732" s="28">
        <f t="shared" si="96"/>
        <v>0.19043549913022248</v>
      </c>
    </row>
    <row r="733" spans="19:53" x14ac:dyDescent="0.25">
      <c r="S733" s="28">
        <f t="shared" si="97"/>
        <v>0.72100000000000053</v>
      </c>
      <c r="T733">
        <v>0.38023010956144904</v>
      </c>
      <c r="U733" s="28">
        <f t="shared" si="94"/>
        <v>0.43951623025881553</v>
      </c>
      <c r="AI733" s="28">
        <f t="shared" si="98"/>
        <v>0.72100000000000053</v>
      </c>
      <c r="AJ733">
        <v>3.7476729636524556E-2</v>
      </c>
      <c r="AK733" s="28">
        <f t="shared" si="95"/>
        <v>6.7561860856441905E-2</v>
      </c>
      <c r="AY733" s="28">
        <f t="shared" si="99"/>
        <v>0.72100000000000053</v>
      </c>
      <c r="AZ733">
        <v>2.2919400616473892E-2</v>
      </c>
      <c r="BA733" s="28">
        <f t="shared" si="96"/>
        <v>2.2919400616473892E-2</v>
      </c>
    </row>
    <row r="734" spans="19:53" x14ac:dyDescent="0.25">
      <c r="S734" s="28">
        <f t="shared" si="97"/>
        <v>0.72200000000000053</v>
      </c>
      <c r="T734">
        <v>0.13211462752159184</v>
      </c>
      <c r="U734" s="28">
        <f t="shared" si="94"/>
        <v>0.28835428255824763</v>
      </c>
      <c r="AI734" s="28">
        <f t="shared" si="98"/>
        <v>0.72200000000000053</v>
      </c>
      <c r="AJ734">
        <v>0.63417462691122162</v>
      </c>
      <c r="AK734" s="28">
        <f t="shared" si="95"/>
        <v>0.24549680985316813</v>
      </c>
      <c r="AY734" s="28">
        <f t="shared" si="99"/>
        <v>0.72200000000000053</v>
      </c>
      <c r="AZ734">
        <v>0.21420941801202428</v>
      </c>
      <c r="BA734" s="28">
        <f t="shared" si="96"/>
        <v>0.21420941801202431</v>
      </c>
    </row>
    <row r="735" spans="19:53" x14ac:dyDescent="0.25">
      <c r="S735" s="28">
        <f t="shared" si="97"/>
        <v>0.72300000000000053</v>
      </c>
      <c r="T735">
        <v>0.70455030976287114</v>
      </c>
      <c r="U735" s="28">
        <f t="shared" si="94"/>
        <v>0.60580819442688272</v>
      </c>
      <c r="AI735" s="28">
        <f t="shared" si="98"/>
        <v>0.72300000000000053</v>
      </c>
      <c r="AJ735">
        <v>0.55586413159581283</v>
      </c>
      <c r="AK735" s="28">
        <f t="shared" si="95"/>
        <v>0.22306483605919059</v>
      </c>
      <c r="AY735" s="28">
        <f t="shared" si="99"/>
        <v>0.72300000000000053</v>
      </c>
      <c r="AZ735">
        <v>0.11072115237891782</v>
      </c>
      <c r="BA735" s="28">
        <f t="shared" si="96"/>
        <v>0.11072115237891782</v>
      </c>
    </row>
    <row r="736" spans="19:53" x14ac:dyDescent="0.25">
      <c r="S736" s="28">
        <f t="shared" si="97"/>
        <v>0.72400000000000053</v>
      </c>
      <c r="T736">
        <v>0.62544633320108645</v>
      </c>
      <c r="U736" s="28">
        <f t="shared" si="94"/>
        <v>0.56342399425607881</v>
      </c>
      <c r="AI736" s="28">
        <f t="shared" si="98"/>
        <v>0.72400000000000053</v>
      </c>
      <c r="AJ736">
        <v>0.16281624805444503</v>
      </c>
      <c r="AK736" s="28">
        <f t="shared" si="95"/>
        <v>0.11880666904200353</v>
      </c>
      <c r="AY736" s="28">
        <f t="shared" si="99"/>
        <v>0.72400000000000053</v>
      </c>
      <c r="AZ736">
        <v>0.90035706656086911</v>
      </c>
      <c r="BA736" s="28">
        <f t="shared" si="96"/>
        <v>0.90035706656086911</v>
      </c>
    </row>
    <row r="737" spans="19:53" x14ac:dyDescent="0.25">
      <c r="S737" s="28">
        <f t="shared" si="97"/>
        <v>0.72500000000000053</v>
      </c>
      <c r="T737">
        <v>8.0599383526108584E-2</v>
      </c>
      <c r="U737" s="28">
        <f t="shared" si="94"/>
        <v>0.24160340220177773</v>
      </c>
      <c r="AI737" s="28">
        <f t="shared" si="98"/>
        <v>0.72500000000000053</v>
      </c>
      <c r="AJ737">
        <v>0.20392468031861324</v>
      </c>
      <c r="AK737" s="28">
        <f t="shared" si="95"/>
        <v>0.13101336671742947</v>
      </c>
      <c r="AY737" s="28">
        <f t="shared" si="99"/>
        <v>0.72500000000000053</v>
      </c>
      <c r="AZ737">
        <v>0.92364268929105497</v>
      </c>
      <c r="BA737" s="28">
        <f t="shared" si="96"/>
        <v>0.92364268929105497</v>
      </c>
    </row>
    <row r="738" spans="19:53" x14ac:dyDescent="0.25">
      <c r="S738" s="28">
        <f t="shared" si="97"/>
        <v>0.72600000000000053</v>
      </c>
      <c r="T738">
        <v>0.16467787713248086</v>
      </c>
      <c r="U738" s="28">
        <f t="shared" si="94"/>
        <v>0.31295490172203039</v>
      </c>
      <c r="AI738" s="28">
        <f t="shared" si="98"/>
        <v>0.72600000000000053</v>
      </c>
      <c r="AJ738">
        <v>6.0426648762474444E-2</v>
      </c>
      <c r="AK738" s="28">
        <f t="shared" si="95"/>
        <v>8.0366693484788532E-2</v>
      </c>
      <c r="AY738" s="28">
        <f t="shared" si="99"/>
        <v>0.72600000000000053</v>
      </c>
      <c r="AZ738">
        <v>0.68861964781640062</v>
      </c>
      <c r="BA738" s="28">
        <f t="shared" si="96"/>
        <v>0.68861964781640062</v>
      </c>
    </row>
    <row r="739" spans="19:53" x14ac:dyDescent="0.25">
      <c r="S739" s="28">
        <f t="shared" si="97"/>
        <v>0.72700000000000053</v>
      </c>
      <c r="T739">
        <v>0.75469222083193455</v>
      </c>
      <c r="U739" s="28">
        <f t="shared" si="94"/>
        <v>0.63468747790425339</v>
      </c>
      <c r="AI739" s="28">
        <f t="shared" si="98"/>
        <v>0.72700000000000053</v>
      </c>
      <c r="AJ739">
        <v>0.35377056184575945</v>
      </c>
      <c r="AK739" s="28">
        <f t="shared" si="95"/>
        <v>0.17071710570523185</v>
      </c>
      <c r="AY739" s="28">
        <f t="shared" si="99"/>
        <v>0.72700000000000053</v>
      </c>
      <c r="AZ739">
        <v>0.35554063539536729</v>
      </c>
      <c r="BA739" s="28">
        <f t="shared" si="96"/>
        <v>0.35554063539536729</v>
      </c>
    </row>
    <row r="740" spans="19:53" x14ac:dyDescent="0.25">
      <c r="S740" s="28">
        <f t="shared" si="97"/>
        <v>0.72800000000000054</v>
      </c>
      <c r="T740">
        <v>0.38523514511551255</v>
      </c>
      <c r="U740" s="28">
        <f t="shared" si="94"/>
        <v>0.44210027015478692</v>
      </c>
      <c r="AI740" s="28">
        <f t="shared" si="98"/>
        <v>0.72800000000000054</v>
      </c>
      <c r="AJ740">
        <v>0.97845393230994593</v>
      </c>
      <c r="AK740" s="28">
        <f t="shared" si="95"/>
        <v>0.45870882027187965</v>
      </c>
      <c r="AY740" s="28">
        <f t="shared" si="99"/>
        <v>0.72800000000000054</v>
      </c>
      <c r="AZ740">
        <v>0.57020783104953154</v>
      </c>
      <c r="BA740" s="28">
        <f t="shared" si="96"/>
        <v>0.57020783104953154</v>
      </c>
    </row>
    <row r="741" spans="19:53" x14ac:dyDescent="0.25">
      <c r="S741" s="28">
        <f t="shared" si="97"/>
        <v>0.72900000000000054</v>
      </c>
      <c r="T741">
        <v>1.0040589617603077E-2</v>
      </c>
      <c r="U741" s="28">
        <f t="shared" si="94"/>
        <v>0.1212917580902912</v>
      </c>
      <c r="AI741" s="28">
        <f t="shared" si="98"/>
        <v>0.72900000000000054</v>
      </c>
      <c r="AJ741">
        <v>0.81057161168248548</v>
      </c>
      <c r="AK741" s="28">
        <f t="shared" si="95"/>
        <v>0.30935574338997462</v>
      </c>
      <c r="AY741" s="28">
        <f t="shared" si="99"/>
        <v>0.72900000000000054</v>
      </c>
      <c r="AZ741">
        <v>0.47651600695822016</v>
      </c>
      <c r="BA741" s="28">
        <f t="shared" si="96"/>
        <v>0.47651600695822016</v>
      </c>
    </row>
    <row r="742" spans="19:53" x14ac:dyDescent="0.25">
      <c r="S742" s="28">
        <f t="shared" si="97"/>
        <v>0.73000000000000054</v>
      </c>
      <c r="T742">
        <v>0.93130283516953027</v>
      </c>
      <c r="U742" s="28">
        <f t="shared" si="94"/>
        <v>0.77146674043377594</v>
      </c>
      <c r="AI742" s="28">
        <f t="shared" si="98"/>
        <v>0.73000000000000054</v>
      </c>
      <c r="AJ742">
        <v>3.5004730368968777E-2</v>
      </c>
      <c r="AK742" s="28">
        <f t="shared" si="95"/>
        <v>6.5943456889980864E-2</v>
      </c>
      <c r="AY742" s="28">
        <f t="shared" si="99"/>
        <v>0.73000000000000054</v>
      </c>
      <c r="AZ742">
        <v>1.6174810022278514E-2</v>
      </c>
      <c r="BA742" s="28">
        <f t="shared" si="96"/>
        <v>1.6174810022278507E-2</v>
      </c>
    </row>
    <row r="743" spans="19:53" x14ac:dyDescent="0.25">
      <c r="S743" s="28">
        <f t="shared" si="97"/>
        <v>0.73100000000000054</v>
      </c>
      <c r="T743">
        <v>0.24503311258278146</v>
      </c>
      <c r="U743" s="28">
        <f t="shared" si="94"/>
        <v>0.36514831037978429</v>
      </c>
      <c r="AI743" s="28">
        <f t="shared" si="98"/>
        <v>0.73100000000000054</v>
      </c>
      <c r="AJ743">
        <v>0.18115787224951935</v>
      </c>
      <c r="AK743" s="28">
        <f t="shared" si="95"/>
        <v>0.12437517675341694</v>
      </c>
      <c r="AY743" s="28">
        <f t="shared" si="99"/>
        <v>0.73100000000000054</v>
      </c>
      <c r="AZ743">
        <v>0.3924680318613239</v>
      </c>
      <c r="BA743" s="28">
        <f t="shared" si="96"/>
        <v>0.3924680318613239</v>
      </c>
    </row>
    <row r="744" spans="19:53" x14ac:dyDescent="0.25">
      <c r="S744" s="28">
        <f t="shared" si="97"/>
        <v>0.73200000000000054</v>
      </c>
      <c r="T744">
        <v>0.17853328043458358</v>
      </c>
      <c r="U744" s="28">
        <f t="shared" si="94"/>
        <v>0.32267957745911319</v>
      </c>
      <c r="AI744" s="28">
        <f t="shared" si="98"/>
        <v>0.73200000000000054</v>
      </c>
      <c r="AJ744">
        <v>0.8384655293435469</v>
      </c>
      <c r="AK744" s="28">
        <f t="shared" si="95"/>
        <v>0.32286729600633635</v>
      </c>
      <c r="AY744" s="28">
        <f t="shared" si="99"/>
        <v>0.73200000000000054</v>
      </c>
      <c r="AZ744">
        <v>0.46479689931943724</v>
      </c>
      <c r="BA744" s="28">
        <f t="shared" si="96"/>
        <v>0.46479689931943724</v>
      </c>
    </row>
    <row r="745" spans="19:53" x14ac:dyDescent="0.25">
      <c r="S745" s="28">
        <f t="shared" si="97"/>
        <v>0.73300000000000054</v>
      </c>
      <c r="T745">
        <v>0.93288979766228219</v>
      </c>
      <c r="U745" s="28">
        <f t="shared" si="94"/>
        <v>0.77330596496368154</v>
      </c>
      <c r="AI745" s="28">
        <f t="shared" si="98"/>
        <v>0.73300000000000054</v>
      </c>
      <c r="AJ745">
        <v>0.41682180242316963</v>
      </c>
      <c r="AK745" s="28">
        <f t="shared" si="95"/>
        <v>0.18669037139736358</v>
      </c>
      <c r="AY745" s="28">
        <f t="shared" si="99"/>
        <v>0.73300000000000054</v>
      </c>
      <c r="AZ745">
        <v>0.58320871608630631</v>
      </c>
      <c r="BA745" s="28">
        <f t="shared" si="96"/>
        <v>0.58320871608630631</v>
      </c>
    </row>
    <row r="746" spans="19:53" x14ac:dyDescent="0.25">
      <c r="S746" s="28">
        <f t="shared" si="97"/>
        <v>0.73400000000000054</v>
      </c>
      <c r="T746">
        <v>0.96777245399334699</v>
      </c>
      <c r="U746" s="28">
        <f t="shared" si="94"/>
        <v>0.82305826719205055</v>
      </c>
      <c r="AI746" s="28">
        <f t="shared" si="98"/>
        <v>0.73400000000000054</v>
      </c>
      <c r="AJ746">
        <v>1.8890957365642263E-2</v>
      </c>
      <c r="AK746" s="28">
        <f t="shared" si="95"/>
        <v>5.3227505161488976E-2</v>
      </c>
      <c r="AY746" s="28">
        <f t="shared" si="99"/>
        <v>0.73400000000000054</v>
      </c>
      <c r="AZ746">
        <v>0.90484328745384079</v>
      </c>
      <c r="BA746" s="28">
        <f t="shared" si="96"/>
        <v>0.90484328745384079</v>
      </c>
    </row>
    <row r="747" spans="19:53" x14ac:dyDescent="0.25">
      <c r="S747" s="28">
        <f t="shared" si="97"/>
        <v>0.73500000000000054</v>
      </c>
      <c r="T747">
        <v>0.58226264229255043</v>
      </c>
      <c r="U747" s="28">
        <f t="shared" si="94"/>
        <v>0.54128459690587294</v>
      </c>
      <c r="AI747" s="28">
        <f t="shared" si="98"/>
        <v>0.73500000000000054</v>
      </c>
      <c r="AJ747">
        <v>0.73766289254432815</v>
      </c>
      <c r="AK747" s="28">
        <f t="shared" si="95"/>
        <v>0.27964464637559205</v>
      </c>
      <c r="AY747" s="28">
        <f t="shared" si="99"/>
        <v>0.73500000000000054</v>
      </c>
      <c r="AZ747">
        <v>0.36014893032624284</v>
      </c>
      <c r="BA747" s="28">
        <f t="shared" si="96"/>
        <v>0.36014893032624284</v>
      </c>
    </row>
    <row r="748" spans="19:53" x14ac:dyDescent="0.25">
      <c r="S748" s="28">
        <f t="shared" si="97"/>
        <v>0.73600000000000054</v>
      </c>
      <c r="T748">
        <v>0.24283577990050967</v>
      </c>
      <c r="U748" s="28">
        <f t="shared" si="94"/>
        <v>0.36383189843579494</v>
      </c>
      <c r="AI748" s="28">
        <f t="shared" si="98"/>
        <v>0.73600000000000054</v>
      </c>
      <c r="AJ748">
        <v>0.89654225287636957</v>
      </c>
      <c r="AK748" s="28">
        <f t="shared" si="95"/>
        <v>0.35785457978569046</v>
      </c>
      <c r="AY748" s="28">
        <f t="shared" si="99"/>
        <v>0.73600000000000054</v>
      </c>
      <c r="AZ748">
        <v>0.88161870174260693</v>
      </c>
      <c r="BA748" s="28">
        <f t="shared" si="96"/>
        <v>0.88161870174260693</v>
      </c>
    </row>
    <row r="749" spans="19:53" x14ac:dyDescent="0.25">
      <c r="S749" s="28">
        <f t="shared" si="97"/>
        <v>0.73700000000000054</v>
      </c>
      <c r="T749">
        <v>0.26383251441999572</v>
      </c>
      <c r="U749" s="28">
        <f t="shared" si="94"/>
        <v>0.37622325807145424</v>
      </c>
      <c r="AI749" s="28">
        <f t="shared" si="98"/>
        <v>0.73700000000000054</v>
      </c>
      <c r="AJ749">
        <v>0.30420850245674003</v>
      </c>
      <c r="AK749" s="28">
        <f t="shared" si="95"/>
        <v>0.15804229506491002</v>
      </c>
      <c r="AY749" s="28">
        <f t="shared" si="99"/>
        <v>0.73700000000000054</v>
      </c>
      <c r="AZ749">
        <v>0.71108127079073458</v>
      </c>
      <c r="BA749" s="28">
        <f t="shared" si="96"/>
        <v>0.71108127079073458</v>
      </c>
    </row>
    <row r="750" spans="19:53" x14ac:dyDescent="0.25">
      <c r="S750" s="28">
        <f t="shared" si="97"/>
        <v>0.73800000000000054</v>
      </c>
      <c r="T750">
        <v>0.14734336375011445</v>
      </c>
      <c r="U750" s="28">
        <f t="shared" si="94"/>
        <v>0.3002019520076894</v>
      </c>
      <c r="AI750" s="28">
        <f t="shared" si="98"/>
        <v>0.73800000000000054</v>
      </c>
      <c r="AJ750">
        <v>0.43937498092593158</v>
      </c>
      <c r="AK750" s="28">
        <f t="shared" si="95"/>
        <v>0.19242919432647199</v>
      </c>
      <c r="AY750" s="28">
        <f t="shared" si="99"/>
        <v>0.73800000000000054</v>
      </c>
      <c r="AZ750">
        <v>0.37278359324930571</v>
      </c>
      <c r="BA750" s="28">
        <f t="shared" si="96"/>
        <v>0.37278359324930571</v>
      </c>
    </row>
    <row r="751" spans="19:53" x14ac:dyDescent="0.25">
      <c r="S751" s="28">
        <f t="shared" si="97"/>
        <v>0.73900000000000055</v>
      </c>
      <c r="T751">
        <v>0.29361857966856897</v>
      </c>
      <c r="U751" s="28">
        <f t="shared" si="94"/>
        <v>0.39317082723161056</v>
      </c>
      <c r="AI751" s="28">
        <f t="shared" si="98"/>
        <v>0.73900000000000055</v>
      </c>
      <c r="AJ751">
        <v>0.42548905911435286</v>
      </c>
      <c r="AK751" s="28">
        <f t="shared" si="95"/>
        <v>0.1888921891503608</v>
      </c>
      <c r="AY751" s="28">
        <f t="shared" si="99"/>
        <v>0.73900000000000055</v>
      </c>
      <c r="AZ751">
        <v>0.4426099429303873</v>
      </c>
      <c r="BA751" s="28">
        <f t="shared" si="96"/>
        <v>0.4426099429303873</v>
      </c>
    </row>
    <row r="752" spans="19:53" x14ac:dyDescent="0.25">
      <c r="S752" s="28">
        <f t="shared" si="97"/>
        <v>0.74000000000000055</v>
      </c>
      <c r="T752">
        <v>5.5543687246314893E-2</v>
      </c>
      <c r="U752" s="28">
        <f t="shared" si="94"/>
        <v>0.2124422777381729</v>
      </c>
      <c r="AI752" s="28">
        <f t="shared" si="98"/>
        <v>0.74000000000000055</v>
      </c>
      <c r="AJ752">
        <v>0.39356669820245982</v>
      </c>
      <c r="AK752" s="28">
        <f t="shared" si="95"/>
        <v>0.1807970714613738</v>
      </c>
      <c r="AY752" s="28">
        <f t="shared" si="99"/>
        <v>0.74000000000000055</v>
      </c>
      <c r="AZ752">
        <v>5.2308725241859186E-2</v>
      </c>
      <c r="BA752" s="28">
        <f t="shared" si="96"/>
        <v>5.2308725241859193E-2</v>
      </c>
    </row>
    <row r="753" spans="19:53" x14ac:dyDescent="0.25">
      <c r="S753" s="28">
        <f t="shared" si="97"/>
        <v>0.74100000000000055</v>
      </c>
      <c r="T753">
        <v>0.89364299447614981</v>
      </c>
      <c r="U753" s="28">
        <f t="shared" si="94"/>
        <v>0.733453548063283</v>
      </c>
      <c r="AI753" s="28">
        <f t="shared" si="98"/>
        <v>0.74100000000000055</v>
      </c>
      <c r="AJ753">
        <v>0.90685750907925655</v>
      </c>
      <c r="AK753" s="28">
        <f t="shared" si="95"/>
        <v>0.36558782840074644</v>
      </c>
      <c r="AY753" s="28">
        <f t="shared" si="99"/>
        <v>0.74100000000000055</v>
      </c>
      <c r="AZ753">
        <v>0.31385235145115514</v>
      </c>
      <c r="BA753" s="28">
        <f t="shared" si="96"/>
        <v>0.31385235145115514</v>
      </c>
    </row>
    <row r="754" spans="19:53" x14ac:dyDescent="0.25">
      <c r="S754" s="28">
        <f t="shared" si="97"/>
        <v>0.74200000000000055</v>
      </c>
      <c r="T754">
        <v>0.32978301339762567</v>
      </c>
      <c r="U754" s="28">
        <f t="shared" si="94"/>
        <v>0.41296050224315645</v>
      </c>
      <c r="AI754" s="28">
        <f t="shared" si="98"/>
        <v>0.74200000000000055</v>
      </c>
      <c r="AJ754">
        <v>2.4048585467085788E-2</v>
      </c>
      <c r="AK754" s="28">
        <f t="shared" si="95"/>
        <v>5.7826022870395261E-2</v>
      </c>
      <c r="AY754" s="28">
        <f t="shared" si="99"/>
        <v>0.74200000000000055</v>
      </c>
      <c r="AZ754">
        <v>0.11209448530533769</v>
      </c>
      <c r="BA754" s="28">
        <f t="shared" si="96"/>
        <v>0.11209448530533771</v>
      </c>
    </row>
    <row r="755" spans="19:53" x14ac:dyDescent="0.25">
      <c r="S755" s="28">
        <f t="shared" si="97"/>
        <v>0.74300000000000055</v>
      </c>
      <c r="T755">
        <v>0.70482497634815511</v>
      </c>
      <c r="U755" s="28">
        <f t="shared" si="94"/>
        <v>0.60596119978700913</v>
      </c>
      <c r="AI755" s="28">
        <f t="shared" si="98"/>
        <v>0.74300000000000055</v>
      </c>
      <c r="AJ755">
        <v>0.47233497116000855</v>
      </c>
      <c r="AK755" s="28">
        <f t="shared" si="95"/>
        <v>0.20089134360825001</v>
      </c>
      <c r="AY755" s="28">
        <f t="shared" si="99"/>
        <v>0.74300000000000055</v>
      </c>
      <c r="AZ755">
        <v>0.90392773216956079</v>
      </c>
      <c r="BA755" s="28">
        <f t="shared" si="96"/>
        <v>0.90392773216956079</v>
      </c>
    </row>
    <row r="756" spans="19:53" x14ac:dyDescent="0.25">
      <c r="S756" s="28">
        <f t="shared" si="97"/>
        <v>0.74400000000000055</v>
      </c>
      <c r="T756">
        <v>0.4252143925290689</v>
      </c>
      <c r="U756" s="28">
        <f t="shared" si="94"/>
        <v>0.46250355850539482</v>
      </c>
      <c r="AI756" s="28">
        <f t="shared" si="98"/>
        <v>0.74400000000000055</v>
      </c>
      <c r="AJ756">
        <v>0.91467024750511183</v>
      </c>
      <c r="AK756" s="28">
        <f t="shared" si="95"/>
        <v>0.37190600445324185</v>
      </c>
      <c r="AY756" s="28">
        <f t="shared" si="99"/>
        <v>0.74400000000000055</v>
      </c>
      <c r="AZ756">
        <v>0.66362498855555896</v>
      </c>
      <c r="BA756" s="28">
        <f t="shared" si="96"/>
        <v>0.66362498855555896</v>
      </c>
    </row>
    <row r="757" spans="19:53" x14ac:dyDescent="0.25">
      <c r="S757" s="28">
        <f t="shared" si="97"/>
        <v>0.74500000000000055</v>
      </c>
      <c r="T757">
        <v>0.53950621051667835</v>
      </c>
      <c r="U757" s="28">
        <f t="shared" si="94"/>
        <v>0.51974375479235357</v>
      </c>
      <c r="AI757" s="28">
        <f t="shared" si="98"/>
        <v>0.74500000000000055</v>
      </c>
      <c r="AJ757">
        <v>0.16528824732200079</v>
      </c>
      <c r="AK757" s="28">
        <f t="shared" si="95"/>
        <v>0.11957044986072068</v>
      </c>
      <c r="AY757" s="28">
        <f t="shared" si="99"/>
        <v>0.74500000000000055</v>
      </c>
      <c r="AZ757">
        <v>0.39469588305307168</v>
      </c>
      <c r="BA757" s="28">
        <f t="shared" si="96"/>
        <v>0.39469588305307168</v>
      </c>
    </row>
    <row r="758" spans="19:53" x14ac:dyDescent="0.25">
      <c r="S758" s="28">
        <f t="shared" si="97"/>
        <v>0.74600000000000055</v>
      </c>
      <c r="T758">
        <v>0.43406476027710805</v>
      </c>
      <c r="U758" s="28">
        <f t="shared" si="94"/>
        <v>0.46697423428700968</v>
      </c>
      <c r="AI758" s="28">
        <f t="shared" si="98"/>
        <v>0.74600000000000055</v>
      </c>
      <c r="AJ758">
        <v>0.36365855891598253</v>
      </c>
      <c r="AK758" s="28">
        <f t="shared" si="95"/>
        <v>0.17322494702217539</v>
      </c>
      <c r="AY758" s="28">
        <f t="shared" si="99"/>
        <v>0.74600000000000055</v>
      </c>
      <c r="AZ758">
        <v>0.42435987426374094</v>
      </c>
      <c r="BA758" s="28">
        <f t="shared" si="96"/>
        <v>0.42435987426374094</v>
      </c>
    </row>
    <row r="759" spans="19:53" x14ac:dyDescent="0.25">
      <c r="S759" s="28">
        <f t="shared" si="97"/>
        <v>0.74700000000000055</v>
      </c>
      <c r="T759">
        <v>0.34626300851466413</v>
      </c>
      <c r="U759" s="28">
        <f t="shared" si="94"/>
        <v>0.42175052755689602</v>
      </c>
      <c r="AI759" s="28">
        <f t="shared" si="98"/>
        <v>0.74700000000000055</v>
      </c>
      <c r="AJ759">
        <v>0.36838892788476213</v>
      </c>
      <c r="AK759" s="28">
        <f t="shared" si="95"/>
        <v>0.17442346492047367</v>
      </c>
      <c r="AY759" s="28">
        <f t="shared" si="99"/>
        <v>0.74700000000000055</v>
      </c>
      <c r="AZ759">
        <v>0.40638447218237861</v>
      </c>
      <c r="BA759" s="28">
        <f t="shared" si="96"/>
        <v>0.40638447218237861</v>
      </c>
    </row>
    <row r="760" spans="19:53" x14ac:dyDescent="0.25">
      <c r="S760" s="28">
        <f t="shared" si="97"/>
        <v>0.74800000000000055</v>
      </c>
      <c r="T760">
        <v>0.39762565996276744</v>
      </c>
      <c r="U760" s="28">
        <f t="shared" si="94"/>
        <v>0.44846597318613252</v>
      </c>
      <c r="AI760" s="28">
        <f t="shared" si="98"/>
        <v>0.74800000000000055</v>
      </c>
      <c r="AJ760">
        <v>0.70259712515640738</v>
      </c>
      <c r="AK760" s="28">
        <f t="shared" si="95"/>
        <v>0.26729072634545292</v>
      </c>
      <c r="AY760" s="28">
        <f t="shared" si="99"/>
        <v>0.74800000000000055</v>
      </c>
      <c r="AZ760">
        <v>0.52797021393475141</v>
      </c>
      <c r="BA760" s="28">
        <f t="shared" si="96"/>
        <v>0.52797021393475141</v>
      </c>
    </row>
    <row r="761" spans="19:53" x14ac:dyDescent="0.25">
      <c r="S761" s="28">
        <f t="shared" si="97"/>
        <v>0.74900000000000055</v>
      </c>
      <c r="T761">
        <v>0.65263832514419995</v>
      </c>
      <c r="U761" s="28">
        <f t="shared" si="94"/>
        <v>0.5776678209867836</v>
      </c>
      <c r="AI761" s="28">
        <f t="shared" si="98"/>
        <v>0.74900000000000055</v>
      </c>
      <c r="AJ761">
        <v>0.71105075228125858</v>
      </c>
      <c r="AK761" s="28">
        <f t="shared" si="95"/>
        <v>0.27018179819836696</v>
      </c>
      <c r="AY761" s="28">
        <f t="shared" si="99"/>
        <v>0.74900000000000055</v>
      </c>
      <c r="AZ761">
        <v>0.6181524094363231</v>
      </c>
      <c r="BA761" s="28">
        <f t="shared" si="96"/>
        <v>0.6181524094363231</v>
      </c>
    </row>
    <row r="762" spans="19:53" x14ac:dyDescent="0.25">
      <c r="S762" s="28">
        <f t="shared" si="97"/>
        <v>0.75000000000000056</v>
      </c>
      <c r="T762">
        <v>0.84154789880062253</v>
      </c>
      <c r="U762" s="28">
        <f t="shared" si="94"/>
        <v>0.6915446791227684</v>
      </c>
      <c r="AI762" s="28">
        <f t="shared" si="98"/>
        <v>0.75000000000000056</v>
      </c>
      <c r="AJ762">
        <v>0.98425244911038545</v>
      </c>
      <c r="AK762" s="28">
        <f t="shared" si="95"/>
        <v>0.47588501783388693</v>
      </c>
      <c r="AY762" s="28">
        <f t="shared" si="99"/>
        <v>0.75000000000000056</v>
      </c>
      <c r="AZ762">
        <v>0.50975066377758105</v>
      </c>
      <c r="BA762" s="28">
        <f t="shared" si="96"/>
        <v>0.50975066377758105</v>
      </c>
    </row>
    <row r="763" spans="19:53" x14ac:dyDescent="0.25">
      <c r="S763" s="28">
        <f t="shared" si="97"/>
        <v>0.75100000000000056</v>
      </c>
      <c r="T763">
        <v>0.369457075716422</v>
      </c>
      <c r="U763" s="28">
        <f t="shared" si="94"/>
        <v>0.4339270226629956</v>
      </c>
      <c r="AI763" s="28">
        <f t="shared" si="98"/>
        <v>0.75100000000000056</v>
      </c>
      <c r="AJ763">
        <v>0.77425458540604875</v>
      </c>
      <c r="AK763" s="28">
        <f t="shared" si="95"/>
        <v>0.29373602375921815</v>
      </c>
      <c r="AY763" s="28">
        <f t="shared" si="99"/>
        <v>0.75100000000000056</v>
      </c>
      <c r="AZ763">
        <v>0.26786095767082735</v>
      </c>
      <c r="BA763" s="28">
        <f t="shared" si="96"/>
        <v>0.26786095767082735</v>
      </c>
    </row>
    <row r="764" spans="19:53" x14ac:dyDescent="0.25">
      <c r="S764" s="28">
        <f t="shared" si="97"/>
        <v>0.75200000000000056</v>
      </c>
      <c r="T764">
        <v>0.13217566454054383</v>
      </c>
      <c r="U764" s="28">
        <f t="shared" si="94"/>
        <v>0.28840313984138172</v>
      </c>
      <c r="AI764" s="28">
        <f t="shared" si="98"/>
        <v>0.75200000000000056</v>
      </c>
      <c r="AJ764">
        <v>0.55937376018555252</v>
      </c>
      <c r="AK764" s="28">
        <f t="shared" si="95"/>
        <v>0.22402894953695363</v>
      </c>
      <c r="AY764" s="28">
        <f t="shared" si="99"/>
        <v>0.75200000000000056</v>
      </c>
      <c r="AZ764">
        <v>0.43638416699728383</v>
      </c>
      <c r="BA764" s="28">
        <f t="shared" si="96"/>
        <v>0.43638416699728383</v>
      </c>
    </row>
    <row r="765" spans="19:53" x14ac:dyDescent="0.25">
      <c r="S765" s="28">
        <f t="shared" si="97"/>
        <v>0.75300000000000056</v>
      </c>
      <c r="T765">
        <v>0.41340372936185799</v>
      </c>
      <c r="U765" s="28">
        <f t="shared" si="94"/>
        <v>0.45651464945113124</v>
      </c>
      <c r="AI765" s="28">
        <f t="shared" si="98"/>
        <v>0.75300000000000056</v>
      </c>
      <c r="AJ765">
        <v>0.28687398907437361</v>
      </c>
      <c r="AK765" s="28">
        <f t="shared" si="95"/>
        <v>0.15354081027705949</v>
      </c>
      <c r="AY765" s="28">
        <f t="shared" si="99"/>
        <v>0.75300000000000056</v>
      </c>
      <c r="AZ765">
        <v>0.87716299935911135</v>
      </c>
      <c r="BA765" s="28">
        <f t="shared" si="96"/>
        <v>0.87716299935911135</v>
      </c>
    </row>
    <row r="766" spans="19:53" x14ac:dyDescent="0.25">
      <c r="S766" s="28">
        <f t="shared" si="97"/>
        <v>0.75400000000000056</v>
      </c>
      <c r="T766">
        <v>0.53508102664265877</v>
      </c>
      <c r="U766" s="28">
        <f t="shared" si="94"/>
        <v>0.51752759130633619</v>
      </c>
      <c r="AI766" s="28">
        <f t="shared" si="98"/>
        <v>0.75400000000000056</v>
      </c>
      <c r="AJ766">
        <v>0.71068453016754662</v>
      </c>
      <c r="AK766" s="28">
        <f t="shared" si="95"/>
        <v>0.27005547997867885</v>
      </c>
      <c r="AY766" s="28">
        <f t="shared" si="99"/>
        <v>0.75400000000000056</v>
      </c>
      <c r="AZ766">
        <v>0.39106418042542801</v>
      </c>
      <c r="BA766" s="28">
        <f t="shared" si="96"/>
        <v>0.39106418042542801</v>
      </c>
    </row>
    <row r="767" spans="19:53" x14ac:dyDescent="0.25">
      <c r="S767" s="28">
        <f t="shared" si="97"/>
        <v>0.75500000000000056</v>
      </c>
      <c r="T767">
        <v>0.75395977660451063</v>
      </c>
      <c r="U767" s="28">
        <f t="shared" si="94"/>
        <v>0.63424994581021488</v>
      </c>
      <c r="AI767" s="28">
        <f t="shared" si="98"/>
        <v>0.75500000000000056</v>
      </c>
      <c r="AJ767">
        <v>0.55552842799157687</v>
      </c>
      <c r="AK767" s="28">
        <f t="shared" si="95"/>
        <v>0.22297278439807222</v>
      </c>
      <c r="AY767" s="28">
        <f t="shared" si="99"/>
        <v>0.75500000000000056</v>
      </c>
      <c r="AZ767">
        <v>0.81493575853755307</v>
      </c>
      <c r="BA767" s="28">
        <f t="shared" si="96"/>
        <v>0.81493575853755307</v>
      </c>
    </row>
    <row r="768" spans="19:53" x14ac:dyDescent="0.25">
      <c r="S768" s="28">
        <f t="shared" si="97"/>
        <v>0.75600000000000056</v>
      </c>
      <c r="T768">
        <v>0.4056215094454787</v>
      </c>
      <c r="U768" s="28">
        <f t="shared" si="94"/>
        <v>0.45255222543871282</v>
      </c>
      <c r="AI768" s="28">
        <f t="shared" si="98"/>
        <v>0.75600000000000056</v>
      </c>
      <c r="AJ768">
        <v>0.36698507644886624</v>
      </c>
      <c r="AK768" s="28">
        <f t="shared" si="95"/>
        <v>0.17406784203884082</v>
      </c>
      <c r="AY768" s="28">
        <f t="shared" si="99"/>
        <v>0.75600000000000056</v>
      </c>
      <c r="AZ768">
        <v>0.72411267433698534</v>
      </c>
      <c r="BA768" s="28">
        <f t="shared" si="96"/>
        <v>0.72411267433698534</v>
      </c>
    </row>
    <row r="769" spans="19:53" x14ac:dyDescent="0.25">
      <c r="S769" s="28">
        <f t="shared" si="97"/>
        <v>0.75700000000000056</v>
      </c>
      <c r="T769">
        <v>0.84566789757988214</v>
      </c>
      <c r="U769" s="28">
        <f t="shared" si="94"/>
        <v>0.69457073601030661</v>
      </c>
      <c r="AI769" s="28">
        <f t="shared" si="98"/>
        <v>0.75700000000000056</v>
      </c>
      <c r="AJ769">
        <v>0.3099765007477035</v>
      </c>
      <c r="AK769" s="28">
        <f t="shared" si="95"/>
        <v>0.15953037400914735</v>
      </c>
      <c r="AY769" s="28">
        <f t="shared" si="99"/>
        <v>0.75700000000000056</v>
      </c>
      <c r="AZ769">
        <v>0.72142704550309766</v>
      </c>
      <c r="BA769" s="28">
        <f t="shared" si="96"/>
        <v>0.72142704550309766</v>
      </c>
    </row>
    <row r="770" spans="19:53" x14ac:dyDescent="0.25">
      <c r="S770" s="28">
        <f t="shared" si="97"/>
        <v>0.75800000000000056</v>
      </c>
      <c r="T770">
        <v>0.88103885006256299</v>
      </c>
      <c r="U770" s="28">
        <f t="shared" si="94"/>
        <v>0.72246649037288435</v>
      </c>
      <c r="AI770" s="28">
        <f t="shared" si="98"/>
        <v>0.75800000000000056</v>
      </c>
      <c r="AJ770">
        <v>0.60231330301828057</v>
      </c>
      <c r="AK770" s="28">
        <f t="shared" si="95"/>
        <v>0.23611466480508991</v>
      </c>
      <c r="AY770" s="28">
        <f t="shared" si="99"/>
        <v>0.75800000000000056</v>
      </c>
      <c r="AZ770">
        <v>0.25370036927396467</v>
      </c>
      <c r="BA770" s="28">
        <f t="shared" si="96"/>
        <v>0.25370036927396467</v>
      </c>
    </row>
    <row r="771" spans="19:53" x14ac:dyDescent="0.25">
      <c r="S771" s="28">
        <f t="shared" si="97"/>
        <v>0.75900000000000056</v>
      </c>
      <c r="T771">
        <v>0.58677938169499799</v>
      </c>
      <c r="U771" s="28">
        <f t="shared" si="94"/>
        <v>0.54357842817400015</v>
      </c>
      <c r="AI771" s="28">
        <f t="shared" si="98"/>
        <v>0.75900000000000056</v>
      </c>
      <c r="AJ771">
        <v>0.1011078218939787</v>
      </c>
      <c r="AK771" s="28">
        <f t="shared" si="95"/>
        <v>9.7815048410470812E-2</v>
      </c>
      <c r="AY771" s="28">
        <f t="shared" si="99"/>
        <v>0.75900000000000056</v>
      </c>
      <c r="AZ771">
        <v>0.48802148503067111</v>
      </c>
      <c r="BA771" s="28">
        <f t="shared" si="96"/>
        <v>0.48802148503067111</v>
      </c>
    </row>
    <row r="772" spans="19:53" x14ac:dyDescent="0.25">
      <c r="S772" s="28">
        <f t="shared" si="97"/>
        <v>0.76000000000000056</v>
      </c>
      <c r="T772">
        <v>0.89864803003021332</v>
      </c>
      <c r="U772" s="28">
        <f t="shared" si="94"/>
        <v>0.73801232814001305</v>
      </c>
      <c r="AI772" s="28">
        <f t="shared" si="98"/>
        <v>0.76000000000000056</v>
      </c>
      <c r="AJ772">
        <v>0.75820184942167423</v>
      </c>
      <c r="AK772" s="28">
        <f t="shared" si="95"/>
        <v>0.28738029937201226</v>
      </c>
      <c r="AY772" s="28">
        <f t="shared" si="99"/>
        <v>0.76000000000000056</v>
      </c>
      <c r="AZ772">
        <v>0.58003479110080258</v>
      </c>
      <c r="BA772" s="28">
        <f t="shared" si="96"/>
        <v>0.58003479110080258</v>
      </c>
    </row>
    <row r="773" spans="19:53" x14ac:dyDescent="0.25">
      <c r="S773" s="28">
        <f t="shared" si="97"/>
        <v>0.76100000000000056</v>
      </c>
      <c r="T773">
        <v>0.5816217535935545</v>
      </c>
      <c r="U773" s="28">
        <f t="shared" si="94"/>
        <v>0.54095946519208504</v>
      </c>
      <c r="AI773" s="28">
        <f t="shared" si="98"/>
        <v>0.76100000000000056</v>
      </c>
      <c r="AJ773">
        <v>0.98403881954405348</v>
      </c>
      <c r="AK773" s="28">
        <f t="shared" si="95"/>
        <v>0.47516306072474146</v>
      </c>
      <c r="AY773" s="28">
        <f t="shared" si="99"/>
        <v>0.76100000000000056</v>
      </c>
      <c r="AZ773">
        <v>0.55330057679982914</v>
      </c>
      <c r="BA773" s="28">
        <f t="shared" si="96"/>
        <v>0.55330057679982914</v>
      </c>
    </row>
    <row r="774" spans="19:53" x14ac:dyDescent="0.25">
      <c r="S774" s="28">
        <f t="shared" si="97"/>
        <v>0.76200000000000057</v>
      </c>
      <c r="T774">
        <v>0.45982238227484967</v>
      </c>
      <c r="U774" s="28">
        <f t="shared" si="94"/>
        <v>0.47991984240639907</v>
      </c>
      <c r="AI774" s="28">
        <f t="shared" si="98"/>
        <v>0.76200000000000057</v>
      </c>
      <c r="AJ774">
        <v>0.24213385418256173</v>
      </c>
      <c r="AK774" s="28">
        <f t="shared" si="95"/>
        <v>0.14164492060362871</v>
      </c>
      <c r="AY774" s="28">
        <f t="shared" si="99"/>
        <v>0.76200000000000057</v>
      </c>
      <c r="AZ774">
        <v>0.48283333841975157</v>
      </c>
      <c r="BA774" s="28">
        <f t="shared" si="96"/>
        <v>0.48283333841975157</v>
      </c>
    </row>
    <row r="775" spans="19:53" x14ac:dyDescent="0.25">
      <c r="S775" s="28">
        <f t="shared" si="97"/>
        <v>0.76300000000000057</v>
      </c>
      <c r="T775">
        <v>0.19547105319376201</v>
      </c>
      <c r="U775" s="28">
        <f t="shared" si="94"/>
        <v>0.33409141832095218</v>
      </c>
      <c r="AI775" s="28">
        <f t="shared" si="98"/>
        <v>0.76300000000000057</v>
      </c>
      <c r="AJ775">
        <v>0.58043153172399065</v>
      </c>
      <c r="AK775" s="28">
        <f t="shared" si="95"/>
        <v>0.22988502305816461</v>
      </c>
      <c r="AY775" s="28">
        <f t="shared" si="99"/>
        <v>0.76300000000000057</v>
      </c>
      <c r="AZ775">
        <v>0.85476241340372938</v>
      </c>
      <c r="BA775" s="28">
        <f t="shared" si="96"/>
        <v>0.85476241340372938</v>
      </c>
    </row>
    <row r="776" spans="19:53" x14ac:dyDescent="0.25">
      <c r="S776" s="28">
        <f t="shared" si="97"/>
        <v>0.76400000000000057</v>
      </c>
      <c r="T776">
        <v>0.92211676381725516</v>
      </c>
      <c r="U776" s="28">
        <f t="shared" si="94"/>
        <v>0.76127581531974975</v>
      </c>
      <c r="AI776" s="28">
        <f t="shared" si="98"/>
        <v>0.76400000000000057</v>
      </c>
      <c r="AJ776">
        <v>0.96942045350505079</v>
      </c>
      <c r="AK776" s="28">
        <f t="shared" si="95"/>
        <v>0.43852485940194053</v>
      </c>
      <c r="AY776" s="28">
        <f t="shared" si="99"/>
        <v>0.76400000000000057</v>
      </c>
      <c r="AZ776">
        <v>0.63203833124790187</v>
      </c>
      <c r="BA776" s="28">
        <f t="shared" si="96"/>
        <v>0.63203833124790187</v>
      </c>
    </row>
    <row r="777" spans="19:53" x14ac:dyDescent="0.25">
      <c r="S777" s="28">
        <f t="shared" si="97"/>
        <v>0.76500000000000057</v>
      </c>
      <c r="T777">
        <v>0.30820642719809566</v>
      </c>
      <c r="U777" s="28">
        <f t="shared" si="94"/>
        <v>0.40124518781233415</v>
      </c>
      <c r="AI777" s="28">
        <f t="shared" si="98"/>
        <v>0.76500000000000057</v>
      </c>
      <c r="AJ777">
        <v>0.86599322489089636</v>
      </c>
      <c r="AK777" s="28">
        <f t="shared" si="95"/>
        <v>0.33800149903837873</v>
      </c>
      <c r="AY777" s="28">
        <f t="shared" si="99"/>
        <v>0.76500000000000057</v>
      </c>
      <c r="AZ777">
        <v>0.99761955626087218</v>
      </c>
      <c r="BA777" s="28">
        <f t="shared" si="96"/>
        <v>0.99761955626087218</v>
      </c>
    </row>
    <row r="778" spans="19:53" x14ac:dyDescent="0.25">
      <c r="S778" s="28">
        <f t="shared" si="97"/>
        <v>0.76600000000000057</v>
      </c>
      <c r="T778">
        <v>0.85180211798455763</v>
      </c>
      <c r="U778" s="28">
        <f t="shared" si="94"/>
        <v>0.69915227853950346</v>
      </c>
      <c r="AI778" s="28">
        <f t="shared" si="98"/>
        <v>0.76600000000000057</v>
      </c>
      <c r="AJ778">
        <v>0.66084780419324318</v>
      </c>
      <c r="AK778" s="28">
        <f t="shared" si="95"/>
        <v>0.2536902191373599</v>
      </c>
      <c r="AY778" s="28">
        <f t="shared" si="99"/>
        <v>0.76600000000000057</v>
      </c>
      <c r="AZ778">
        <v>0.17920468764305553</v>
      </c>
      <c r="BA778" s="28">
        <f t="shared" si="96"/>
        <v>0.17920468764305553</v>
      </c>
    </row>
    <row r="779" spans="19:53" x14ac:dyDescent="0.25">
      <c r="S779" s="28">
        <f t="shared" si="97"/>
        <v>0.76700000000000057</v>
      </c>
      <c r="T779">
        <v>0.41569261757255777</v>
      </c>
      <c r="U779" s="28">
        <f t="shared" si="94"/>
        <v>0.45767751221557107</v>
      </c>
      <c r="AI779" s="28">
        <f t="shared" si="98"/>
        <v>0.76700000000000057</v>
      </c>
      <c r="AJ779">
        <v>0.29657887508774072</v>
      </c>
      <c r="AK779" s="28">
        <f t="shared" si="95"/>
        <v>0.15606679155505573</v>
      </c>
      <c r="AY779" s="28">
        <f t="shared" si="99"/>
        <v>0.76700000000000057</v>
      </c>
      <c r="AZ779">
        <v>0.18753624073000275</v>
      </c>
      <c r="BA779" s="28">
        <f t="shared" si="96"/>
        <v>0.18753624073000275</v>
      </c>
    </row>
    <row r="780" spans="19:53" x14ac:dyDescent="0.25">
      <c r="S780" s="28">
        <f t="shared" si="97"/>
        <v>0.76800000000000057</v>
      </c>
      <c r="T780">
        <v>0.73906674398022398</v>
      </c>
      <c r="U780" s="28">
        <f t="shared" si="94"/>
        <v>0.62546389017720649</v>
      </c>
      <c r="AI780" s="28">
        <f t="shared" si="98"/>
        <v>0.76800000000000057</v>
      </c>
      <c r="AJ780">
        <v>0.40607928708761865</v>
      </c>
      <c r="AK780" s="28">
        <f t="shared" si="95"/>
        <v>0.18396601837089671</v>
      </c>
      <c r="AY780" s="28">
        <f t="shared" si="99"/>
        <v>0.76800000000000057</v>
      </c>
      <c r="AZ780">
        <v>0.83852656636249889</v>
      </c>
      <c r="BA780" s="28">
        <f t="shared" si="96"/>
        <v>0.83852656636249889</v>
      </c>
    </row>
    <row r="781" spans="19:53" x14ac:dyDescent="0.25">
      <c r="S781" s="28">
        <f t="shared" si="97"/>
        <v>0.76900000000000057</v>
      </c>
      <c r="T781">
        <v>0.42637409588915676</v>
      </c>
      <c r="U781" s="28">
        <f t="shared" ref="U781:U844" si="100">_xlfn.BETA.INV(T781,$V$5,$V$6,0,1)</f>
        <v>0.46309015577721868</v>
      </c>
      <c r="AI781" s="28">
        <f t="shared" si="98"/>
        <v>0.76900000000000057</v>
      </c>
      <c r="AJ781">
        <v>0.2946256904812769</v>
      </c>
      <c r="AK781" s="28">
        <f t="shared" ref="AK781:AK844" si="101">_xlfn.BETA.INV(AJ781,$AL$5,$AL$6,0,1)</f>
        <v>0.15555965348089831</v>
      </c>
      <c r="AY781" s="28">
        <f t="shared" si="99"/>
        <v>0.76900000000000057</v>
      </c>
      <c r="AZ781">
        <v>0.35132908108767968</v>
      </c>
      <c r="BA781" s="28">
        <f t="shared" ref="BA781:BA844" si="102">_xlfn.BETA.INV(AZ781,$BB$5,$BB$6,0,1)</f>
        <v>0.35132908108767968</v>
      </c>
    </row>
    <row r="782" spans="19:53" x14ac:dyDescent="0.25">
      <c r="S782" s="28">
        <f t="shared" si="97"/>
        <v>0.77000000000000057</v>
      </c>
      <c r="T782">
        <v>0.78426465651417587</v>
      </c>
      <c r="U782" s="28">
        <f t="shared" si="100"/>
        <v>0.65283702701440149</v>
      </c>
      <c r="AI782" s="28">
        <f t="shared" si="98"/>
        <v>0.77000000000000057</v>
      </c>
      <c r="AJ782">
        <v>0.67659535508285773</v>
      </c>
      <c r="AK782" s="28">
        <f t="shared" si="101"/>
        <v>0.25869817710367937</v>
      </c>
      <c r="AY782" s="28">
        <f t="shared" si="99"/>
        <v>0.77000000000000057</v>
      </c>
      <c r="AZ782">
        <v>0.43464461195715204</v>
      </c>
      <c r="BA782" s="28">
        <f t="shared" si="102"/>
        <v>0.43464461195715204</v>
      </c>
    </row>
    <row r="783" spans="19:53" x14ac:dyDescent="0.25">
      <c r="S783" s="28">
        <f t="shared" ref="S783:S846" si="103">S782+0.001</f>
        <v>0.77100000000000057</v>
      </c>
      <c r="T783">
        <v>0.77501754814294865</v>
      </c>
      <c r="U783" s="28">
        <f t="shared" si="100"/>
        <v>0.64705391042047689</v>
      </c>
      <c r="AI783" s="28">
        <f t="shared" ref="AI783:AI846" si="104">AI782+0.001</f>
        <v>0.77100000000000057</v>
      </c>
      <c r="AJ783">
        <v>0.79161961729789121</v>
      </c>
      <c r="AK783" s="28">
        <f t="shared" si="101"/>
        <v>0.30096767445189088</v>
      </c>
      <c r="AY783" s="28">
        <f t="shared" ref="AY783:AY846" si="105">AY782+0.001</f>
        <v>0.77100000000000057</v>
      </c>
      <c r="AZ783">
        <v>0.76226081118198186</v>
      </c>
      <c r="BA783" s="28">
        <f t="shared" si="102"/>
        <v>0.76226081118198186</v>
      </c>
    </row>
    <row r="784" spans="19:53" x14ac:dyDescent="0.25">
      <c r="S784" s="28">
        <f t="shared" si="103"/>
        <v>0.77200000000000057</v>
      </c>
      <c r="T784">
        <v>0.13843195898312327</v>
      </c>
      <c r="U784" s="28">
        <f t="shared" si="100"/>
        <v>0.29335022418521439</v>
      </c>
      <c r="AI784" s="28">
        <f t="shared" si="104"/>
        <v>0.77200000000000057</v>
      </c>
      <c r="AJ784">
        <v>0.95248268074587239</v>
      </c>
      <c r="AK784" s="28">
        <f t="shared" si="101"/>
        <v>0.41141715970843817</v>
      </c>
      <c r="AY784" s="28">
        <f t="shared" si="105"/>
        <v>0.77200000000000057</v>
      </c>
      <c r="AZ784">
        <v>0.21817682424390392</v>
      </c>
      <c r="BA784" s="28">
        <f t="shared" si="102"/>
        <v>0.21817682424390392</v>
      </c>
    </row>
    <row r="785" spans="19:53" x14ac:dyDescent="0.25">
      <c r="S785" s="28">
        <f t="shared" si="103"/>
        <v>0.77300000000000058</v>
      </c>
      <c r="T785">
        <v>0.95458845789971614</v>
      </c>
      <c r="U785" s="28">
        <f t="shared" si="100"/>
        <v>0.80158090758192502</v>
      </c>
      <c r="AI785" s="28">
        <f t="shared" si="104"/>
        <v>0.77300000000000058</v>
      </c>
      <c r="AJ785">
        <v>0.58641315958128604</v>
      </c>
      <c r="AK785" s="28">
        <f t="shared" si="101"/>
        <v>0.23157244362507368</v>
      </c>
      <c r="AY785" s="28">
        <f t="shared" si="105"/>
        <v>0.77300000000000058</v>
      </c>
      <c r="AZ785">
        <v>0.51997436445204015</v>
      </c>
      <c r="BA785" s="28">
        <f t="shared" si="102"/>
        <v>0.51997436445204015</v>
      </c>
    </row>
    <row r="786" spans="19:53" x14ac:dyDescent="0.25">
      <c r="S786" s="28">
        <f t="shared" si="103"/>
        <v>0.77400000000000058</v>
      </c>
      <c r="T786">
        <v>0.54612872707296978</v>
      </c>
      <c r="U786" s="28">
        <f t="shared" si="100"/>
        <v>0.52306389978726253</v>
      </c>
      <c r="AI786" s="28">
        <f t="shared" si="104"/>
        <v>0.77400000000000058</v>
      </c>
      <c r="AJ786">
        <v>0.93237098300119026</v>
      </c>
      <c r="AK786" s="28">
        <f t="shared" si="101"/>
        <v>0.38813209742742194</v>
      </c>
      <c r="AY786" s="28">
        <f t="shared" si="105"/>
        <v>0.77400000000000058</v>
      </c>
      <c r="AZ786">
        <v>0.14853358561967833</v>
      </c>
      <c r="BA786" s="28">
        <f t="shared" si="102"/>
        <v>0.14853358561967833</v>
      </c>
    </row>
    <row r="787" spans="19:53" x14ac:dyDescent="0.25">
      <c r="S787" s="28">
        <f t="shared" si="103"/>
        <v>0.77500000000000058</v>
      </c>
      <c r="T787">
        <v>0.87380596331675164</v>
      </c>
      <c r="U787" s="28">
        <f t="shared" si="100"/>
        <v>0.71644238548805228</v>
      </c>
      <c r="AI787" s="28">
        <f t="shared" si="104"/>
        <v>0.77500000000000058</v>
      </c>
      <c r="AJ787">
        <v>0.8596758934293649</v>
      </c>
      <c r="AK787" s="28">
        <f t="shared" si="101"/>
        <v>0.33433642204392855</v>
      </c>
      <c r="AY787" s="28">
        <f t="shared" si="105"/>
        <v>0.77500000000000058</v>
      </c>
      <c r="AZ787">
        <v>0.53355510116885896</v>
      </c>
      <c r="BA787" s="28">
        <f t="shared" si="102"/>
        <v>0.53355510116885896</v>
      </c>
    </row>
    <row r="788" spans="19:53" x14ac:dyDescent="0.25">
      <c r="S788" s="28">
        <f t="shared" si="103"/>
        <v>0.77600000000000058</v>
      </c>
      <c r="T788">
        <v>0.41718802453688164</v>
      </c>
      <c r="U788" s="28">
        <f t="shared" si="100"/>
        <v>0.45843665183486915</v>
      </c>
      <c r="AI788" s="28">
        <f t="shared" si="104"/>
        <v>0.77600000000000058</v>
      </c>
      <c r="AJ788">
        <v>0.55671864986114084</v>
      </c>
      <c r="AK788" s="28">
        <f t="shared" si="101"/>
        <v>0.22329928081648176</v>
      </c>
      <c r="AY788" s="28">
        <f t="shared" si="105"/>
        <v>0.77600000000000058</v>
      </c>
      <c r="AZ788">
        <v>0.44862208929715874</v>
      </c>
      <c r="BA788" s="28">
        <f t="shared" si="102"/>
        <v>0.44862208929715874</v>
      </c>
    </row>
    <row r="789" spans="19:53" x14ac:dyDescent="0.25">
      <c r="S789" s="28">
        <f t="shared" si="103"/>
        <v>0.77700000000000058</v>
      </c>
      <c r="T789">
        <v>0.2074648274178289</v>
      </c>
      <c r="U789" s="28">
        <f t="shared" si="100"/>
        <v>0.34189769824861055</v>
      </c>
      <c r="AI789" s="28">
        <f t="shared" si="104"/>
        <v>0.77700000000000058</v>
      </c>
      <c r="AJ789">
        <v>0.40510269478438671</v>
      </c>
      <c r="AK789" s="28">
        <f t="shared" si="101"/>
        <v>0.18371855067438228</v>
      </c>
      <c r="AY789" s="28">
        <f t="shared" si="105"/>
        <v>0.77700000000000058</v>
      </c>
      <c r="AZ789">
        <v>0.34604937894833215</v>
      </c>
      <c r="BA789" s="28">
        <f t="shared" si="102"/>
        <v>0.34604937894833221</v>
      </c>
    </row>
    <row r="790" spans="19:53" x14ac:dyDescent="0.25">
      <c r="S790" s="28">
        <f t="shared" si="103"/>
        <v>0.77800000000000058</v>
      </c>
      <c r="T790">
        <v>7.6570940275276958E-2</v>
      </c>
      <c r="U790" s="28">
        <f t="shared" si="100"/>
        <v>0.23731246841463169</v>
      </c>
      <c r="AI790" s="28">
        <f t="shared" si="104"/>
        <v>0.77800000000000058</v>
      </c>
      <c r="AJ790">
        <v>0.41172521134067813</v>
      </c>
      <c r="AK790" s="28">
        <f t="shared" si="101"/>
        <v>0.18539730176784458</v>
      </c>
      <c r="AY790" s="28">
        <f t="shared" si="105"/>
        <v>0.77800000000000058</v>
      </c>
      <c r="AZ790">
        <v>0.6666768395031587</v>
      </c>
      <c r="BA790" s="28">
        <f t="shared" si="102"/>
        <v>0.6666768395031587</v>
      </c>
    </row>
    <row r="791" spans="19:53" x14ac:dyDescent="0.25">
      <c r="S791" s="28">
        <f t="shared" si="103"/>
        <v>0.77900000000000058</v>
      </c>
      <c r="T791">
        <v>0.74480422376171151</v>
      </c>
      <c r="U791" s="28">
        <f t="shared" si="100"/>
        <v>0.62882443560139634</v>
      </c>
      <c r="AI791" s="28">
        <f t="shared" si="104"/>
        <v>0.77900000000000058</v>
      </c>
      <c r="AJ791">
        <v>0.12472914822840052</v>
      </c>
      <c r="AK791" s="28">
        <f t="shared" si="101"/>
        <v>0.10637388305473386</v>
      </c>
      <c r="AY791" s="28">
        <f t="shared" si="105"/>
        <v>0.77900000000000058</v>
      </c>
      <c r="AZ791">
        <v>0.34339426862392042</v>
      </c>
      <c r="BA791" s="28">
        <f t="shared" si="102"/>
        <v>0.34339426862392042</v>
      </c>
    </row>
    <row r="792" spans="19:53" x14ac:dyDescent="0.25">
      <c r="S792" s="28">
        <f t="shared" si="103"/>
        <v>0.78000000000000058</v>
      </c>
      <c r="T792">
        <v>0.42674031800286871</v>
      </c>
      <c r="U792" s="28">
        <f t="shared" si="100"/>
        <v>0.46327534606466308</v>
      </c>
      <c r="AI792" s="28">
        <f t="shared" si="104"/>
        <v>0.78000000000000058</v>
      </c>
      <c r="AJ792">
        <v>0.12262337107455672</v>
      </c>
      <c r="AK792" s="28">
        <f t="shared" si="101"/>
        <v>0.10564249580421094</v>
      </c>
      <c r="AY792" s="28">
        <f t="shared" si="105"/>
        <v>0.78000000000000058</v>
      </c>
      <c r="AZ792">
        <v>0.8656575212866604</v>
      </c>
      <c r="BA792" s="28">
        <f t="shared" si="102"/>
        <v>0.8656575212866604</v>
      </c>
    </row>
    <row r="793" spans="19:53" x14ac:dyDescent="0.25">
      <c r="S793" s="28">
        <f t="shared" si="103"/>
        <v>0.78100000000000058</v>
      </c>
      <c r="T793">
        <v>0.28165532395397808</v>
      </c>
      <c r="U793" s="28">
        <f t="shared" si="100"/>
        <v>0.38644380478012363</v>
      </c>
      <c r="AI793" s="28">
        <f t="shared" si="104"/>
        <v>0.78100000000000058</v>
      </c>
      <c r="AJ793">
        <v>0.21189001129184851</v>
      </c>
      <c r="AK793" s="28">
        <f t="shared" si="101"/>
        <v>0.13327645387713033</v>
      </c>
      <c r="AY793" s="28">
        <f t="shared" si="105"/>
        <v>0.78100000000000058</v>
      </c>
      <c r="AZ793">
        <v>0.73689992980742824</v>
      </c>
      <c r="BA793" s="28">
        <f t="shared" si="102"/>
        <v>0.73689992980742824</v>
      </c>
    </row>
    <row r="794" spans="19:53" x14ac:dyDescent="0.25">
      <c r="S794" s="28">
        <f t="shared" si="103"/>
        <v>0.78200000000000058</v>
      </c>
      <c r="T794">
        <v>0.6334727011932737</v>
      </c>
      <c r="U794" s="28">
        <f t="shared" si="100"/>
        <v>0.56759982041808232</v>
      </c>
      <c r="AI794" s="28">
        <f t="shared" si="104"/>
        <v>0.78200000000000058</v>
      </c>
      <c r="AJ794">
        <v>0.7143162327951903</v>
      </c>
      <c r="AK794" s="28">
        <f t="shared" si="101"/>
        <v>0.27131255577850288</v>
      </c>
      <c r="AY794" s="28">
        <f t="shared" si="105"/>
        <v>0.78200000000000058</v>
      </c>
      <c r="AZ794">
        <v>2.3560289315469832E-2</v>
      </c>
      <c r="BA794" s="28">
        <f t="shared" si="102"/>
        <v>2.3560289315469836E-2</v>
      </c>
    </row>
    <row r="795" spans="19:53" x14ac:dyDescent="0.25">
      <c r="S795" s="28">
        <f t="shared" si="103"/>
        <v>0.78300000000000058</v>
      </c>
      <c r="T795">
        <v>0.47242652668843654</v>
      </c>
      <c r="U795" s="28">
        <f t="shared" si="100"/>
        <v>0.48622858564444432</v>
      </c>
      <c r="AI795" s="28">
        <f t="shared" si="104"/>
        <v>0.78300000000000058</v>
      </c>
      <c r="AJ795">
        <v>0.3392742698446608</v>
      </c>
      <c r="AK795" s="28">
        <f t="shared" si="101"/>
        <v>0.16703148462902712</v>
      </c>
      <c r="AY795" s="28">
        <f t="shared" si="105"/>
        <v>0.78300000000000058</v>
      </c>
      <c r="AZ795">
        <v>0.3193151646473586</v>
      </c>
      <c r="BA795" s="28">
        <f t="shared" si="102"/>
        <v>0.3193151646473586</v>
      </c>
    </row>
    <row r="796" spans="19:53" x14ac:dyDescent="0.25">
      <c r="S796" s="28">
        <f t="shared" si="103"/>
        <v>0.78400000000000059</v>
      </c>
      <c r="T796">
        <v>0.84029663991210668</v>
      </c>
      <c r="U796" s="28">
        <f t="shared" si="100"/>
        <v>0.69063342810260342</v>
      </c>
      <c r="AI796" s="28">
        <f t="shared" si="104"/>
        <v>0.78400000000000059</v>
      </c>
      <c r="AJ796">
        <v>0.239143040253914</v>
      </c>
      <c r="AK796" s="28">
        <f t="shared" si="101"/>
        <v>0.14083125377452391</v>
      </c>
      <c r="AY796" s="28">
        <f t="shared" si="105"/>
        <v>0.78400000000000059</v>
      </c>
      <c r="AZ796">
        <v>0.89391766106143378</v>
      </c>
      <c r="BA796" s="28">
        <f t="shared" si="102"/>
        <v>0.89391766106143378</v>
      </c>
    </row>
    <row r="797" spans="19:53" x14ac:dyDescent="0.25">
      <c r="S797" s="28">
        <f t="shared" si="103"/>
        <v>0.78500000000000059</v>
      </c>
      <c r="T797">
        <v>0.87871944334238716</v>
      </c>
      <c r="U797" s="28">
        <f t="shared" si="100"/>
        <v>0.72051401875247389</v>
      </c>
      <c r="AI797" s="28">
        <f t="shared" si="104"/>
        <v>0.78500000000000059</v>
      </c>
      <c r="AJ797">
        <v>0.20120853297524949</v>
      </c>
      <c r="AK797" s="28">
        <f t="shared" si="101"/>
        <v>0.13023514368325786</v>
      </c>
      <c r="AY797" s="28">
        <f t="shared" si="105"/>
        <v>0.78500000000000059</v>
      </c>
      <c r="AZ797">
        <v>0.49711600085451829</v>
      </c>
      <c r="BA797" s="28">
        <f t="shared" si="102"/>
        <v>0.49711600085451829</v>
      </c>
    </row>
    <row r="798" spans="19:53" x14ac:dyDescent="0.25">
      <c r="S798" s="28">
        <f t="shared" si="103"/>
        <v>0.78600000000000059</v>
      </c>
      <c r="T798">
        <v>0.44822534867397074</v>
      </c>
      <c r="U798" s="28">
        <f t="shared" si="100"/>
        <v>0.47410173290925822</v>
      </c>
      <c r="AI798" s="28">
        <f t="shared" si="104"/>
        <v>0.78600000000000059</v>
      </c>
      <c r="AJ798">
        <v>0.87234107486190371</v>
      </c>
      <c r="AK798" s="28">
        <f t="shared" si="101"/>
        <v>0.34181806007850635</v>
      </c>
      <c r="AY798" s="28">
        <f t="shared" si="105"/>
        <v>0.78600000000000059</v>
      </c>
      <c r="AZ798">
        <v>6.942960905789361E-2</v>
      </c>
      <c r="BA798" s="28">
        <f t="shared" si="102"/>
        <v>6.9429609057893596E-2</v>
      </c>
    </row>
    <row r="799" spans="19:53" x14ac:dyDescent="0.25">
      <c r="S799" s="28">
        <f t="shared" si="103"/>
        <v>0.78700000000000059</v>
      </c>
      <c r="T799">
        <v>0.8529007843256935</v>
      </c>
      <c r="U799" s="28">
        <f t="shared" si="100"/>
        <v>0.69998290229859839</v>
      </c>
      <c r="AI799" s="28">
        <f t="shared" si="104"/>
        <v>0.78700000000000059</v>
      </c>
      <c r="AJ799">
        <v>5.9419537949766531E-2</v>
      </c>
      <c r="AK799" s="28">
        <f t="shared" si="101"/>
        <v>7.9867354111168562E-2</v>
      </c>
      <c r="AY799" s="28">
        <f t="shared" si="105"/>
        <v>0.78700000000000059</v>
      </c>
      <c r="AZ799">
        <v>0.61803033539841912</v>
      </c>
      <c r="BA799" s="28">
        <f t="shared" si="102"/>
        <v>0.61803033539841912</v>
      </c>
    </row>
    <row r="800" spans="19:53" x14ac:dyDescent="0.25">
      <c r="S800" s="28">
        <f t="shared" si="103"/>
        <v>0.78800000000000059</v>
      </c>
      <c r="T800">
        <v>0.29691457869197668</v>
      </c>
      <c r="U800" s="28">
        <f t="shared" si="100"/>
        <v>0.3950069988435313</v>
      </c>
      <c r="AI800" s="28">
        <f t="shared" si="104"/>
        <v>0.78800000000000059</v>
      </c>
      <c r="AJ800">
        <v>0.77919858394116026</v>
      </c>
      <c r="AK800" s="28">
        <f t="shared" si="101"/>
        <v>0.29575489261224641</v>
      </c>
      <c r="AY800" s="28">
        <f t="shared" si="105"/>
        <v>0.78800000000000059</v>
      </c>
      <c r="AZ800">
        <v>0.44059572130497149</v>
      </c>
      <c r="BA800" s="28">
        <f t="shared" si="102"/>
        <v>0.44059572130497149</v>
      </c>
    </row>
    <row r="801" spans="19:53" x14ac:dyDescent="0.25">
      <c r="S801" s="28">
        <f t="shared" si="103"/>
        <v>0.78900000000000059</v>
      </c>
      <c r="T801">
        <v>0.49797051911984619</v>
      </c>
      <c r="U801" s="28">
        <f t="shared" si="100"/>
        <v>0.49898699705942973</v>
      </c>
      <c r="AI801" s="28">
        <f t="shared" si="104"/>
        <v>0.78900000000000059</v>
      </c>
      <c r="AJ801">
        <v>0.62977996154667804</v>
      </c>
      <c r="AK801" s="28">
        <f t="shared" si="101"/>
        <v>0.24417829032628036</v>
      </c>
      <c r="AY801" s="28">
        <f t="shared" si="105"/>
        <v>0.78900000000000059</v>
      </c>
      <c r="AZ801">
        <v>0.27265236365855894</v>
      </c>
      <c r="BA801" s="28">
        <f t="shared" si="102"/>
        <v>0.27265236365855894</v>
      </c>
    </row>
    <row r="802" spans="19:53" x14ac:dyDescent="0.25">
      <c r="S802" s="28">
        <f t="shared" si="103"/>
        <v>0.79000000000000059</v>
      </c>
      <c r="T802">
        <v>0.27347636341441084</v>
      </c>
      <c r="U802" s="28">
        <f t="shared" si="100"/>
        <v>0.38178470433221995</v>
      </c>
      <c r="AI802" s="28">
        <f t="shared" si="104"/>
        <v>0.79000000000000059</v>
      </c>
      <c r="AJ802">
        <v>0.98941007721182894</v>
      </c>
      <c r="AK802" s="28">
        <f t="shared" si="101"/>
        <v>0.49653129606599111</v>
      </c>
      <c r="AY802" s="28">
        <f t="shared" si="105"/>
        <v>0.79000000000000059</v>
      </c>
      <c r="AZ802">
        <v>0.26346629230628377</v>
      </c>
      <c r="BA802" s="28">
        <f t="shared" si="102"/>
        <v>0.26346629230628377</v>
      </c>
    </row>
    <row r="803" spans="19:53" x14ac:dyDescent="0.25">
      <c r="S803" s="28">
        <f t="shared" si="103"/>
        <v>0.79100000000000059</v>
      </c>
      <c r="T803">
        <v>0.37690359202856533</v>
      </c>
      <c r="U803" s="28">
        <f t="shared" si="100"/>
        <v>0.43779446038260111</v>
      </c>
      <c r="AI803" s="28">
        <f t="shared" si="104"/>
        <v>0.79100000000000059</v>
      </c>
      <c r="AJ803">
        <v>0.8538163396099735</v>
      </c>
      <c r="AK803" s="28">
        <f t="shared" si="101"/>
        <v>0.33104593676155158</v>
      </c>
      <c r="AY803" s="28">
        <f t="shared" si="105"/>
        <v>0.79100000000000059</v>
      </c>
      <c r="AZ803">
        <v>0.17123935666982024</v>
      </c>
      <c r="BA803" s="28">
        <f t="shared" si="102"/>
        <v>0.17123935666982024</v>
      </c>
    </row>
    <row r="804" spans="19:53" x14ac:dyDescent="0.25">
      <c r="S804" s="28">
        <f t="shared" si="103"/>
        <v>0.79200000000000059</v>
      </c>
      <c r="T804">
        <v>0.57896664326914271</v>
      </c>
      <c r="U804" s="28">
        <f t="shared" si="100"/>
        <v>0.53961337162511192</v>
      </c>
      <c r="AI804" s="28">
        <f t="shared" si="104"/>
        <v>0.79200000000000059</v>
      </c>
      <c r="AJ804">
        <v>0.89889217810602129</v>
      </c>
      <c r="AK804" s="28">
        <f t="shared" si="101"/>
        <v>0.35956144116659861</v>
      </c>
      <c r="AY804" s="28">
        <f t="shared" si="105"/>
        <v>0.79200000000000059</v>
      </c>
      <c r="AZ804">
        <v>0.28336436048463393</v>
      </c>
      <c r="BA804" s="28">
        <f t="shared" si="102"/>
        <v>0.28336436048463393</v>
      </c>
    </row>
    <row r="805" spans="19:53" x14ac:dyDescent="0.25">
      <c r="S805" s="28">
        <f t="shared" si="103"/>
        <v>0.79300000000000059</v>
      </c>
      <c r="T805">
        <v>0.52922147282326726</v>
      </c>
      <c r="U805" s="28">
        <f t="shared" si="100"/>
        <v>0.51459558684011419</v>
      </c>
      <c r="AI805" s="28">
        <f t="shared" si="104"/>
        <v>0.79300000000000059</v>
      </c>
      <c r="AJ805">
        <v>0.94384594256416521</v>
      </c>
      <c r="AK805" s="28">
        <f t="shared" si="101"/>
        <v>0.4005890897994846</v>
      </c>
      <c r="AY805" s="28">
        <f t="shared" si="105"/>
        <v>0.79300000000000059</v>
      </c>
      <c r="AZ805">
        <v>0.51234473708304085</v>
      </c>
      <c r="BA805" s="28">
        <f t="shared" si="102"/>
        <v>0.51234473708304085</v>
      </c>
    </row>
    <row r="806" spans="19:53" x14ac:dyDescent="0.25">
      <c r="S806" s="28">
        <f t="shared" si="103"/>
        <v>0.79400000000000059</v>
      </c>
      <c r="T806">
        <v>0.22931608020264291</v>
      </c>
      <c r="U806" s="28">
        <f t="shared" si="100"/>
        <v>0.35562097751525745</v>
      </c>
      <c r="AI806" s="28">
        <f t="shared" si="104"/>
        <v>0.79400000000000059</v>
      </c>
      <c r="AJ806">
        <v>0.48277230140079957</v>
      </c>
      <c r="AK806" s="28">
        <f t="shared" si="101"/>
        <v>0.20359668847790102</v>
      </c>
      <c r="AY806" s="28">
        <f t="shared" si="105"/>
        <v>0.79400000000000059</v>
      </c>
      <c r="AZ806">
        <v>0.41395306253242592</v>
      </c>
      <c r="BA806" s="28">
        <f t="shared" si="102"/>
        <v>0.41395306253242592</v>
      </c>
    </row>
    <row r="807" spans="19:53" x14ac:dyDescent="0.25">
      <c r="S807" s="28">
        <f t="shared" si="103"/>
        <v>0.7950000000000006</v>
      </c>
      <c r="T807">
        <v>0.31562242500076299</v>
      </c>
      <c r="U807" s="28">
        <f t="shared" si="100"/>
        <v>0.40530058090788723</v>
      </c>
      <c r="AI807" s="28">
        <f t="shared" si="104"/>
        <v>0.7950000000000006</v>
      </c>
      <c r="AJ807">
        <v>0.70146794030579551</v>
      </c>
      <c r="AK807" s="28">
        <f t="shared" si="101"/>
        <v>0.26690838976532039</v>
      </c>
      <c r="AY807" s="28">
        <f t="shared" si="105"/>
        <v>0.7950000000000006</v>
      </c>
      <c r="AZ807">
        <v>0.58955656605731377</v>
      </c>
      <c r="BA807" s="28">
        <f t="shared" si="102"/>
        <v>0.58955656605731377</v>
      </c>
    </row>
    <row r="808" spans="19:53" x14ac:dyDescent="0.25">
      <c r="S808" s="28">
        <f t="shared" si="103"/>
        <v>0.7960000000000006</v>
      </c>
      <c r="T808">
        <v>0.47877437665944395</v>
      </c>
      <c r="U808" s="28">
        <f t="shared" si="100"/>
        <v>0.48940159785250731</v>
      </c>
      <c r="AI808" s="28">
        <f t="shared" si="104"/>
        <v>0.7960000000000006</v>
      </c>
      <c r="AJ808">
        <v>0.46815393536179695</v>
      </c>
      <c r="AK808" s="28">
        <f t="shared" si="101"/>
        <v>0.1998115056681678</v>
      </c>
      <c r="AY808" s="28">
        <f t="shared" si="105"/>
        <v>0.7960000000000006</v>
      </c>
      <c r="AZ808">
        <v>0.98355052339243754</v>
      </c>
      <c r="BA808" s="28">
        <f t="shared" si="102"/>
        <v>0.98355052339243754</v>
      </c>
    </row>
    <row r="809" spans="19:53" x14ac:dyDescent="0.25">
      <c r="S809" s="28">
        <f t="shared" si="103"/>
        <v>0.7970000000000006</v>
      </c>
      <c r="T809">
        <v>0.27738273262733848</v>
      </c>
      <c r="U809" s="28">
        <f t="shared" si="100"/>
        <v>0.38401629695757417</v>
      </c>
      <c r="AI809" s="28">
        <f t="shared" si="104"/>
        <v>0.7970000000000006</v>
      </c>
      <c r="AJ809">
        <v>0.61217078157902771</v>
      </c>
      <c r="AK809" s="28">
        <f t="shared" si="101"/>
        <v>0.23897514686583088</v>
      </c>
      <c r="AY809" s="28">
        <f t="shared" si="105"/>
        <v>0.7970000000000006</v>
      </c>
      <c r="AZ809">
        <v>0.85326700643940545</v>
      </c>
      <c r="BA809" s="28">
        <f t="shared" si="102"/>
        <v>0.85326700643940545</v>
      </c>
    </row>
    <row r="810" spans="19:53" x14ac:dyDescent="0.25">
      <c r="S810" s="28">
        <f t="shared" si="103"/>
        <v>0.7980000000000006</v>
      </c>
      <c r="T810">
        <v>0.8546403393658254</v>
      </c>
      <c r="U810" s="28">
        <f t="shared" si="100"/>
        <v>0.7013045276086971</v>
      </c>
      <c r="AI810" s="28">
        <f t="shared" si="104"/>
        <v>0.7980000000000006</v>
      </c>
      <c r="AJ810">
        <v>0.21057771538438064</v>
      </c>
      <c r="AK810" s="28">
        <f t="shared" si="101"/>
        <v>0.13290550320664599</v>
      </c>
      <c r="AY810" s="28">
        <f t="shared" si="105"/>
        <v>0.7980000000000006</v>
      </c>
      <c r="AZ810">
        <v>0.14734336375011445</v>
      </c>
      <c r="BA810" s="28">
        <f t="shared" si="102"/>
        <v>0.14734336375011445</v>
      </c>
    </row>
    <row r="811" spans="19:53" x14ac:dyDescent="0.25">
      <c r="S811" s="28">
        <f t="shared" si="103"/>
        <v>0.7990000000000006</v>
      </c>
      <c r="T811">
        <v>0.19156468398083437</v>
      </c>
      <c r="U811" s="28">
        <f t="shared" si="100"/>
        <v>0.3315018670484427</v>
      </c>
      <c r="AI811" s="28">
        <f t="shared" si="104"/>
        <v>0.7990000000000006</v>
      </c>
      <c r="AJ811">
        <v>0.73567918942838828</v>
      </c>
      <c r="AK811" s="28">
        <f t="shared" si="101"/>
        <v>0.27891872694502329</v>
      </c>
      <c r="AY811" s="28">
        <f t="shared" si="105"/>
        <v>0.7990000000000006</v>
      </c>
      <c r="AZ811">
        <v>0.88088625751518301</v>
      </c>
      <c r="BA811" s="28">
        <f t="shared" si="102"/>
        <v>0.88088625751518301</v>
      </c>
    </row>
    <row r="812" spans="19:53" x14ac:dyDescent="0.25">
      <c r="S812" s="28">
        <f t="shared" si="103"/>
        <v>0.8000000000000006</v>
      </c>
      <c r="T812">
        <v>0.51142918179876096</v>
      </c>
      <c r="U812" s="28">
        <f t="shared" si="100"/>
        <v>0.50570537978846208</v>
      </c>
      <c r="AI812" s="28">
        <f t="shared" si="104"/>
        <v>0.8000000000000006</v>
      </c>
      <c r="AJ812">
        <v>0.46458326975310527</v>
      </c>
      <c r="AK812" s="28">
        <f t="shared" si="101"/>
        <v>0.19889094547496602</v>
      </c>
      <c r="AY812" s="28">
        <f t="shared" si="105"/>
        <v>0.8000000000000006</v>
      </c>
      <c r="AZ812">
        <v>0.35572374645222327</v>
      </c>
      <c r="BA812" s="28">
        <f t="shared" si="102"/>
        <v>0.35572374645222327</v>
      </c>
    </row>
    <row r="813" spans="19:53" x14ac:dyDescent="0.25">
      <c r="S813" s="28">
        <f t="shared" si="103"/>
        <v>0.8010000000000006</v>
      </c>
      <c r="T813">
        <v>0.44990386669515059</v>
      </c>
      <c r="U813" s="28">
        <f t="shared" si="100"/>
        <v>0.47494477998008927</v>
      </c>
      <c r="AI813" s="28">
        <f t="shared" si="104"/>
        <v>0.8010000000000006</v>
      </c>
      <c r="AJ813">
        <v>6.9765312662129583E-2</v>
      </c>
      <c r="AK813" s="28">
        <f t="shared" si="101"/>
        <v>8.4802193029471173E-2</v>
      </c>
      <c r="AY813" s="28">
        <f t="shared" si="105"/>
        <v>0.8010000000000006</v>
      </c>
      <c r="AZ813">
        <v>0.83611560411389507</v>
      </c>
      <c r="BA813" s="28">
        <f t="shared" si="102"/>
        <v>0.83611560411389507</v>
      </c>
    </row>
    <row r="814" spans="19:53" x14ac:dyDescent="0.25">
      <c r="S814" s="28">
        <f t="shared" si="103"/>
        <v>0.8020000000000006</v>
      </c>
      <c r="T814">
        <v>0.76982940153202917</v>
      </c>
      <c r="U814" s="28">
        <f t="shared" si="100"/>
        <v>0.64385413128725288</v>
      </c>
      <c r="AI814" s="28">
        <f t="shared" si="104"/>
        <v>0.8020000000000006</v>
      </c>
      <c r="AJ814">
        <v>0.26471755119479967</v>
      </c>
      <c r="AK814" s="28">
        <f t="shared" si="101"/>
        <v>0.14770810186095076</v>
      </c>
      <c r="AY814" s="28">
        <f t="shared" si="105"/>
        <v>0.8020000000000006</v>
      </c>
      <c r="AZ814">
        <v>0.38685262611774041</v>
      </c>
      <c r="BA814" s="28">
        <f t="shared" si="102"/>
        <v>0.38685262611774041</v>
      </c>
    </row>
    <row r="815" spans="19:53" x14ac:dyDescent="0.25">
      <c r="S815" s="28">
        <f t="shared" si="103"/>
        <v>0.8030000000000006</v>
      </c>
      <c r="T815">
        <v>0.4153874324777978</v>
      </c>
      <c r="U815" s="28">
        <f t="shared" si="100"/>
        <v>0.45752252825177808</v>
      </c>
      <c r="AI815" s="28">
        <f t="shared" si="104"/>
        <v>0.8030000000000006</v>
      </c>
      <c r="AJ815">
        <v>0.9897457808160649</v>
      </c>
      <c r="AK815" s="28">
        <f t="shared" si="101"/>
        <v>0.49815753107924976</v>
      </c>
      <c r="AY815" s="28">
        <f t="shared" si="105"/>
        <v>0.8030000000000006</v>
      </c>
      <c r="AZ815">
        <v>0.13943906979583118</v>
      </c>
      <c r="BA815" s="28">
        <f t="shared" si="102"/>
        <v>0.13943906979583118</v>
      </c>
    </row>
    <row r="816" spans="19:53" x14ac:dyDescent="0.25">
      <c r="S816" s="28">
        <f t="shared" si="103"/>
        <v>0.8040000000000006</v>
      </c>
      <c r="T816">
        <v>0.12900173955504013</v>
      </c>
      <c r="U816" s="28">
        <f t="shared" si="100"/>
        <v>0.28584672060849398</v>
      </c>
      <c r="AI816" s="28">
        <f t="shared" si="104"/>
        <v>0.8040000000000006</v>
      </c>
      <c r="AJ816">
        <v>0.36112552262947478</v>
      </c>
      <c r="AK816" s="28">
        <f t="shared" si="101"/>
        <v>0.17258287075103115</v>
      </c>
      <c r="AY816" s="28">
        <f t="shared" si="105"/>
        <v>0.8040000000000006</v>
      </c>
      <c r="AZ816">
        <v>2.5879696035645619E-2</v>
      </c>
      <c r="BA816" s="28">
        <f t="shared" si="102"/>
        <v>2.5879696035645616E-2</v>
      </c>
    </row>
    <row r="817" spans="19:53" x14ac:dyDescent="0.25">
      <c r="S817" s="28">
        <f t="shared" si="103"/>
        <v>0.8050000000000006</v>
      </c>
      <c r="T817">
        <v>0.1382183294167913</v>
      </c>
      <c r="U817" s="28">
        <f t="shared" si="100"/>
        <v>0.29318323267886892</v>
      </c>
      <c r="AI817" s="28">
        <f t="shared" si="104"/>
        <v>0.8050000000000006</v>
      </c>
      <c r="AJ817">
        <v>0.67949461348307749</v>
      </c>
      <c r="AK817" s="28">
        <f t="shared" si="101"/>
        <v>0.25963545035274171</v>
      </c>
      <c r="AY817" s="28">
        <f t="shared" si="105"/>
        <v>0.8050000000000006</v>
      </c>
      <c r="AZ817">
        <v>0.35709707937864316</v>
      </c>
      <c r="BA817" s="28">
        <f t="shared" si="102"/>
        <v>0.35709707937864316</v>
      </c>
    </row>
    <row r="818" spans="19:53" x14ac:dyDescent="0.25">
      <c r="S818" s="28">
        <f t="shared" si="103"/>
        <v>0.8060000000000006</v>
      </c>
      <c r="T818">
        <v>0.85720389416180909</v>
      </c>
      <c r="U818" s="28">
        <f t="shared" si="100"/>
        <v>0.70326696636375075</v>
      </c>
      <c r="AI818" s="28">
        <f t="shared" si="104"/>
        <v>0.8060000000000006</v>
      </c>
      <c r="AJ818">
        <v>0.71138645588549454</v>
      </c>
      <c r="AK818" s="28">
        <f t="shared" si="101"/>
        <v>0.27029767710319219</v>
      </c>
      <c r="AY818" s="28">
        <f t="shared" si="105"/>
        <v>0.8060000000000006</v>
      </c>
      <c r="AZ818">
        <v>0.62196722312082275</v>
      </c>
      <c r="BA818" s="28">
        <f t="shared" si="102"/>
        <v>0.62196722312082275</v>
      </c>
    </row>
    <row r="819" spans="19:53" x14ac:dyDescent="0.25">
      <c r="S819" s="28">
        <f t="shared" si="103"/>
        <v>0.80700000000000061</v>
      </c>
      <c r="T819">
        <v>0.37003692739646593</v>
      </c>
      <c r="U819" s="28">
        <f t="shared" si="100"/>
        <v>0.4342288526940104</v>
      </c>
      <c r="AI819" s="28">
        <f t="shared" si="104"/>
        <v>0.80700000000000061</v>
      </c>
      <c r="AJ819">
        <v>0.30075991088595233</v>
      </c>
      <c r="AK819" s="28">
        <f t="shared" si="101"/>
        <v>0.15715042154395165</v>
      </c>
      <c r="AY819" s="28">
        <f t="shared" si="105"/>
        <v>0.80700000000000061</v>
      </c>
      <c r="AZ819">
        <v>0.86199530014954073</v>
      </c>
      <c r="BA819" s="28">
        <f t="shared" si="102"/>
        <v>0.86199530014954073</v>
      </c>
    </row>
    <row r="820" spans="19:53" x14ac:dyDescent="0.25">
      <c r="S820" s="28">
        <f t="shared" si="103"/>
        <v>0.80800000000000061</v>
      </c>
      <c r="T820">
        <v>0.59331034272286143</v>
      </c>
      <c r="U820" s="28">
        <f t="shared" si="100"/>
        <v>0.54690308724948888</v>
      </c>
      <c r="AI820" s="28">
        <f t="shared" si="104"/>
        <v>0.80800000000000061</v>
      </c>
      <c r="AJ820">
        <v>3.933835871456038E-2</v>
      </c>
      <c r="AK820" s="28">
        <f t="shared" si="101"/>
        <v>6.8740958898878268E-2</v>
      </c>
      <c r="AY820" s="28">
        <f t="shared" si="105"/>
        <v>0.80800000000000061</v>
      </c>
      <c r="AZ820">
        <v>0.10797448652607806</v>
      </c>
      <c r="BA820" s="28">
        <f t="shared" si="102"/>
        <v>0.10797448652607808</v>
      </c>
    </row>
    <row r="821" spans="19:53" x14ac:dyDescent="0.25">
      <c r="S821" s="28">
        <f t="shared" si="103"/>
        <v>0.80900000000000061</v>
      </c>
      <c r="T821">
        <v>0.82491531113620409</v>
      </c>
      <c r="U821" s="28">
        <f t="shared" si="100"/>
        <v>0.67970577740511784</v>
      </c>
      <c r="AI821" s="28">
        <f t="shared" si="104"/>
        <v>0.80900000000000061</v>
      </c>
      <c r="AJ821">
        <v>0.1174352244636372</v>
      </c>
      <c r="AK821" s="28">
        <f t="shared" si="101"/>
        <v>0.10381634994537019</v>
      </c>
      <c r="AY821" s="28">
        <f t="shared" si="105"/>
        <v>0.80900000000000061</v>
      </c>
      <c r="AZ821">
        <v>0.76235236671040985</v>
      </c>
      <c r="BA821" s="28">
        <f t="shared" si="102"/>
        <v>0.76235236671040985</v>
      </c>
    </row>
    <row r="822" spans="19:53" x14ac:dyDescent="0.25">
      <c r="S822" s="28">
        <f t="shared" si="103"/>
        <v>0.81000000000000061</v>
      </c>
      <c r="T822">
        <v>0.36497085482345043</v>
      </c>
      <c r="U822" s="28">
        <f t="shared" si="100"/>
        <v>0.43158779730164193</v>
      </c>
      <c r="AI822" s="28">
        <f t="shared" si="104"/>
        <v>0.81000000000000061</v>
      </c>
      <c r="AJ822">
        <v>5.9785760063478501E-2</v>
      </c>
      <c r="AK822" s="28">
        <f t="shared" si="101"/>
        <v>8.0049449299515657E-2</v>
      </c>
      <c r="AY822" s="28">
        <f t="shared" si="105"/>
        <v>0.81000000000000061</v>
      </c>
      <c r="AZ822">
        <v>0.25055696279793693</v>
      </c>
      <c r="BA822" s="28">
        <f t="shared" si="102"/>
        <v>0.25055696279793693</v>
      </c>
    </row>
    <row r="823" spans="19:53" x14ac:dyDescent="0.25">
      <c r="S823" s="28">
        <f t="shared" si="103"/>
        <v>0.81100000000000061</v>
      </c>
      <c r="T823">
        <v>0.72334971160008543</v>
      </c>
      <c r="U823" s="28">
        <f t="shared" si="100"/>
        <v>0.6164012300677616</v>
      </c>
      <c r="AI823" s="28">
        <f t="shared" si="104"/>
        <v>0.81100000000000061</v>
      </c>
      <c r="AJ823">
        <v>2.8260139774773402E-2</v>
      </c>
      <c r="AK823" s="28">
        <f t="shared" si="101"/>
        <v>6.1160824170819049E-2</v>
      </c>
      <c r="AY823" s="28">
        <f t="shared" si="105"/>
        <v>0.81100000000000061</v>
      </c>
      <c r="AZ823">
        <v>4.6723838007751699E-2</v>
      </c>
      <c r="BA823" s="28">
        <f t="shared" si="102"/>
        <v>4.6723838007751706E-2</v>
      </c>
    </row>
    <row r="824" spans="19:53" x14ac:dyDescent="0.25">
      <c r="S824" s="28">
        <f t="shared" si="103"/>
        <v>0.81200000000000061</v>
      </c>
      <c r="T824">
        <v>0.16312143314920499</v>
      </c>
      <c r="U824" s="28">
        <f t="shared" si="100"/>
        <v>0.31183798766342974</v>
      </c>
      <c r="AI824" s="28">
        <f t="shared" si="104"/>
        <v>0.81200000000000061</v>
      </c>
      <c r="AJ824">
        <v>0.25922421948912017</v>
      </c>
      <c r="AK824" s="28">
        <f t="shared" si="101"/>
        <v>0.14624544379166293</v>
      </c>
      <c r="AY824" s="28">
        <f t="shared" si="105"/>
        <v>0.81200000000000061</v>
      </c>
      <c r="AZ824">
        <v>0.53132724997711112</v>
      </c>
      <c r="BA824" s="28">
        <f t="shared" si="102"/>
        <v>0.53132724997711112</v>
      </c>
    </row>
    <row r="825" spans="19:53" x14ac:dyDescent="0.25">
      <c r="S825" s="28">
        <f t="shared" si="103"/>
        <v>0.81300000000000061</v>
      </c>
      <c r="T825">
        <v>0.44703512680440688</v>
      </c>
      <c r="U825" s="28">
        <f t="shared" si="100"/>
        <v>0.47350372244174693</v>
      </c>
      <c r="AI825" s="28">
        <f t="shared" si="104"/>
        <v>0.81300000000000061</v>
      </c>
      <c r="AJ825">
        <v>8.8473158970915858E-2</v>
      </c>
      <c r="AK825" s="28">
        <f t="shared" si="101"/>
        <v>9.2849913544304344E-2</v>
      </c>
      <c r="AY825" s="28">
        <f t="shared" si="105"/>
        <v>0.81300000000000061</v>
      </c>
      <c r="AZ825">
        <v>0.99090548417615287</v>
      </c>
      <c r="BA825" s="28">
        <f t="shared" si="102"/>
        <v>0.99090548417615287</v>
      </c>
    </row>
    <row r="826" spans="19:53" x14ac:dyDescent="0.25">
      <c r="S826" s="28">
        <f t="shared" si="103"/>
        <v>0.81400000000000061</v>
      </c>
      <c r="T826">
        <v>0.84166997283852651</v>
      </c>
      <c r="U826" s="28">
        <f t="shared" si="100"/>
        <v>0.69163377262375536</v>
      </c>
      <c r="AI826" s="28">
        <f t="shared" si="104"/>
        <v>0.81400000000000061</v>
      </c>
      <c r="AJ826">
        <v>0.74098941007721186</v>
      </c>
      <c r="AK826" s="28">
        <f t="shared" si="101"/>
        <v>0.28086996586305357</v>
      </c>
      <c r="AY826" s="28">
        <f t="shared" si="105"/>
        <v>0.81400000000000061</v>
      </c>
      <c r="AZ826">
        <v>0.77425458540604875</v>
      </c>
      <c r="BA826" s="28">
        <f t="shared" si="102"/>
        <v>0.77425458540604875</v>
      </c>
    </row>
    <row r="827" spans="19:53" x14ac:dyDescent="0.25">
      <c r="S827" s="28">
        <f t="shared" si="103"/>
        <v>0.81500000000000061</v>
      </c>
      <c r="T827">
        <v>0.25037385174108095</v>
      </c>
      <c r="U827" s="28">
        <f t="shared" si="100"/>
        <v>0.36832805994068635</v>
      </c>
      <c r="AI827" s="28">
        <f t="shared" si="104"/>
        <v>0.81500000000000061</v>
      </c>
      <c r="AJ827">
        <v>0.74306466872157961</v>
      </c>
      <c r="AK827" s="28">
        <f t="shared" si="101"/>
        <v>0.28163956604609497</v>
      </c>
      <c r="AY827" s="28">
        <f t="shared" si="105"/>
        <v>0.81500000000000061</v>
      </c>
      <c r="AZ827">
        <v>0.73250526444288466</v>
      </c>
      <c r="BA827" s="28">
        <f t="shared" si="102"/>
        <v>0.73250526444288466</v>
      </c>
    </row>
    <row r="828" spans="19:53" x14ac:dyDescent="0.25">
      <c r="S828" s="28">
        <f t="shared" si="103"/>
        <v>0.81600000000000061</v>
      </c>
      <c r="T828">
        <v>0.75194555497909477</v>
      </c>
      <c r="U828" s="28">
        <f t="shared" si="100"/>
        <v>0.63304945296245518</v>
      </c>
      <c r="AI828" s="28">
        <f t="shared" si="104"/>
        <v>0.81600000000000061</v>
      </c>
      <c r="AJ828">
        <v>0.21701712088381603</v>
      </c>
      <c r="AK828" s="28">
        <f t="shared" si="101"/>
        <v>0.13471891938621758</v>
      </c>
      <c r="AY828" s="28">
        <f t="shared" si="105"/>
        <v>0.81600000000000061</v>
      </c>
      <c r="AZ828">
        <v>4.9501022370067448E-2</v>
      </c>
      <c r="BA828" s="28">
        <f t="shared" si="102"/>
        <v>4.9501022370067455E-2</v>
      </c>
    </row>
    <row r="829" spans="19:53" x14ac:dyDescent="0.25">
      <c r="S829" s="28">
        <f t="shared" si="103"/>
        <v>0.81700000000000061</v>
      </c>
      <c r="T829">
        <v>4.791405987731559E-2</v>
      </c>
      <c r="U829" s="28">
        <f t="shared" si="100"/>
        <v>0.20204507551129872</v>
      </c>
      <c r="AI829" s="28">
        <f t="shared" si="104"/>
        <v>0.81700000000000061</v>
      </c>
      <c r="AJ829">
        <v>0.77785576952421642</v>
      </c>
      <c r="AK829" s="28">
        <f t="shared" si="101"/>
        <v>0.29520353226722795</v>
      </c>
      <c r="AY829" s="28">
        <f t="shared" si="105"/>
        <v>0.81700000000000061</v>
      </c>
      <c r="AZ829">
        <v>0.67311624500259404</v>
      </c>
      <c r="BA829" s="28">
        <f t="shared" si="102"/>
        <v>0.67311624500259404</v>
      </c>
    </row>
    <row r="830" spans="19:53" x14ac:dyDescent="0.25">
      <c r="S830" s="28">
        <f t="shared" si="103"/>
        <v>0.81800000000000062</v>
      </c>
      <c r="T830">
        <v>0.30634479812005982</v>
      </c>
      <c r="U830" s="28">
        <f t="shared" si="100"/>
        <v>0.40022212399361856</v>
      </c>
      <c r="AI830" s="28">
        <f t="shared" si="104"/>
        <v>0.81800000000000062</v>
      </c>
      <c r="AJ830">
        <v>0.37723929563280129</v>
      </c>
      <c r="AK830" s="28">
        <f t="shared" si="101"/>
        <v>0.17666446365468702</v>
      </c>
      <c r="AY830" s="28">
        <f t="shared" si="105"/>
        <v>0.81800000000000062</v>
      </c>
      <c r="AZ830">
        <v>0.12851344340342419</v>
      </c>
      <c r="BA830" s="28">
        <f t="shared" si="102"/>
        <v>0.12851344340342419</v>
      </c>
    </row>
    <row r="831" spans="19:53" x14ac:dyDescent="0.25">
      <c r="S831" s="28">
        <f t="shared" si="103"/>
        <v>0.81900000000000062</v>
      </c>
      <c r="T831">
        <v>0.94692831202124084</v>
      </c>
      <c r="U831" s="28">
        <f t="shared" si="100"/>
        <v>0.79082698413692731</v>
      </c>
      <c r="AI831" s="28">
        <f t="shared" si="104"/>
        <v>0.81900000000000062</v>
      </c>
      <c r="AJ831">
        <v>0.54338206122013</v>
      </c>
      <c r="AK831" s="28">
        <f t="shared" si="101"/>
        <v>0.21966116446335815</v>
      </c>
      <c r="AY831" s="28">
        <f t="shared" si="105"/>
        <v>0.81900000000000062</v>
      </c>
      <c r="AZ831">
        <v>0.13260292367320781</v>
      </c>
      <c r="BA831" s="28">
        <f t="shared" si="102"/>
        <v>0.13260292367320781</v>
      </c>
    </row>
    <row r="832" spans="19:53" x14ac:dyDescent="0.25">
      <c r="S832" s="28">
        <f t="shared" si="103"/>
        <v>0.82000000000000062</v>
      </c>
      <c r="T832">
        <v>0.71272927030243838</v>
      </c>
      <c r="U832" s="28">
        <f t="shared" si="100"/>
        <v>0.61038610867420218</v>
      </c>
      <c r="AI832" s="28">
        <f t="shared" si="104"/>
        <v>0.82000000000000062</v>
      </c>
      <c r="AJ832">
        <v>0.22199163792840357</v>
      </c>
      <c r="AK832" s="28">
        <f t="shared" si="101"/>
        <v>0.13610848236408238</v>
      </c>
      <c r="AY832" s="28">
        <f t="shared" si="105"/>
        <v>0.82000000000000062</v>
      </c>
      <c r="AZ832">
        <v>0.4621417889950255</v>
      </c>
      <c r="BA832" s="28">
        <f t="shared" si="102"/>
        <v>0.4621417889950255</v>
      </c>
    </row>
    <row r="833" spans="19:53" x14ac:dyDescent="0.25">
      <c r="S833" s="28">
        <f t="shared" si="103"/>
        <v>0.82100000000000062</v>
      </c>
      <c r="T833">
        <v>4.7517319254127631E-2</v>
      </c>
      <c r="U833" s="28">
        <f t="shared" si="100"/>
        <v>0.20147799935074914</v>
      </c>
      <c r="AI833" s="28">
        <f t="shared" si="104"/>
        <v>0.82100000000000062</v>
      </c>
      <c r="AJ833">
        <v>0.94570757164220098</v>
      </c>
      <c r="AK833" s="28">
        <f t="shared" si="101"/>
        <v>0.40280162118966945</v>
      </c>
      <c r="AY833" s="28">
        <f t="shared" si="105"/>
        <v>0.82100000000000062</v>
      </c>
      <c r="AZ833">
        <v>0.59031952879421368</v>
      </c>
      <c r="BA833" s="28">
        <f t="shared" si="102"/>
        <v>0.59031952879421368</v>
      </c>
    </row>
    <row r="834" spans="19:53" x14ac:dyDescent="0.25">
      <c r="S834" s="28">
        <f t="shared" si="103"/>
        <v>0.82200000000000062</v>
      </c>
      <c r="T834">
        <v>0.56202887050996431</v>
      </c>
      <c r="U834" s="28">
        <f t="shared" si="100"/>
        <v>0.53105663384396462</v>
      </c>
      <c r="AI834" s="28">
        <f t="shared" si="104"/>
        <v>0.82200000000000062</v>
      </c>
      <c r="AJ834">
        <v>0.12427137058626057</v>
      </c>
      <c r="AK834" s="28">
        <f t="shared" si="101"/>
        <v>0.10621535158006042</v>
      </c>
      <c r="AY834" s="28">
        <f t="shared" si="105"/>
        <v>0.82200000000000062</v>
      </c>
      <c r="AZ834">
        <v>0.92910550248725854</v>
      </c>
      <c r="BA834" s="28">
        <f t="shared" si="102"/>
        <v>0.92910550248725854</v>
      </c>
    </row>
    <row r="835" spans="19:53" x14ac:dyDescent="0.25">
      <c r="S835" s="28">
        <f t="shared" si="103"/>
        <v>0.82300000000000062</v>
      </c>
      <c r="T835">
        <v>0.7151097140415662</v>
      </c>
      <c r="U835" s="28">
        <f t="shared" si="100"/>
        <v>0.61172718417069127</v>
      </c>
      <c r="AI835" s="28">
        <f t="shared" si="104"/>
        <v>0.82300000000000062</v>
      </c>
      <c r="AJ835">
        <v>0.15408795434430983</v>
      </c>
      <c r="AK835" s="28">
        <f t="shared" si="101"/>
        <v>0.11607298303739169</v>
      </c>
      <c r="AY835" s="28">
        <f t="shared" si="105"/>
        <v>0.82300000000000062</v>
      </c>
      <c r="AZ835">
        <v>2.1637623218482008E-2</v>
      </c>
      <c r="BA835" s="28">
        <f t="shared" si="102"/>
        <v>2.1637623218482005E-2</v>
      </c>
    </row>
    <row r="836" spans="19:53" x14ac:dyDescent="0.25">
      <c r="S836" s="28">
        <f t="shared" si="103"/>
        <v>0.82400000000000062</v>
      </c>
      <c r="T836">
        <v>0.90600299081392865</v>
      </c>
      <c r="U836" s="28">
        <f t="shared" si="100"/>
        <v>0.74494305291980356</v>
      </c>
      <c r="AI836" s="28">
        <f t="shared" si="104"/>
        <v>0.82400000000000062</v>
      </c>
      <c r="AJ836">
        <v>2.3773918881801814E-2</v>
      </c>
      <c r="AK836" s="28">
        <f t="shared" si="101"/>
        <v>5.7596928673406628E-2</v>
      </c>
      <c r="AY836" s="28">
        <f t="shared" si="105"/>
        <v>0.82400000000000062</v>
      </c>
      <c r="AZ836">
        <v>8.0904568620868561E-2</v>
      </c>
      <c r="BA836" s="28">
        <f t="shared" si="102"/>
        <v>8.0904568620868575E-2</v>
      </c>
    </row>
    <row r="837" spans="19:53" x14ac:dyDescent="0.25">
      <c r="S837" s="28">
        <f t="shared" si="103"/>
        <v>0.82500000000000062</v>
      </c>
      <c r="T837">
        <v>0.66368602557451095</v>
      </c>
      <c r="U837" s="28">
        <f t="shared" si="100"/>
        <v>0.58354093958681008</v>
      </c>
      <c r="AI837" s="28">
        <f t="shared" si="104"/>
        <v>0.82500000000000062</v>
      </c>
      <c r="AJ837">
        <v>7.0131534775841553E-2</v>
      </c>
      <c r="AK837" s="28">
        <f t="shared" si="101"/>
        <v>8.4969615515625818E-2</v>
      </c>
      <c r="AY837" s="28">
        <f t="shared" si="105"/>
        <v>0.82500000000000062</v>
      </c>
      <c r="AZ837">
        <v>0.40177617725150305</v>
      </c>
      <c r="BA837" s="28">
        <f t="shared" si="102"/>
        <v>0.40177617725150305</v>
      </c>
    </row>
    <row r="838" spans="19:53" x14ac:dyDescent="0.25">
      <c r="S838" s="28">
        <f t="shared" si="103"/>
        <v>0.82600000000000062</v>
      </c>
      <c r="T838">
        <v>5.7405316324350718E-2</v>
      </c>
      <c r="U838" s="28">
        <f t="shared" si="100"/>
        <v>0.21484745127671667</v>
      </c>
      <c r="AI838" s="28">
        <f t="shared" si="104"/>
        <v>0.82600000000000062</v>
      </c>
      <c r="AJ838">
        <v>0.8665120395519883</v>
      </c>
      <c r="AK838" s="28">
        <f t="shared" si="101"/>
        <v>0.33830823501922613</v>
      </c>
      <c r="AY838" s="28">
        <f t="shared" si="105"/>
        <v>0.82600000000000062</v>
      </c>
      <c r="AZ838">
        <v>0.91531113620410776</v>
      </c>
      <c r="BA838" s="28">
        <f t="shared" si="102"/>
        <v>0.91531113620410776</v>
      </c>
    </row>
    <row r="839" spans="19:53" x14ac:dyDescent="0.25">
      <c r="S839" s="28">
        <f t="shared" si="103"/>
        <v>0.82700000000000062</v>
      </c>
      <c r="T839">
        <v>0.40260017700735495</v>
      </c>
      <c r="U839" s="28">
        <f t="shared" si="100"/>
        <v>0.45101005409323336</v>
      </c>
      <c r="AI839" s="28">
        <f t="shared" si="104"/>
        <v>0.82700000000000062</v>
      </c>
      <c r="AJ839">
        <v>0.46546830652790916</v>
      </c>
      <c r="AK839" s="28">
        <f t="shared" si="101"/>
        <v>0.1991189818180038</v>
      </c>
      <c r="AY839" s="28">
        <f t="shared" si="105"/>
        <v>0.82700000000000062</v>
      </c>
      <c r="AZ839">
        <v>0.5298013245033113</v>
      </c>
      <c r="BA839" s="28">
        <f t="shared" si="102"/>
        <v>0.5298013245033113</v>
      </c>
    </row>
    <row r="840" spans="19:53" x14ac:dyDescent="0.25">
      <c r="S840" s="28">
        <f t="shared" si="103"/>
        <v>0.82800000000000062</v>
      </c>
      <c r="T840">
        <v>0.70723593859675893</v>
      </c>
      <c r="U840" s="28">
        <f t="shared" si="100"/>
        <v>0.60730639331385206</v>
      </c>
      <c r="AI840" s="28">
        <f t="shared" si="104"/>
        <v>0.82800000000000062</v>
      </c>
      <c r="AJ840">
        <v>0.82128360850856041</v>
      </c>
      <c r="AK840" s="28">
        <f t="shared" si="101"/>
        <v>0.31436300456467847</v>
      </c>
      <c r="AY840" s="28">
        <f t="shared" si="105"/>
        <v>0.82800000000000062</v>
      </c>
      <c r="AZ840">
        <v>0.97076326792199474</v>
      </c>
      <c r="BA840" s="28">
        <f t="shared" si="102"/>
        <v>0.97076326792199474</v>
      </c>
    </row>
    <row r="841" spans="19:53" x14ac:dyDescent="0.25">
      <c r="S841" s="28">
        <f t="shared" si="103"/>
        <v>0.82900000000000063</v>
      </c>
      <c r="T841">
        <v>0.5145115512558367</v>
      </c>
      <c r="U841" s="28">
        <f t="shared" si="100"/>
        <v>0.50724454097586991</v>
      </c>
      <c r="AI841" s="28">
        <f t="shared" si="104"/>
        <v>0.82900000000000063</v>
      </c>
      <c r="AJ841">
        <v>0.44566179387798699</v>
      </c>
      <c r="AK841" s="28">
        <f t="shared" si="101"/>
        <v>0.19403524315791684</v>
      </c>
      <c r="AY841" s="28">
        <f t="shared" si="105"/>
        <v>0.82900000000000063</v>
      </c>
      <c r="AZ841">
        <v>4.5899838251899777E-2</v>
      </c>
      <c r="BA841" s="28">
        <f t="shared" si="102"/>
        <v>4.5899838251899784E-2</v>
      </c>
    </row>
    <row r="842" spans="19:53" x14ac:dyDescent="0.25">
      <c r="S842" s="28">
        <f t="shared" si="103"/>
        <v>0.83000000000000063</v>
      </c>
      <c r="T842">
        <v>0.20404675435651723</v>
      </c>
      <c r="U842" s="28">
        <f t="shared" si="100"/>
        <v>0.33969434286195699</v>
      </c>
      <c r="AI842" s="28">
        <f t="shared" si="104"/>
        <v>0.83000000000000063</v>
      </c>
      <c r="AJ842">
        <v>0.54722739341410565</v>
      </c>
      <c r="AK842" s="28">
        <f t="shared" si="101"/>
        <v>0.22070565467324443</v>
      </c>
      <c r="AY842" s="28">
        <f t="shared" si="105"/>
        <v>0.83000000000000063</v>
      </c>
      <c r="AZ842">
        <v>0.37202063051240575</v>
      </c>
      <c r="BA842" s="28">
        <f t="shared" si="102"/>
        <v>0.37202063051240575</v>
      </c>
    </row>
    <row r="843" spans="19:53" x14ac:dyDescent="0.25">
      <c r="S843" s="28">
        <f t="shared" si="103"/>
        <v>0.83100000000000063</v>
      </c>
      <c r="T843">
        <v>0.47654652546769616</v>
      </c>
      <c r="U843" s="28">
        <f t="shared" si="100"/>
        <v>0.48828825671713599</v>
      </c>
      <c r="AI843" s="28">
        <f t="shared" si="104"/>
        <v>0.83100000000000063</v>
      </c>
      <c r="AJ843">
        <v>0.6675008392590106</v>
      </c>
      <c r="AK843" s="28">
        <f t="shared" si="101"/>
        <v>0.25578935806715475</v>
      </c>
      <c r="AY843" s="28">
        <f t="shared" si="105"/>
        <v>0.83100000000000063</v>
      </c>
      <c r="AZ843">
        <v>1.9531846064638203E-3</v>
      </c>
      <c r="BA843" s="28">
        <f t="shared" si="102"/>
        <v>1.9531846064638212E-3</v>
      </c>
    </row>
    <row r="844" spans="19:53" x14ac:dyDescent="0.25">
      <c r="S844" s="28">
        <f t="shared" si="103"/>
        <v>0.83200000000000063</v>
      </c>
      <c r="T844">
        <v>0.11001922666096987</v>
      </c>
      <c r="U844" s="28">
        <f t="shared" si="100"/>
        <v>0.26980827245581562</v>
      </c>
      <c r="AI844" s="28">
        <f t="shared" si="104"/>
        <v>0.83200000000000063</v>
      </c>
      <c r="AJ844">
        <v>0.48445081942197943</v>
      </c>
      <c r="AK844" s="28">
        <f t="shared" si="101"/>
        <v>0.20403313045507854</v>
      </c>
      <c r="AY844" s="28">
        <f t="shared" si="105"/>
        <v>0.83200000000000063</v>
      </c>
      <c r="AZ844">
        <v>0.99795525986510814</v>
      </c>
      <c r="BA844" s="28">
        <f t="shared" si="102"/>
        <v>0.99795525986510814</v>
      </c>
    </row>
    <row r="845" spans="19:53" x14ac:dyDescent="0.25">
      <c r="S845" s="28">
        <f t="shared" si="103"/>
        <v>0.83300000000000063</v>
      </c>
      <c r="T845">
        <v>0.93429364909817803</v>
      </c>
      <c r="U845" s="28">
        <f t="shared" ref="U845:U908" si="106">_xlfn.BETA.INV(T845,$V$5,$V$6,0,1)</f>
        <v>0.77495426857789051</v>
      </c>
      <c r="AI845" s="28">
        <f t="shared" si="104"/>
        <v>0.83300000000000063</v>
      </c>
      <c r="AJ845">
        <v>0.64256721701712083</v>
      </c>
      <c r="AK845" s="28">
        <f t="shared" ref="AK845:AK908" si="107">_xlfn.BETA.INV(AJ845,$AL$5,$AL$6,0,1)</f>
        <v>0.24803852071405852</v>
      </c>
      <c r="AY845" s="28">
        <f t="shared" si="105"/>
        <v>0.83300000000000063</v>
      </c>
      <c r="AZ845">
        <v>0.72124393444624169</v>
      </c>
      <c r="BA845" s="28">
        <f t="shared" ref="BA845:BA908" si="108">_xlfn.BETA.INV(AZ845,$BB$5,$BB$6,0,1)</f>
        <v>0.72124393444624169</v>
      </c>
    </row>
    <row r="846" spans="19:53" x14ac:dyDescent="0.25">
      <c r="S846" s="28">
        <f t="shared" si="103"/>
        <v>0.83400000000000063</v>
      </c>
      <c r="T846">
        <v>0.55452131717886899</v>
      </c>
      <c r="U846" s="28">
        <f t="shared" si="106"/>
        <v>0.52727856641997661</v>
      </c>
      <c r="AI846" s="28">
        <f t="shared" si="104"/>
        <v>0.83400000000000063</v>
      </c>
      <c r="AJ846">
        <v>0.41499069185460979</v>
      </c>
      <c r="AK846" s="28">
        <f t="shared" si="107"/>
        <v>0.18622566863840792</v>
      </c>
      <c r="AY846" s="28">
        <f t="shared" si="105"/>
        <v>0.83400000000000063</v>
      </c>
      <c r="AZ846">
        <v>0.81163975951414535</v>
      </c>
      <c r="BA846" s="28">
        <f t="shared" si="108"/>
        <v>0.81163975951414535</v>
      </c>
    </row>
    <row r="847" spans="19:53" x14ac:dyDescent="0.25">
      <c r="S847" s="28">
        <f t="shared" ref="S847:S910" si="109">S846+0.001</f>
        <v>0.83500000000000063</v>
      </c>
      <c r="T847">
        <v>0.11349833674123355</v>
      </c>
      <c r="U847" s="28">
        <f t="shared" si="106"/>
        <v>0.27285283018060208</v>
      </c>
      <c r="AI847" s="28">
        <f t="shared" ref="AI847:AI910" si="110">AI846+0.001</f>
        <v>0.83500000000000063</v>
      </c>
      <c r="AJ847">
        <v>0.63628040406506547</v>
      </c>
      <c r="AK847" s="28">
        <f t="shared" si="107"/>
        <v>0.24613158222623877</v>
      </c>
      <c r="AY847" s="28">
        <f t="shared" ref="AY847:AY910" si="111">AY846+0.001</f>
        <v>0.83500000000000063</v>
      </c>
      <c r="AZ847">
        <v>7.733390301217688E-2</v>
      </c>
      <c r="BA847" s="28">
        <f t="shared" si="108"/>
        <v>7.733390301217688E-2</v>
      </c>
    </row>
    <row r="848" spans="19:53" x14ac:dyDescent="0.25">
      <c r="S848" s="28">
        <f t="shared" si="109"/>
        <v>0.83600000000000063</v>
      </c>
      <c r="T848">
        <v>0.58116397595141456</v>
      </c>
      <c r="U848" s="28">
        <f t="shared" si="106"/>
        <v>0.54072727936570419</v>
      </c>
      <c r="AI848" s="28">
        <f t="shared" si="110"/>
        <v>0.83600000000000063</v>
      </c>
      <c r="AJ848">
        <v>2.0203253273110143E-2</v>
      </c>
      <c r="AK848" s="28">
        <f t="shared" si="107"/>
        <v>5.4462676469348541E-2</v>
      </c>
      <c r="AY848" s="28">
        <f t="shared" si="111"/>
        <v>0.83600000000000063</v>
      </c>
      <c r="AZ848">
        <v>0.21594897305215613</v>
      </c>
      <c r="BA848" s="28">
        <f t="shared" si="108"/>
        <v>0.21594897305215613</v>
      </c>
    </row>
    <row r="849" spans="19:53" x14ac:dyDescent="0.25">
      <c r="S849" s="28">
        <f t="shared" si="109"/>
        <v>0.83700000000000063</v>
      </c>
      <c r="T849">
        <v>3.2776879177220983E-2</v>
      </c>
      <c r="U849" s="28">
        <f t="shared" si="106"/>
        <v>0.17793545348169193</v>
      </c>
      <c r="AI849" s="28">
        <f t="shared" si="110"/>
        <v>0.83700000000000063</v>
      </c>
      <c r="AJ849">
        <v>0.23419904171880246</v>
      </c>
      <c r="AK849" s="28">
        <f t="shared" si="107"/>
        <v>0.13948006990414732</v>
      </c>
      <c r="AY849" s="28">
        <f t="shared" si="111"/>
        <v>0.83700000000000063</v>
      </c>
      <c r="AZ849">
        <v>0.85384685811944949</v>
      </c>
      <c r="BA849" s="28">
        <f t="shared" si="108"/>
        <v>0.85384685811944949</v>
      </c>
    </row>
    <row r="850" spans="19:53" x14ac:dyDescent="0.25">
      <c r="S850" s="28">
        <f t="shared" si="109"/>
        <v>0.83800000000000063</v>
      </c>
      <c r="T850">
        <v>0.74852748191778318</v>
      </c>
      <c r="U850" s="28">
        <f t="shared" si="106"/>
        <v>0.63102122696689511</v>
      </c>
      <c r="AI850" s="28">
        <f t="shared" si="110"/>
        <v>0.83800000000000063</v>
      </c>
      <c r="AJ850">
        <v>0.46687215796380505</v>
      </c>
      <c r="AK850" s="28">
        <f t="shared" si="107"/>
        <v>0.19948087845422469</v>
      </c>
      <c r="AY850" s="28">
        <f t="shared" si="111"/>
        <v>0.83800000000000063</v>
      </c>
      <c r="AZ850">
        <v>0.69667653431806387</v>
      </c>
      <c r="BA850" s="28">
        <f t="shared" si="108"/>
        <v>0.69667653431806387</v>
      </c>
    </row>
    <row r="851" spans="19:53" x14ac:dyDescent="0.25">
      <c r="S851" s="28">
        <f t="shared" si="109"/>
        <v>0.83900000000000063</v>
      </c>
      <c r="T851">
        <v>0.98681600390636925</v>
      </c>
      <c r="U851" s="28">
        <f t="shared" si="106"/>
        <v>0.86770059309655778</v>
      </c>
      <c r="AI851" s="28">
        <f t="shared" si="110"/>
        <v>0.83900000000000063</v>
      </c>
      <c r="AJ851">
        <v>0.72856837672048103</v>
      </c>
      <c r="AK851" s="28">
        <f t="shared" si="107"/>
        <v>0.27634498416060549</v>
      </c>
      <c r="AY851" s="28">
        <f t="shared" si="111"/>
        <v>0.83900000000000063</v>
      </c>
      <c r="AZ851">
        <v>0.64625995666371649</v>
      </c>
      <c r="BA851" s="28">
        <f t="shared" si="108"/>
        <v>0.64625995666371649</v>
      </c>
    </row>
    <row r="852" spans="19:53" x14ac:dyDescent="0.25">
      <c r="S852" s="28">
        <f t="shared" si="109"/>
        <v>0.84000000000000064</v>
      </c>
      <c r="T852">
        <v>0.8239997558519242</v>
      </c>
      <c r="U852" s="28">
        <f t="shared" si="106"/>
        <v>0.67907031872287371</v>
      </c>
      <c r="AI852" s="28">
        <f t="shared" si="110"/>
        <v>0.84000000000000064</v>
      </c>
      <c r="AJ852">
        <v>0.81392864772484508</v>
      </c>
      <c r="AK852" s="28">
        <f t="shared" si="107"/>
        <v>0.31090270424218747</v>
      </c>
      <c r="AY852" s="28">
        <f t="shared" si="111"/>
        <v>0.84000000000000064</v>
      </c>
      <c r="AZ852">
        <v>0.62041077913754694</v>
      </c>
      <c r="BA852" s="28">
        <f t="shared" si="108"/>
        <v>0.62041077913754694</v>
      </c>
    </row>
    <row r="853" spans="19:53" x14ac:dyDescent="0.25">
      <c r="S853" s="28">
        <f t="shared" si="109"/>
        <v>0.84100000000000064</v>
      </c>
      <c r="T853">
        <v>3.0640583513901181E-2</v>
      </c>
      <c r="U853" s="28">
        <f t="shared" si="106"/>
        <v>0.17401036005182149</v>
      </c>
      <c r="AI853" s="28">
        <f t="shared" si="110"/>
        <v>0.84100000000000064</v>
      </c>
      <c r="AJ853">
        <v>0.19806512649922178</v>
      </c>
      <c r="AK853" s="28">
        <f t="shared" si="107"/>
        <v>0.12933014939683715</v>
      </c>
      <c r="AY853" s="28">
        <f t="shared" si="111"/>
        <v>0.84100000000000064</v>
      </c>
      <c r="AZ853">
        <v>0.95727408673360392</v>
      </c>
      <c r="BA853" s="28">
        <f t="shared" si="108"/>
        <v>0.95727408673360392</v>
      </c>
    </row>
    <row r="854" spans="19:53" x14ac:dyDescent="0.25">
      <c r="S854" s="28">
        <f t="shared" si="109"/>
        <v>0.84200000000000064</v>
      </c>
      <c r="T854">
        <v>0.63249610889004182</v>
      </c>
      <c r="U854" s="28">
        <f t="shared" si="106"/>
        <v>0.5670905348041213</v>
      </c>
      <c r="AI854" s="28">
        <f t="shared" si="110"/>
        <v>0.84200000000000064</v>
      </c>
      <c r="AJ854">
        <v>0.87066255684072391</v>
      </c>
      <c r="AK854" s="28">
        <f t="shared" si="107"/>
        <v>0.3407951403544176</v>
      </c>
      <c r="AY854" s="28">
        <f t="shared" si="111"/>
        <v>0.84200000000000064</v>
      </c>
      <c r="AZ854">
        <v>0.48484756004516738</v>
      </c>
      <c r="BA854" s="28">
        <f t="shared" si="108"/>
        <v>0.48484756004516738</v>
      </c>
    </row>
    <row r="855" spans="19:53" x14ac:dyDescent="0.25">
      <c r="S855" s="28">
        <f t="shared" si="109"/>
        <v>0.84300000000000064</v>
      </c>
      <c r="T855">
        <v>0.53212073122348702</v>
      </c>
      <c r="U855" s="28">
        <f t="shared" si="106"/>
        <v>0.51604598766036491</v>
      </c>
      <c r="AI855" s="28">
        <f t="shared" si="110"/>
        <v>0.84300000000000064</v>
      </c>
      <c r="AJ855">
        <v>0.64082766197698904</v>
      </c>
      <c r="AK855" s="28">
        <f t="shared" si="107"/>
        <v>0.24750907442947112</v>
      </c>
      <c r="AY855" s="28">
        <f t="shared" si="111"/>
        <v>0.84300000000000064</v>
      </c>
      <c r="AZ855">
        <v>0.83993041779839472</v>
      </c>
      <c r="BA855" s="28">
        <f t="shared" si="108"/>
        <v>0.83993041779839472</v>
      </c>
    </row>
    <row r="856" spans="19:53" x14ac:dyDescent="0.25">
      <c r="S856" s="28">
        <f t="shared" si="109"/>
        <v>0.84400000000000064</v>
      </c>
      <c r="T856">
        <v>0.10608233893856624</v>
      </c>
      <c r="U856" s="28">
        <f t="shared" si="106"/>
        <v>0.26629936356362199</v>
      </c>
      <c r="AI856" s="28">
        <f t="shared" si="110"/>
        <v>0.84400000000000064</v>
      </c>
      <c r="AJ856">
        <v>0.67708365123447367</v>
      </c>
      <c r="AK856" s="28">
        <f t="shared" si="107"/>
        <v>0.25885568890465271</v>
      </c>
      <c r="AY856" s="28">
        <f t="shared" si="111"/>
        <v>0.84400000000000064</v>
      </c>
      <c r="AZ856">
        <v>0.80449842829676199</v>
      </c>
      <c r="BA856" s="28">
        <f t="shared" si="108"/>
        <v>0.80449842829676199</v>
      </c>
    </row>
    <row r="857" spans="19:53" x14ac:dyDescent="0.25">
      <c r="S857" s="28">
        <f t="shared" si="109"/>
        <v>0.84500000000000064</v>
      </c>
      <c r="T857">
        <v>0.90102847376934114</v>
      </c>
      <c r="U857" s="28">
        <f t="shared" si="106"/>
        <v>0.74022401910034352</v>
      </c>
      <c r="AI857" s="28">
        <f t="shared" si="110"/>
        <v>0.84500000000000064</v>
      </c>
      <c r="AJ857">
        <v>0.89675588244270155</v>
      </c>
      <c r="AK857" s="28">
        <f t="shared" si="107"/>
        <v>0.35800849440489879</v>
      </c>
      <c r="AY857" s="28">
        <f t="shared" si="111"/>
        <v>0.84500000000000064</v>
      </c>
      <c r="AZ857">
        <v>0.79149754325998722</v>
      </c>
      <c r="BA857" s="28">
        <f t="shared" si="108"/>
        <v>0.79149754325998722</v>
      </c>
    </row>
    <row r="858" spans="19:53" x14ac:dyDescent="0.25">
      <c r="S858" s="28">
        <f t="shared" si="109"/>
        <v>0.84600000000000064</v>
      </c>
      <c r="T858">
        <v>0.45951719718008971</v>
      </c>
      <c r="U858" s="28">
        <f t="shared" si="106"/>
        <v>0.4797669176831062</v>
      </c>
      <c r="AI858" s="28">
        <f t="shared" si="110"/>
        <v>0.84600000000000064</v>
      </c>
      <c r="AJ858">
        <v>0.64650410473952458</v>
      </c>
      <c r="AK858" s="28">
        <f t="shared" si="107"/>
        <v>0.24924193716656828</v>
      </c>
      <c r="AY858" s="28">
        <f t="shared" si="111"/>
        <v>0.84600000000000064</v>
      </c>
      <c r="AZ858">
        <v>0.77764213995788445</v>
      </c>
      <c r="BA858" s="28">
        <f t="shared" si="108"/>
        <v>0.77764213995788445</v>
      </c>
    </row>
    <row r="859" spans="19:53" x14ac:dyDescent="0.25">
      <c r="S859" s="28">
        <f t="shared" si="109"/>
        <v>0.84700000000000064</v>
      </c>
      <c r="T859">
        <v>0.97311319315164646</v>
      </c>
      <c r="U859" s="28">
        <f t="shared" si="106"/>
        <v>0.83332360551534534</v>
      </c>
      <c r="AI859" s="28">
        <f t="shared" si="110"/>
        <v>0.84700000000000064</v>
      </c>
      <c r="AJ859">
        <v>0.48881496627704701</v>
      </c>
      <c r="AK859" s="28">
        <f t="shared" si="107"/>
        <v>0.20516976469437562</v>
      </c>
      <c r="AY859" s="28">
        <f t="shared" si="111"/>
        <v>0.84700000000000064</v>
      </c>
      <c r="AZ859">
        <v>0.70973845637379074</v>
      </c>
      <c r="BA859" s="28">
        <f t="shared" si="108"/>
        <v>0.70973845637379074</v>
      </c>
    </row>
    <row r="860" spans="19:53" x14ac:dyDescent="0.25">
      <c r="S860" s="28">
        <f t="shared" si="109"/>
        <v>0.84800000000000064</v>
      </c>
      <c r="T860">
        <v>0.30777916806543171</v>
      </c>
      <c r="U860" s="28">
        <f t="shared" si="106"/>
        <v>0.40101056907791854</v>
      </c>
      <c r="AI860" s="28">
        <f t="shared" si="110"/>
        <v>0.84800000000000064</v>
      </c>
      <c r="AJ860">
        <v>0.23349711600085452</v>
      </c>
      <c r="AK860" s="28">
        <f t="shared" si="107"/>
        <v>0.13928759454010131</v>
      </c>
      <c r="AY860" s="28">
        <f t="shared" si="111"/>
        <v>0.84800000000000064</v>
      </c>
      <c r="AZ860">
        <v>0.54603717154454179</v>
      </c>
      <c r="BA860" s="28">
        <f t="shared" si="108"/>
        <v>0.54603717154454179</v>
      </c>
    </row>
    <row r="861" spans="19:53" x14ac:dyDescent="0.25">
      <c r="S861" s="28">
        <f t="shared" si="109"/>
        <v>0.84900000000000064</v>
      </c>
      <c r="T861">
        <v>0.84899441511276585</v>
      </c>
      <c r="U861" s="28">
        <f t="shared" si="106"/>
        <v>0.69704362586140989</v>
      </c>
      <c r="AI861" s="28">
        <f t="shared" si="110"/>
        <v>0.84900000000000064</v>
      </c>
      <c r="AJ861">
        <v>4.5319986571855833E-2</v>
      </c>
      <c r="AK861" s="28">
        <f t="shared" si="107"/>
        <v>7.2330074270708103E-2</v>
      </c>
      <c r="AY861" s="28">
        <f t="shared" si="111"/>
        <v>0.84900000000000064</v>
      </c>
      <c r="AZ861">
        <v>0.72673726615192114</v>
      </c>
      <c r="BA861" s="28">
        <f t="shared" si="108"/>
        <v>0.72673726615192114</v>
      </c>
    </row>
    <row r="862" spans="19:53" x14ac:dyDescent="0.25">
      <c r="S862" s="28">
        <f t="shared" si="109"/>
        <v>0.85000000000000064</v>
      </c>
      <c r="T862">
        <v>0.57551805169835502</v>
      </c>
      <c r="U862" s="28">
        <f t="shared" si="106"/>
        <v>0.53786705173707383</v>
      </c>
      <c r="AI862" s="28">
        <f t="shared" si="110"/>
        <v>0.85000000000000064</v>
      </c>
      <c r="AJ862">
        <v>0.38969084749900817</v>
      </c>
      <c r="AK862" s="28">
        <f t="shared" si="107"/>
        <v>0.17981599809054605</v>
      </c>
      <c r="AY862" s="28">
        <f t="shared" si="111"/>
        <v>0.85000000000000064</v>
      </c>
      <c r="AZ862">
        <v>0.85369426557206951</v>
      </c>
      <c r="BA862" s="28">
        <f t="shared" si="108"/>
        <v>0.85369426557206951</v>
      </c>
    </row>
    <row r="863" spans="19:53" x14ac:dyDescent="0.25">
      <c r="S863" s="28">
        <f t="shared" si="109"/>
        <v>0.85100000000000064</v>
      </c>
      <c r="T863">
        <v>0.88787499618518628</v>
      </c>
      <c r="U863" s="28">
        <f t="shared" si="106"/>
        <v>0.72834285226867768</v>
      </c>
      <c r="AI863" s="28">
        <f t="shared" si="110"/>
        <v>0.85100000000000064</v>
      </c>
      <c r="AJ863">
        <v>0.76442762535477771</v>
      </c>
      <c r="AK863" s="28">
        <f t="shared" si="107"/>
        <v>0.28981057679101574</v>
      </c>
      <c r="AY863" s="28">
        <f t="shared" si="111"/>
        <v>0.85100000000000064</v>
      </c>
      <c r="AZ863">
        <v>0.75243385113071082</v>
      </c>
      <c r="BA863" s="28">
        <f t="shared" si="108"/>
        <v>0.75243385113071082</v>
      </c>
    </row>
    <row r="864" spans="19:53" x14ac:dyDescent="0.25">
      <c r="S864" s="28">
        <f t="shared" si="109"/>
        <v>0.85200000000000065</v>
      </c>
      <c r="T864">
        <v>0.34754478591265603</v>
      </c>
      <c r="U864" s="28">
        <f t="shared" si="106"/>
        <v>0.4224290707260106</v>
      </c>
      <c r="AI864" s="28">
        <f t="shared" si="110"/>
        <v>0.85200000000000065</v>
      </c>
      <c r="AJ864">
        <v>0.67412335581530203</v>
      </c>
      <c r="AK864" s="28">
        <f t="shared" si="107"/>
        <v>0.25790289052642457</v>
      </c>
      <c r="AY864" s="28">
        <f t="shared" si="111"/>
        <v>0.85200000000000065</v>
      </c>
      <c r="AZ864">
        <v>0.85738700521866507</v>
      </c>
      <c r="BA864" s="28">
        <f t="shared" si="108"/>
        <v>0.85738700521866507</v>
      </c>
    </row>
    <row r="865" spans="19:53" x14ac:dyDescent="0.25">
      <c r="S865" s="28">
        <f t="shared" si="109"/>
        <v>0.85300000000000065</v>
      </c>
      <c r="T865">
        <v>0.6606646931363872</v>
      </c>
      <c r="U865" s="28">
        <f t="shared" si="106"/>
        <v>0.58192928822290335</v>
      </c>
      <c r="AI865" s="28">
        <f t="shared" si="110"/>
        <v>0.85300000000000065</v>
      </c>
      <c r="AJ865">
        <v>0.57152012695699939</v>
      </c>
      <c r="AK865" s="28">
        <f t="shared" si="107"/>
        <v>0.22739131240237198</v>
      </c>
      <c r="AY865" s="28">
        <f t="shared" si="111"/>
        <v>0.85300000000000065</v>
      </c>
      <c r="AZ865">
        <v>0.71858882412182989</v>
      </c>
      <c r="BA865" s="28">
        <f t="shared" si="108"/>
        <v>0.71858882412182989</v>
      </c>
    </row>
    <row r="866" spans="19:53" x14ac:dyDescent="0.25">
      <c r="S866" s="28">
        <f t="shared" si="109"/>
        <v>0.85400000000000065</v>
      </c>
      <c r="T866">
        <v>0.4978484450819422</v>
      </c>
      <c r="U866" s="28">
        <f t="shared" si="106"/>
        <v>0.49892606411606688</v>
      </c>
      <c r="AI866" s="28">
        <f t="shared" si="110"/>
        <v>0.85400000000000065</v>
      </c>
      <c r="AJ866">
        <v>0.31583605456709496</v>
      </c>
      <c r="AK866" s="28">
        <f t="shared" si="107"/>
        <v>0.16103775663121855</v>
      </c>
      <c r="AY866" s="28">
        <f t="shared" si="111"/>
        <v>0.85400000000000065</v>
      </c>
      <c r="AZ866">
        <v>0.36802270577105012</v>
      </c>
      <c r="BA866" s="28">
        <f t="shared" si="108"/>
        <v>0.36802270577105012</v>
      </c>
    </row>
    <row r="867" spans="19:53" x14ac:dyDescent="0.25">
      <c r="S867" s="28">
        <f t="shared" si="109"/>
        <v>0.85500000000000065</v>
      </c>
      <c r="T867">
        <v>0.597766045106357</v>
      </c>
      <c r="U867" s="28">
        <f t="shared" si="106"/>
        <v>0.54917702743134467</v>
      </c>
      <c r="AI867" s="28">
        <f t="shared" si="110"/>
        <v>0.85500000000000065</v>
      </c>
      <c r="AJ867">
        <v>0.32541886654255808</v>
      </c>
      <c r="AK867" s="28">
        <f t="shared" si="107"/>
        <v>0.16349460247968328</v>
      </c>
      <c r="AY867" s="28">
        <f t="shared" si="111"/>
        <v>0.85500000000000065</v>
      </c>
      <c r="AZ867">
        <v>0.93694875942258982</v>
      </c>
      <c r="BA867" s="28">
        <f t="shared" si="108"/>
        <v>0.93694875942258982</v>
      </c>
    </row>
    <row r="868" spans="19:53" x14ac:dyDescent="0.25">
      <c r="S868" s="28">
        <f t="shared" si="109"/>
        <v>0.85600000000000065</v>
      </c>
      <c r="T868">
        <v>0.14069032868434705</v>
      </c>
      <c r="U868" s="28">
        <f t="shared" si="106"/>
        <v>0.29510750336546937</v>
      </c>
      <c r="AI868" s="28">
        <f t="shared" si="110"/>
        <v>0.85600000000000065</v>
      </c>
      <c r="AJ868">
        <v>0.41242713705862605</v>
      </c>
      <c r="AK868" s="28">
        <f t="shared" si="107"/>
        <v>0.18557532562864856</v>
      </c>
      <c r="AY868" s="28">
        <f t="shared" si="111"/>
        <v>0.85600000000000065</v>
      </c>
      <c r="AZ868">
        <v>0.52949613940855134</v>
      </c>
      <c r="BA868" s="28">
        <f t="shared" si="108"/>
        <v>0.52949613940855134</v>
      </c>
    </row>
    <row r="869" spans="19:53" x14ac:dyDescent="0.25">
      <c r="S869" s="28">
        <f t="shared" si="109"/>
        <v>0.85700000000000065</v>
      </c>
      <c r="T869">
        <v>0.45204016235847039</v>
      </c>
      <c r="U869" s="28">
        <f t="shared" si="106"/>
        <v>0.47601725652804366</v>
      </c>
      <c r="AI869" s="28">
        <f t="shared" si="110"/>
        <v>0.85700000000000065</v>
      </c>
      <c r="AJ869">
        <v>0.77434614093447673</v>
      </c>
      <c r="AK869" s="28">
        <f t="shared" si="107"/>
        <v>0.29377313509897085</v>
      </c>
      <c r="AY869" s="28">
        <f t="shared" si="111"/>
        <v>0.85700000000000065</v>
      </c>
      <c r="AZ869">
        <v>0.80095828119754631</v>
      </c>
      <c r="BA869" s="28">
        <f t="shared" si="108"/>
        <v>0.80095828119754631</v>
      </c>
    </row>
    <row r="870" spans="19:53" x14ac:dyDescent="0.25">
      <c r="S870" s="28">
        <f t="shared" si="109"/>
        <v>0.85800000000000065</v>
      </c>
      <c r="T870">
        <v>0.79296243171483505</v>
      </c>
      <c r="U870" s="28">
        <f t="shared" si="106"/>
        <v>0.6583768244412187</v>
      </c>
      <c r="AI870" s="28">
        <f t="shared" si="110"/>
        <v>0.85800000000000065</v>
      </c>
      <c r="AJ870">
        <v>0.40919217505417038</v>
      </c>
      <c r="AK870" s="28">
        <f t="shared" si="107"/>
        <v>0.18475502195285276</v>
      </c>
      <c r="AY870" s="28">
        <f t="shared" si="111"/>
        <v>0.85800000000000065</v>
      </c>
      <c r="AZ870">
        <v>0.49879451887569809</v>
      </c>
      <c r="BA870" s="28">
        <f t="shared" si="108"/>
        <v>0.49879451887569809</v>
      </c>
    </row>
    <row r="871" spans="19:53" x14ac:dyDescent="0.25">
      <c r="S871" s="28">
        <f t="shared" si="109"/>
        <v>0.85900000000000065</v>
      </c>
      <c r="T871">
        <v>0.15979491561632131</v>
      </c>
      <c r="U871" s="28">
        <f t="shared" si="106"/>
        <v>0.30943310953645708</v>
      </c>
      <c r="AI871" s="28">
        <f t="shared" si="110"/>
        <v>0.85900000000000065</v>
      </c>
      <c r="AJ871">
        <v>7.4770348216193119E-2</v>
      </c>
      <c r="AK871" s="28">
        <f t="shared" si="107"/>
        <v>8.7052559368119883E-2</v>
      </c>
      <c r="AY871" s="28">
        <f t="shared" si="111"/>
        <v>0.85900000000000065</v>
      </c>
      <c r="AZ871">
        <v>0.38956877346110413</v>
      </c>
      <c r="BA871" s="28">
        <f t="shared" si="108"/>
        <v>0.38956877346110413</v>
      </c>
    </row>
    <row r="872" spans="19:53" x14ac:dyDescent="0.25">
      <c r="S872" s="28">
        <f t="shared" si="109"/>
        <v>0.86000000000000065</v>
      </c>
      <c r="T872">
        <v>0.74730674153874321</v>
      </c>
      <c r="U872" s="28">
        <f t="shared" si="106"/>
        <v>0.63029954688148182</v>
      </c>
      <c r="AI872" s="28">
        <f t="shared" si="110"/>
        <v>0.86000000000000065</v>
      </c>
      <c r="AJ872">
        <v>0.67159031952879422</v>
      </c>
      <c r="AK872" s="28">
        <f t="shared" si="107"/>
        <v>0.25709158936447263</v>
      </c>
      <c r="AY872" s="28">
        <f t="shared" si="111"/>
        <v>0.86000000000000065</v>
      </c>
      <c r="AZ872">
        <v>0.70131534775841553</v>
      </c>
      <c r="BA872" s="28">
        <f t="shared" si="108"/>
        <v>0.70131534775841553</v>
      </c>
    </row>
    <row r="873" spans="19:53" x14ac:dyDescent="0.25">
      <c r="S873" s="28">
        <f t="shared" si="109"/>
        <v>0.86100000000000065</v>
      </c>
      <c r="T873">
        <v>0.84994048890652185</v>
      </c>
      <c r="U873" s="28">
        <f t="shared" si="106"/>
        <v>0.69775192017754817</v>
      </c>
      <c r="AI873" s="28">
        <f t="shared" si="110"/>
        <v>0.86100000000000065</v>
      </c>
      <c r="AJ873">
        <v>0.68797875911740469</v>
      </c>
      <c r="AK873" s="28">
        <f t="shared" si="107"/>
        <v>0.26240720655119698</v>
      </c>
      <c r="AY873" s="28">
        <f t="shared" si="111"/>
        <v>0.86100000000000065</v>
      </c>
      <c r="AZ873">
        <v>0.50263985106967379</v>
      </c>
      <c r="BA873" s="28">
        <f t="shared" si="108"/>
        <v>0.50263985106967379</v>
      </c>
    </row>
    <row r="874" spans="19:53" x14ac:dyDescent="0.25">
      <c r="S874" s="28">
        <f t="shared" si="109"/>
        <v>0.86200000000000065</v>
      </c>
      <c r="T874">
        <v>0.6590777306436354</v>
      </c>
      <c r="U874" s="28">
        <f t="shared" si="106"/>
        <v>0.58108444344491583</v>
      </c>
      <c r="AI874" s="28">
        <f t="shared" si="110"/>
        <v>0.86200000000000065</v>
      </c>
      <c r="AJ874">
        <v>0.95626697592089605</v>
      </c>
      <c r="AK874" s="28">
        <f t="shared" si="107"/>
        <v>0.4166787993652632</v>
      </c>
      <c r="AY874" s="28">
        <f t="shared" si="111"/>
        <v>0.86200000000000065</v>
      </c>
      <c r="AZ874">
        <v>0.32218390453810236</v>
      </c>
      <c r="BA874" s="28">
        <f t="shared" si="108"/>
        <v>0.32218390453810236</v>
      </c>
    </row>
    <row r="875" spans="19:53" x14ac:dyDescent="0.25">
      <c r="S875" s="28">
        <f t="shared" si="109"/>
        <v>0.86300000000000066</v>
      </c>
      <c r="T875">
        <v>0.24350718710898159</v>
      </c>
      <c r="U875" s="28">
        <f t="shared" si="106"/>
        <v>0.36423465072584532</v>
      </c>
      <c r="AI875" s="28">
        <f t="shared" si="110"/>
        <v>0.86300000000000066</v>
      </c>
      <c r="AJ875">
        <v>0.48579363383892332</v>
      </c>
      <c r="AK875" s="28">
        <f t="shared" si="107"/>
        <v>0.20438257103947161</v>
      </c>
      <c r="AY875" s="28">
        <f t="shared" si="111"/>
        <v>0.86300000000000066</v>
      </c>
      <c r="AZ875">
        <v>0.39378032776879179</v>
      </c>
      <c r="BA875" s="28">
        <f t="shared" si="108"/>
        <v>0.39378032776879179</v>
      </c>
    </row>
    <row r="876" spans="19:53" x14ac:dyDescent="0.25">
      <c r="S876" s="28">
        <f t="shared" si="109"/>
        <v>0.86400000000000066</v>
      </c>
      <c r="T876">
        <v>0.86611529892880035</v>
      </c>
      <c r="U876" s="28">
        <f t="shared" si="106"/>
        <v>0.7102336018055535</v>
      </c>
      <c r="AI876" s="28">
        <f t="shared" si="110"/>
        <v>0.86400000000000066</v>
      </c>
      <c r="AJ876">
        <v>0.53422650837733088</v>
      </c>
      <c r="AK876" s="28">
        <f t="shared" si="107"/>
        <v>0.21718812266263743</v>
      </c>
      <c r="AY876" s="28">
        <f t="shared" si="111"/>
        <v>0.86400000000000066</v>
      </c>
      <c r="AZ876">
        <v>0.48609881893368329</v>
      </c>
      <c r="BA876" s="28">
        <f t="shared" si="108"/>
        <v>0.48609881893368329</v>
      </c>
    </row>
    <row r="877" spans="19:53" x14ac:dyDescent="0.25">
      <c r="S877" s="28">
        <f t="shared" si="109"/>
        <v>0.86500000000000066</v>
      </c>
      <c r="T877">
        <v>0.13559373760185553</v>
      </c>
      <c r="U877" s="28">
        <f t="shared" si="106"/>
        <v>0.29112063182786974</v>
      </c>
      <c r="AI877" s="28">
        <f t="shared" si="110"/>
        <v>0.86500000000000066</v>
      </c>
      <c r="AJ877">
        <v>5.716116824854274E-2</v>
      </c>
      <c r="AK877" s="28">
        <f t="shared" si="107"/>
        <v>7.8730954302477854E-2</v>
      </c>
      <c r="AY877" s="28">
        <f t="shared" si="111"/>
        <v>0.86500000000000066</v>
      </c>
      <c r="AZ877">
        <v>9.3966490676595349E-2</v>
      </c>
      <c r="BA877" s="28">
        <f t="shared" si="108"/>
        <v>9.3966490676595349E-2</v>
      </c>
    </row>
    <row r="878" spans="19:53" x14ac:dyDescent="0.25">
      <c r="S878" s="28">
        <f t="shared" si="109"/>
        <v>0.86600000000000066</v>
      </c>
      <c r="T878">
        <v>0.62001403851435899</v>
      </c>
      <c r="U878" s="28">
        <f t="shared" si="106"/>
        <v>0.56061001856499915</v>
      </c>
      <c r="AI878" s="28">
        <f t="shared" si="110"/>
        <v>0.86600000000000066</v>
      </c>
      <c r="AJ878">
        <v>0.24478896450697349</v>
      </c>
      <c r="AK878" s="28">
        <f t="shared" si="107"/>
        <v>0.14236500073329017</v>
      </c>
      <c r="AY878" s="28">
        <f t="shared" si="111"/>
        <v>0.86600000000000066</v>
      </c>
      <c r="AZ878">
        <v>0.69759208960234387</v>
      </c>
      <c r="BA878" s="28">
        <f t="shared" si="108"/>
        <v>0.69759208960234387</v>
      </c>
    </row>
    <row r="879" spans="19:53" x14ac:dyDescent="0.25">
      <c r="S879" s="28">
        <f t="shared" si="109"/>
        <v>0.86700000000000066</v>
      </c>
      <c r="T879">
        <v>0.67430646687215801</v>
      </c>
      <c r="U879" s="28">
        <f t="shared" si="106"/>
        <v>0.58924088169949607</v>
      </c>
      <c r="AI879" s="28">
        <f t="shared" si="110"/>
        <v>0.86700000000000066</v>
      </c>
      <c r="AJ879">
        <v>0.62895596179082613</v>
      </c>
      <c r="AK879" s="28">
        <f t="shared" si="107"/>
        <v>0.2439319896807961</v>
      </c>
      <c r="AY879" s="28">
        <f t="shared" si="111"/>
        <v>0.86700000000000066</v>
      </c>
      <c r="AZ879">
        <v>0.86037781914731282</v>
      </c>
      <c r="BA879" s="28">
        <f t="shared" si="108"/>
        <v>0.86037781914731282</v>
      </c>
    </row>
    <row r="880" spans="19:53" x14ac:dyDescent="0.25">
      <c r="S880" s="28">
        <f t="shared" si="109"/>
        <v>0.86800000000000066</v>
      </c>
      <c r="T880">
        <v>0.33014923551133762</v>
      </c>
      <c r="U880" s="28">
        <f t="shared" si="106"/>
        <v>0.41315723221472017</v>
      </c>
      <c r="AI880" s="28">
        <f t="shared" si="110"/>
        <v>0.86800000000000066</v>
      </c>
      <c r="AJ880">
        <v>0.48661763359477522</v>
      </c>
      <c r="AK880" s="28">
        <f t="shared" si="107"/>
        <v>0.20459712847933501</v>
      </c>
      <c r="AY880" s="28">
        <f t="shared" si="111"/>
        <v>0.86800000000000066</v>
      </c>
      <c r="AZ880">
        <v>0.18506424146244699</v>
      </c>
      <c r="BA880" s="28">
        <f t="shared" si="108"/>
        <v>0.18506424146244699</v>
      </c>
    </row>
    <row r="881" spans="19:53" x14ac:dyDescent="0.25">
      <c r="S881" s="28">
        <f t="shared" si="109"/>
        <v>0.86900000000000066</v>
      </c>
      <c r="T881">
        <v>0.38258003479110081</v>
      </c>
      <c r="U881" s="28">
        <f t="shared" si="106"/>
        <v>0.44073042451122846</v>
      </c>
      <c r="AI881" s="28">
        <f t="shared" si="110"/>
        <v>0.86900000000000066</v>
      </c>
      <c r="AJ881">
        <v>0.8299203466902676</v>
      </c>
      <c r="AK881" s="28">
        <f t="shared" si="107"/>
        <v>0.31855977549014292</v>
      </c>
      <c r="AY881" s="28">
        <f t="shared" si="111"/>
        <v>0.86900000000000066</v>
      </c>
      <c r="AZ881">
        <v>6.9948423718985561E-2</v>
      </c>
      <c r="BA881" s="28">
        <f t="shared" si="108"/>
        <v>6.9948423718985561E-2</v>
      </c>
    </row>
    <row r="882" spans="19:53" x14ac:dyDescent="0.25">
      <c r="S882" s="28">
        <f t="shared" si="109"/>
        <v>0.87000000000000066</v>
      </c>
      <c r="T882">
        <v>0.23694570757164221</v>
      </c>
      <c r="U882" s="28">
        <f t="shared" si="106"/>
        <v>0.36027877134667902</v>
      </c>
      <c r="AI882" s="28">
        <f t="shared" si="110"/>
        <v>0.87000000000000066</v>
      </c>
      <c r="AJ882">
        <v>0.71077608569597461</v>
      </c>
      <c r="AK882" s="28">
        <f t="shared" si="107"/>
        <v>0.27008705024103397</v>
      </c>
      <c r="AY882" s="28">
        <f t="shared" si="111"/>
        <v>0.87000000000000066</v>
      </c>
      <c r="AZ882">
        <v>0.44325083162938322</v>
      </c>
      <c r="BA882" s="28">
        <f t="shared" si="108"/>
        <v>0.44325083162938322</v>
      </c>
    </row>
    <row r="883" spans="19:53" x14ac:dyDescent="0.25">
      <c r="S883" s="28">
        <f t="shared" si="109"/>
        <v>0.87100000000000066</v>
      </c>
      <c r="T883">
        <v>0.92355113376262699</v>
      </c>
      <c r="U883" s="28">
        <f t="shared" si="106"/>
        <v>0.76281955838848226</v>
      </c>
      <c r="AI883" s="28">
        <f t="shared" si="110"/>
        <v>0.87100000000000066</v>
      </c>
      <c r="AJ883">
        <v>0.8571428571428571</v>
      </c>
      <c r="AK883" s="28">
        <f t="shared" si="107"/>
        <v>0.33290160596308505</v>
      </c>
      <c r="AY883" s="28">
        <f t="shared" si="111"/>
        <v>0.87100000000000066</v>
      </c>
      <c r="AZ883">
        <v>0.92477187414166695</v>
      </c>
      <c r="BA883" s="28">
        <f t="shared" si="108"/>
        <v>0.92477187414166695</v>
      </c>
    </row>
    <row r="884" spans="19:53" x14ac:dyDescent="0.25">
      <c r="S884" s="28">
        <f t="shared" si="109"/>
        <v>0.87200000000000066</v>
      </c>
      <c r="T884">
        <v>0.76082644123661003</v>
      </c>
      <c r="U884" s="28">
        <f t="shared" si="106"/>
        <v>0.63837304859924471</v>
      </c>
      <c r="AI884" s="28">
        <f t="shared" si="110"/>
        <v>0.87200000000000066</v>
      </c>
      <c r="AJ884">
        <v>0.9880977813043611</v>
      </c>
      <c r="AK884" s="28">
        <f t="shared" si="107"/>
        <v>0.49057239382637197</v>
      </c>
      <c r="AY884" s="28">
        <f t="shared" si="111"/>
        <v>0.87200000000000066</v>
      </c>
      <c r="AZ884">
        <v>0.12091433454390088</v>
      </c>
      <c r="BA884" s="28">
        <f t="shared" si="108"/>
        <v>0.12091433454390089</v>
      </c>
    </row>
    <row r="885" spans="19:53" x14ac:dyDescent="0.25">
      <c r="S885" s="28">
        <f t="shared" si="109"/>
        <v>0.87300000000000066</v>
      </c>
      <c r="T885">
        <v>0.11990722373119297</v>
      </c>
      <c r="U885" s="28">
        <f t="shared" si="106"/>
        <v>0.27833234312870581</v>
      </c>
      <c r="AI885" s="28">
        <f t="shared" si="110"/>
        <v>0.87300000000000066</v>
      </c>
      <c r="AJ885">
        <v>0.5739616077150792</v>
      </c>
      <c r="AK885" s="28">
        <f t="shared" si="107"/>
        <v>0.22807218397321172</v>
      </c>
      <c r="AY885" s="28">
        <f t="shared" si="111"/>
        <v>0.87300000000000066</v>
      </c>
      <c r="AZ885">
        <v>0.77581102938932467</v>
      </c>
      <c r="BA885" s="28">
        <f t="shared" si="108"/>
        <v>0.77581102938932467</v>
      </c>
    </row>
    <row r="886" spans="19:53" x14ac:dyDescent="0.25">
      <c r="S886" s="28">
        <f t="shared" si="109"/>
        <v>0.87400000000000067</v>
      </c>
      <c r="T886">
        <v>0.24359874263740958</v>
      </c>
      <c r="U886" s="28">
        <f t="shared" si="106"/>
        <v>0.36428953621559473</v>
      </c>
      <c r="AI886" s="28">
        <f t="shared" si="110"/>
        <v>0.87400000000000067</v>
      </c>
      <c r="AJ886">
        <v>0.31324198126163516</v>
      </c>
      <c r="AK886" s="28">
        <f t="shared" si="107"/>
        <v>0.16037093710547226</v>
      </c>
      <c r="AY886" s="28">
        <f t="shared" si="111"/>
        <v>0.87400000000000067</v>
      </c>
      <c r="AZ886">
        <v>8.4597308267464214E-2</v>
      </c>
      <c r="BA886" s="28">
        <f t="shared" si="108"/>
        <v>8.4597308267464227E-2</v>
      </c>
    </row>
    <row r="887" spans="19:53" x14ac:dyDescent="0.25">
      <c r="S887" s="28">
        <f t="shared" si="109"/>
        <v>0.87500000000000067</v>
      </c>
      <c r="T887">
        <v>0.32764671773430587</v>
      </c>
      <c r="U887" s="28">
        <f t="shared" si="106"/>
        <v>0.4118115784421012</v>
      </c>
      <c r="AI887" s="28">
        <f t="shared" si="110"/>
        <v>0.87500000000000067</v>
      </c>
      <c r="AJ887">
        <v>0.80535294656208989</v>
      </c>
      <c r="AK887" s="28">
        <f t="shared" si="107"/>
        <v>0.30698912886733476</v>
      </c>
      <c r="AY887" s="28">
        <f t="shared" si="111"/>
        <v>0.87500000000000067</v>
      </c>
      <c r="AZ887">
        <v>0.82763145847956787</v>
      </c>
      <c r="BA887" s="28">
        <f t="shared" si="108"/>
        <v>0.82763145847956787</v>
      </c>
    </row>
    <row r="888" spans="19:53" x14ac:dyDescent="0.25">
      <c r="S888" s="28">
        <f t="shared" si="109"/>
        <v>0.87600000000000067</v>
      </c>
      <c r="T888">
        <v>3.6072878200628683E-2</v>
      </c>
      <c r="U888" s="28">
        <f t="shared" si="106"/>
        <v>0.18369109187364172</v>
      </c>
      <c r="AI888" s="28">
        <f t="shared" si="110"/>
        <v>0.87600000000000067</v>
      </c>
      <c r="AJ888">
        <v>9.7079378643147071E-2</v>
      </c>
      <c r="AK888" s="28">
        <f t="shared" si="107"/>
        <v>9.6266102101368933E-2</v>
      </c>
      <c r="AY888" s="28">
        <f t="shared" si="111"/>
        <v>0.87600000000000067</v>
      </c>
      <c r="AZ888">
        <v>0.62096011230811488</v>
      </c>
      <c r="BA888" s="28">
        <f t="shared" si="108"/>
        <v>0.62096011230811488</v>
      </c>
    </row>
    <row r="889" spans="19:53" x14ac:dyDescent="0.25">
      <c r="S889" s="28">
        <f t="shared" si="109"/>
        <v>0.87700000000000067</v>
      </c>
      <c r="T889">
        <v>0.55198828089236118</v>
      </c>
      <c r="U889" s="28">
        <f t="shared" si="106"/>
        <v>0.52600558909536477</v>
      </c>
      <c r="AI889" s="28">
        <f t="shared" si="110"/>
        <v>0.87700000000000067</v>
      </c>
      <c r="AJ889">
        <v>0.72380748924222538</v>
      </c>
      <c r="AK889" s="28">
        <f t="shared" si="107"/>
        <v>0.27464575446658179</v>
      </c>
      <c r="AY889" s="28">
        <f t="shared" si="111"/>
        <v>0.87700000000000067</v>
      </c>
      <c r="AZ889">
        <v>0.58134708700827054</v>
      </c>
      <c r="BA889" s="28">
        <f t="shared" si="108"/>
        <v>0.58134708700827054</v>
      </c>
    </row>
    <row r="890" spans="19:53" x14ac:dyDescent="0.25">
      <c r="S890" s="28">
        <f t="shared" si="109"/>
        <v>0.87800000000000067</v>
      </c>
      <c r="T890">
        <v>1.174962614825892E-2</v>
      </c>
      <c r="U890" s="28">
        <f t="shared" si="106"/>
        <v>0.12751682903448311</v>
      </c>
      <c r="AI890" s="28">
        <f t="shared" si="110"/>
        <v>0.87800000000000067</v>
      </c>
      <c r="AJ890">
        <v>0.41938535721915343</v>
      </c>
      <c r="AK890" s="28">
        <f t="shared" si="107"/>
        <v>0.18734121456146391</v>
      </c>
      <c r="AY890" s="28">
        <f t="shared" si="111"/>
        <v>0.87800000000000067</v>
      </c>
      <c r="AZ890">
        <v>0.95590075380718409</v>
      </c>
      <c r="BA890" s="28">
        <f t="shared" si="108"/>
        <v>0.95590075380718409</v>
      </c>
    </row>
    <row r="891" spans="19:53" x14ac:dyDescent="0.25">
      <c r="S891" s="28">
        <f t="shared" si="109"/>
        <v>0.87900000000000067</v>
      </c>
      <c r="T891">
        <v>0.31662953581347086</v>
      </c>
      <c r="U891" s="28">
        <f t="shared" si="106"/>
        <v>0.40584890490728975</v>
      </c>
      <c r="AI891" s="28">
        <f t="shared" si="110"/>
        <v>0.87900000000000067</v>
      </c>
      <c r="AJ891">
        <v>0.86095767082735675</v>
      </c>
      <c r="AK891" s="28">
        <f t="shared" si="107"/>
        <v>0.33506988098705992</v>
      </c>
      <c r="AY891" s="28">
        <f t="shared" si="111"/>
        <v>0.87900000000000067</v>
      </c>
      <c r="AZ891">
        <v>0.73473311563463239</v>
      </c>
      <c r="BA891" s="28">
        <f t="shared" si="108"/>
        <v>0.73473311563463239</v>
      </c>
    </row>
    <row r="892" spans="19:53" x14ac:dyDescent="0.25">
      <c r="S892" s="28">
        <f t="shared" si="109"/>
        <v>0.88000000000000067</v>
      </c>
      <c r="T892">
        <v>0.72972808008056889</v>
      </c>
      <c r="U892" s="28">
        <f t="shared" si="106"/>
        <v>0.62005484130683863</v>
      </c>
      <c r="AI892" s="28">
        <f t="shared" si="110"/>
        <v>0.88000000000000067</v>
      </c>
      <c r="AJ892">
        <v>0.6852931302835169</v>
      </c>
      <c r="AK892" s="28">
        <f t="shared" si="107"/>
        <v>0.2615250463586789</v>
      </c>
      <c r="AY892" s="28">
        <f t="shared" si="111"/>
        <v>0.88000000000000067</v>
      </c>
      <c r="AZ892">
        <v>0.1825922421948912</v>
      </c>
      <c r="BA892" s="28">
        <f t="shared" si="108"/>
        <v>0.1825922421948912</v>
      </c>
    </row>
    <row r="893" spans="19:53" x14ac:dyDescent="0.25">
      <c r="S893" s="28">
        <f t="shared" si="109"/>
        <v>0.88100000000000067</v>
      </c>
      <c r="T893">
        <v>0.86614581743827634</v>
      </c>
      <c r="U893" s="28">
        <f t="shared" si="106"/>
        <v>0.71025786596091345</v>
      </c>
      <c r="AI893" s="28">
        <f t="shared" si="110"/>
        <v>0.88100000000000067</v>
      </c>
      <c r="AJ893">
        <v>6.347849971007416E-2</v>
      </c>
      <c r="AK893" s="28">
        <f t="shared" si="107"/>
        <v>8.1853464185370373E-2</v>
      </c>
      <c r="AY893" s="28">
        <f t="shared" si="111"/>
        <v>0.88100000000000067</v>
      </c>
      <c r="AZ893">
        <v>0.51066621906186105</v>
      </c>
      <c r="BA893" s="28">
        <f t="shared" si="108"/>
        <v>0.51066621906186105</v>
      </c>
    </row>
    <row r="894" spans="19:53" x14ac:dyDescent="0.25">
      <c r="S894" s="28">
        <f t="shared" si="109"/>
        <v>0.88200000000000067</v>
      </c>
      <c r="T894">
        <v>0.75310525833918274</v>
      </c>
      <c r="U894" s="28">
        <f t="shared" si="106"/>
        <v>0.63374016069450478</v>
      </c>
      <c r="AI894" s="28">
        <f t="shared" si="110"/>
        <v>0.88200000000000067</v>
      </c>
      <c r="AJ894">
        <v>0.98028504287850582</v>
      </c>
      <c r="AK894" s="28">
        <f t="shared" si="107"/>
        <v>0.46365683777451128</v>
      </c>
      <c r="AY894" s="28">
        <f t="shared" si="111"/>
        <v>0.88200000000000067</v>
      </c>
      <c r="AZ894">
        <v>0.93661305581835386</v>
      </c>
      <c r="BA894" s="28">
        <f t="shared" si="108"/>
        <v>0.93661305581835386</v>
      </c>
    </row>
    <row r="895" spans="19:53" x14ac:dyDescent="0.25">
      <c r="S895" s="28">
        <f t="shared" si="109"/>
        <v>0.88300000000000067</v>
      </c>
      <c r="T895">
        <v>0.43375957518234809</v>
      </c>
      <c r="U895" s="28">
        <f t="shared" si="106"/>
        <v>0.46682029404868663</v>
      </c>
      <c r="AI895" s="28">
        <f t="shared" si="110"/>
        <v>0.88300000000000067</v>
      </c>
      <c r="AJ895">
        <v>0.76094851527451401</v>
      </c>
      <c r="AK895" s="28">
        <f t="shared" si="107"/>
        <v>0.28844726447966329</v>
      </c>
      <c r="AY895" s="28">
        <f t="shared" si="111"/>
        <v>0.88300000000000067</v>
      </c>
      <c r="AZ895">
        <v>0.65254676961577196</v>
      </c>
      <c r="BA895" s="28">
        <f t="shared" si="108"/>
        <v>0.65254676961577196</v>
      </c>
    </row>
    <row r="896" spans="19:53" x14ac:dyDescent="0.25">
      <c r="S896" s="28">
        <f t="shared" si="109"/>
        <v>0.88400000000000067</v>
      </c>
      <c r="T896">
        <v>0.1772820215460677</v>
      </c>
      <c r="U896" s="28">
        <f t="shared" si="106"/>
        <v>0.32181666609273768</v>
      </c>
      <c r="AI896" s="28">
        <f t="shared" si="110"/>
        <v>0.88400000000000067</v>
      </c>
      <c r="AJ896">
        <v>0.27057710501419113</v>
      </c>
      <c r="AK896" s="28">
        <f t="shared" si="107"/>
        <v>0.1492605554764668</v>
      </c>
      <c r="AY896" s="28">
        <f t="shared" si="111"/>
        <v>0.88400000000000067</v>
      </c>
      <c r="AZ896">
        <v>0.3511764885402997</v>
      </c>
      <c r="BA896" s="28">
        <f t="shared" si="108"/>
        <v>0.3511764885402997</v>
      </c>
    </row>
    <row r="897" spans="19:53" x14ac:dyDescent="0.25">
      <c r="S897" s="28">
        <f t="shared" si="109"/>
        <v>0.88500000000000068</v>
      </c>
      <c r="T897">
        <v>0.65981017487105931</v>
      </c>
      <c r="U897" s="28">
        <f t="shared" si="106"/>
        <v>0.58147422968256812</v>
      </c>
      <c r="AI897" s="28">
        <f t="shared" si="110"/>
        <v>0.88500000000000068</v>
      </c>
      <c r="AJ897">
        <v>0.35221411786248358</v>
      </c>
      <c r="AK897" s="28">
        <f t="shared" si="107"/>
        <v>0.17032196201069366</v>
      </c>
      <c r="AY897" s="28">
        <f t="shared" si="111"/>
        <v>0.88500000000000068</v>
      </c>
      <c r="AZ897">
        <v>0.73287148655659662</v>
      </c>
      <c r="BA897" s="28">
        <f t="shared" si="108"/>
        <v>0.73287148655659662</v>
      </c>
    </row>
    <row r="898" spans="19:53" x14ac:dyDescent="0.25">
      <c r="S898" s="28">
        <f t="shared" si="109"/>
        <v>0.88600000000000068</v>
      </c>
      <c r="T898">
        <v>0.36344492934965056</v>
      </c>
      <c r="U898" s="28">
        <f t="shared" si="106"/>
        <v>0.43079048828398769</v>
      </c>
      <c r="AI898" s="28">
        <f t="shared" si="110"/>
        <v>0.88600000000000068</v>
      </c>
      <c r="AJ898">
        <v>0.27912228766747033</v>
      </c>
      <c r="AK898" s="28">
        <f t="shared" si="107"/>
        <v>0.15151136283462896</v>
      </c>
      <c r="AY898" s="28">
        <f t="shared" si="111"/>
        <v>0.88600000000000068</v>
      </c>
      <c r="AZ898">
        <v>0.60396130252998448</v>
      </c>
      <c r="BA898" s="28">
        <f t="shared" si="108"/>
        <v>0.60396130252998448</v>
      </c>
    </row>
    <row r="899" spans="19:53" x14ac:dyDescent="0.25">
      <c r="S899" s="28">
        <f t="shared" si="109"/>
        <v>0.88700000000000068</v>
      </c>
      <c r="T899">
        <v>0.42747276223029268</v>
      </c>
      <c r="U899" s="28">
        <f t="shared" si="106"/>
        <v>0.46364565406403219</v>
      </c>
      <c r="AI899" s="28">
        <f t="shared" si="110"/>
        <v>0.88700000000000068</v>
      </c>
      <c r="AJ899">
        <v>0.47254860072634053</v>
      </c>
      <c r="AK899" s="28">
        <f t="shared" si="107"/>
        <v>0.20094657512897671</v>
      </c>
      <c r="AY899" s="28">
        <f t="shared" si="111"/>
        <v>0.88700000000000068</v>
      </c>
      <c r="AZ899">
        <v>9.6011230811487172E-2</v>
      </c>
      <c r="BA899" s="28">
        <f t="shared" si="108"/>
        <v>9.6011230811487186E-2</v>
      </c>
    </row>
    <row r="900" spans="19:53" x14ac:dyDescent="0.25">
      <c r="S900" s="28">
        <f t="shared" si="109"/>
        <v>0.88800000000000068</v>
      </c>
      <c r="T900">
        <v>0.32532731101413009</v>
      </c>
      <c r="U900" s="28">
        <f t="shared" si="106"/>
        <v>0.41056156501047569</v>
      </c>
      <c r="AI900" s="28">
        <f t="shared" si="110"/>
        <v>0.88800000000000068</v>
      </c>
      <c r="AJ900">
        <v>6.1037018951994385E-4</v>
      </c>
      <c r="AK900" s="28">
        <f t="shared" si="107"/>
        <v>1.7687146209676048E-2</v>
      </c>
      <c r="AY900" s="28">
        <f t="shared" si="111"/>
        <v>0.88800000000000068</v>
      </c>
      <c r="AZ900">
        <v>0.3422345652638325</v>
      </c>
      <c r="BA900" s="28">
        <f t="shared" si="108"/>
        <v>0.34223456526383256</v>
      </c>
    </row>
    <row r="901" spans="19:53" x14ac:dyDescent="0.25">
      <c r="S901" s="28">
        <f t="shared" si="109"/>
        <v>0.88900000000000068</v>
      </c>
      <c r="T901">
        <v>1.7548142948698386E-2</v>
      </c>
      <c r="U901" s="28">
        <f t="shared" si="106"/>
        <v>0.14504561998792695</v>
      </c>
      <c r="AI901" s="28">
        <f t="shared" si="110"/>
        <v>0.88900000000000068</v>
      </c>
      <c r="AJ901">
        <v>0.49900814844203006</v>
      </c>
      <c r="AK901" s="28">
        <f t="shared" si="107"/>
        <v>0.20783576410115176</v>
      </c>
      <c r="AY901" s="28">
        <f t="shared" si="111"/>
        <v>0.88900000000000068</v>
      </c>
      <c r="AZ901">
        <v>0.82042909024323252</v>
      </c>
      <c r="BA901" s="28">
        <f t="shared" si="108"/>
        <v>0.82042909024323252</v>
      </c>
    </row>
    <row r="902" spans="19:53" x14ac:dyDescent="0.25">
      <c r="S902" s="28">
        <f t="shared" si="109"/>
        <v>0.89000000000000068</v>
      </c>
      <c r="T902">
        <v>0.31608020264290293</v>
      </c>
      <c r="U902" s="28">
        <f t="shared" si="106"/>
        <v>0.40554988895338717</v>
      </c>
      <c r="AI902" s="28">
        <f t="shared" si="110"/>
        <v>0.89000000000000068</v>
      </c>
      <c r="AJ902">
        <v>3.2990508743552964E-2</v>
      </c>
      <c r="AK902" s="28">
        <f t="shared" si="107"/>
        <v>6.457568259130203E-2</v>
      </c>
      <c r="AY902" s="28">
        <f t="shared" si="111"/>
        <v>0.89000000000000068</v>
      </c>
      <c r="AZ902">
        <v>8.2644123661000393E-2</v>
      </c>
      <c r="BA902" s="28">
        <f t="shared" si="108"/>
        <v>8.2644123661000407E-2</v>
      </c>
    </row>
    <row r="903" spans="19:53" x14ac:dyDescent="0.25">
      <c r="S903" s="28">
        <f t="shared" si="109"/>
        <v>0.89100000000000068</v>
      </c>
      <c r="T903">
        <v>0.19681386761070591</v>
      </c>
      <c r="U903" s="28">
        <f t="shared" si="106"/>
        <v>0.33497605502521727</v>
      </c>
      <c r="AI903" s="28">
        <f t="shared" si="110"/>
        <v>0.89100000000000068</v>
      </c>
      <c r="AJ903">
        <v>1.3092440565202796E-2</v>
      </c>
      <c r="AK903" s="28">
        <f t="shared" si="107"/>
        <v>4.7027614580500747E-2</v>
      </c>
      <c r="AY903" s="28">
        <f t="shared" si="111"/>
        <v>0.89100000000000068</v>
      </c>
      <c r="AZ903">
        <v>0.66423535874507889</v>
      </c>
      <c r="BA903" s="28">
        <f t="shared" si="108"/>
        <v>0.66423535874507889</v>
      </c>
    </row>
    <row r="904" spans="19:53" x14ac:dyDescent="0.25">
      <c r="S904" s="28">
        <f t="shared" si="109"/>
        <v>0.89200000000000068</v>
      </c>
      <c r="T904">
        <v>2.0172734763634143E-2</v>
      </c>
      <c r="U904" s="28">
        <f t="shared" si="106"/>
        <v>0.1517461711986525</v>
      </c>
      <c r="AI904" s="28">
        <f t="shared" si="110"/>
        <v>0.89200000000000068</v>
      </c>
      <c r="AJ904">
        <v>0.81817072054200868</v>
      </c>
      <c r="AK904" s="28">
        <f t="shared" si="107"/>
        <v>0.31288625269842296</v>
      </c>
      <c r="AY904" s="28">
        <f t="shared" si="111"/>
        <v>0.89200000000000068</v>
      </c>
      <c r="AZ904">
        <v>0.93920712912381354</v>
      </c>
      <c r="BA904" s="28">
        <f t="shared" si="108"/>
        <v>0.93920712912381354</v>
      </c>
    </row>
    <row r="905" spans="19:53" x14ac:dyDescent="0.25">
      <c r="S905" s="28">
        <f t="shared" si="109"/>
        <v>0.89300000000000068</v>
      </c>
      <c r="T905">
        <v>0.27014984588152713</v>
      </c>
      <c r="U905" s="28">
        <f t="shared" si="106"/>
        <v>0.37987491823819186</v>
      </c>
      <c r="AI905" s="28">
        <f t="shared" si="110"/>
        <v>0.89300000000000068</v>
      </c>
      <c r="AJ905">
        <v>0.19190038758507036</v>
      </c>
      <c r="AK905" s="28">
        <f t="shared" si="107"/>
        <v>0.12754112046690383</v>
      </c>
      <c r="AY905" s="28">
        <f t="shared" si="111"/>
        <v>0.89300000000000068</v>
      </c>
      <c r="AZ905">
        <v>0.1815851313821833</v>
      </c>
      <c r="BA905" s="28">
        <f t="shared" si="108"/>
        <v>0.1815851313821833</v>
      </c>
    </row>
    <row r="906" spans="19:53" x14ac:dyDescent="0.25">
      <c r="S906" s="28">
        <f t="shared" si="109"/>
        <v>0.89400000000000068</v>
      </c>
      <c r="T906">
        <v>0.50996429334391313</v>
      </c>
      <c r="U906" s="28">
        <f t="shared" si="106"/>
        <v>0.50497399221809003</v>
      </c>
      <c r="AI906" s="28">
        <f t="shared" si="110"/>
        <v>0.89400000000000068</v>
      </c>
      <c r="AJ906">
        <v>0.1292153691213721</v>
      </c>
      <c r="AK906" s="28">
        <f t="shared" si="107"/>
        <v>0.10791423087464443</v>
      </c>
      <c r="AY906" s="28">
        <f t="shared" si="111"/>
        <v>0.89400000000000068</v>
      </c>
      <c r="AZ906">
        <v>0.37308877834406567</v>
      </c>
      <c r="BA906" s="28">
        <f t="shared" si="108"/>
        <v>0.37308877834406567</v>
      </c>
    </row>
    <row r="907" spans="19:53" x14ac:dyDescent="0.25">
      <c r="S907" s="28">
        <f t="shared" si="109"/>
        <v>0.89500000000000068</v>
      </c>
      <c r="T907">
        <v>0.87166966765343179</v>
      </c>
      <c r="U907" s="28">
        <f t="shared" si="106"/>
        <v>0.71469827081797677</v>
      </c>
      <c r="AI907" s="28">
        <f t="shared" si="110"/>
        <v>0.89500000000000068</v>
      </c>
      <c r="AJ907">
        <v>0.36564226203192235</v>
      </c>
      <c r="AK907" s="28">
        <f t="shared" si="107"/>
        <v>0.17372763055511142</v>
      </c>
      <c r="AY907" s="28">
        <f t="shared" si="111"/>
        <v>0.89500000000000068</v>
      </c>
      <c r="AZ907">
        <v>0.18063905758842738</v>
      </c>
      <c r="BA907" s="28">
        <f t="shared" si="108"/>
        <v>0.18063905758842738</v>
      </c>
    </row>
    <row r="908" spans="19:53" x14ac:dyDescent="0.25">
      <c r="S908" s="28">
        <f t="shared" si="109"/>
        <v>0.89600000000000068</v>
      </c>
      <c r="T908">
        <v>0.89223914304025387</v>
      </c>
      <c r="U908" s="28">
        <f t="shared" si="106"/>
        <v>0.73219605955693923</v>
      </c>
      <c r="AI908" s="28">
        <f t="shared" si="110"/>
        <v>0.89600000000000068</v>
      </c>
      <c r="AJ908">
        <v>0.33878597369304481</v>
      </c>
      <c r="AK908" s="28">
        <f t="shared" si="107"/>
        <v>0.16690710087714314</v>
      </c>
      <c r="AY908" s="28">
        <f t="shared" si="111"/>
        <v>0.89600000000000068</v>
      </c>
      <c r="AZ908">
        <v>0.69737846003601189</v>
      </c>
      <c r="BA908" s="28">
        <f t="shared" si="108"/>
        <v>0.69737846003601189</v>
      </c>
    </row>
    <row r="909" spans="19:53" x14ac:dyDescent="0.25">
      <c r="S909" s="28">
        <f t="shared" si="109"/>
        <v>0.89700000000000069</v>
      </c>
      <c r="T909">
        <v>0.96621601001007107</v>
      </c>
      <c r="U909" s="28">
        <f t="shared" ref="U909:U972" si="112">_xlfn.BETA.INV(T909,$V$5,$V$6,0,1)</f>
        <v>0.82026926214627804</v>
      </c>
      <c r="AI909" s="28">
        <f t="shared" si="110"/>
        <v>0.89700000000000069</v>
      </c>
      <c r="AJ909">
        <v>0.38908047730948819</v>
      </c>
      <c r="AK909" s="28">
        <f t="shared" ref="AK909:AK972" si="113">_xlfn.BETA.INV(AJ909,$AL$5,$AL$6,0,1)</f>
        <v>0.17966150981138085</v>
      </c>
      <c r="AY909" s="28">
        <f t="shared" si="111"/>
        <v>0.89700000000000069</v>
      </c>
      <c r="AZ909">
        <v>0.57267983031708736</v>
      </c>
      <c r="BA909" s="28">
        <f t="shared" ref="BA909:BA972" si="114">_xlfn.BETA.INV(AZ909,$BB$5,$BB$6,0,1)</f>
        <v>0.57267983031708736</v>
      </c>
    </row>
    <row r="910" spans="19:53" x14ac:dyDescent="0.25">
      <c r="S910" s="28">
        <f t="shared" si="109"/>
        <v>0.89800000000000069</v>
      </c>
      <c r="T910">
        <v>0.47926267281105989</v>
      </c>
      <c r="U910" s="28">
        <f t="shared" si="112"/>
        <v>0.48964558330009972</v>
      </c>
      <c r="AI910" s="28">
        <f t="shared" si="110"/>
        <v>0.89800000000000069</v>
      </c>
      <c r="AJ910">
        <v>0.77782525101474043</v>
      </c>
      <c r="AK910" s="28">
        <f t="shared" si="113"/>
        <v>0.29519102784996165</v>
      </c>
      <c r="AY910" s="28">
        <f t="shared" si="111"/>
        <v>0.89800000000000069</v>
      </c>
      <c r="AZ910">
        <v>0.43940549943540758</v>
      </c>
      <c r="BA910" s="28">
        <f t="shared" si="114"/>
        <v>0.43940549943540758</v>
      </c>
    </row>
    <row r="911" spans="19:53" x14ac:dyDescent="0.25">
      <c r="S911" s="28">
        <f t="shared" ref="S911:S974" si="115">S910+0.001</f>
        <v>0.89900000000000069</v>
      </c>
      <c r="T911">
        <v>0.80889309366130557</v>
      </c>
      <c r="U911" s="28">
        <f t="shared" si="112"/>
        <v>0.66880319018797241</v>
      </c>
      <c r="AI911" s="28">
        <f t="shared" ref="AI911:AI974" si="116">AI910+0.001</f>
        <v>0.89900000000000069</v>
      </c>
      <c r="AJ911">
        <v>0.1467024750511185</v>
      </c>
      <c r="AK911" s="28">
        <f t="shared" si="113"/>
        <v>0.11371134912076229</v>
      </c>
      <c r="AY911" s="28">
        <f t="shared" ref="AY911:AY974" si="117">AY910+0.001</f>
        <v>0.89900000000000069</v>
      </c>
      <c r="AZ911">
        <v>0.55418561357463303</v>
      </c>
      <c r="BA911" s="28">
        <f t="shared" si="114"/>
        <v>0.55418561357463303</v>
      </c>
    </row>
    <row r="912" spans="19:53" x14ac:dyDescent="0.25">
      <c r="S912" s="28">
        <f t="shared" si="115"/>
        <v>0.90000000000000069</v>
      </c>
      <c r="T912">
        <v>0.49241615039521469</v>
      </c>
      <c r="U912" s="28">
        <f t="shared" si="112"/>
        <v>0.49621440729033495</v>
      </c>
      <c r="AI912" s="28">
        <f t="shared" si="116"/>
        <v>0.90000000000000069</v>
      </c>
      <c r="AJ912">
        <v>0.47346415601062042</v>
      </c>
      <c r="AK912" s="28">
        <f t="shared" si="113"/>
        <v>0.20118334608305938</v>
      </c>
      <c r="AY912" s="28">
        <f t="shared" si="117"/>
        <v>0.90000000000000069</v>
      </c>
      <c r="AZ912">
        <v>0.98629718924527721</v>
      </c>
      <c r="BA912" s="28">
        <f t="shared" si="114"/>
        <v>0.98629718924527721</v>
      </c>
    </row>
    <row r="913" spans="19:53" x14ac:dyDescent="0.25">
      <c r="S913" s="28">
        <f t="shared" si="115"/>
        <v>0.90100000000000069</v>
      </c>
      <c r="T913">
        <v>8.8259529404583884E-2</v>
      </c>
      <c r="U913" s="28">
        <f t="shared" si="112"/>
        <v>0.24943749987896344</v>
      </c>
      <c r="AI913" s="28">
        <f t="shared" si="116"/>
        <v>0.90100000000000069</v>
      </c>
      <c r="AJ913">
        <v>0.57716605121005893</v>
      </c>
      <c r="AK913" s="28">
        <f t="shared" si="113"/>
        <v>0.22896848431619243</v>
      </c>
      <c r="AY913" s="28">
        <f t="shared" si="117"/>
        <v>0.90100000000000069</v>
      </c>
      <c r="AZ913">
        <v>9.656056398205512E-2</v>
      </c>
      <c r="BA913" s="28">
        <f t="shared" si="114"/>
        <v>9.656056398205512E-2</v>
      </c>
    </row>
    <row r="914" spans="19:53" x14ac:dyDescent="0.25">
      <c r="S914" s="28">
        <f t="shared" si="115"/>
        <v>0.90200000000000069</v>
      </c>
      <c r="T914">
        <v>0.87063203833124791</v>
      </c>
      <c r="U914" s="28">
        <f t="shared" si="112"/>
        <v>0.71385663893376905</v>
      </c>
      <c r="AI914" s="28">
        <f t="shared" si="116"/>
        <v>0.90200000000000069</v>
      </c>
      <c r="AJ914">
        <v>0.36127811517685476</v>
      </c>
      <c r="AK914" s="28">
        <f t="shared" si="113"/>
        <v>0.17262155643070043</v>
      </c>
      <c r="AY914" s="28">
        <f t="shared" si="117"/>
        <v>0.90200000000000069</v>
      </c>
      <c r="AZ914">
        <v>0.8384655293435469</v>
      </c>
      <c r="BA914" s="28">
        <f t="shared" si="114"/>
        <v>0.8384655293435469</v>
      </c>
    </row>
    <row r="915" spans="19:53" x14ac:dyDescent="0.25">
      <c r="S915" s="28">
        <f t="shared" si="115"/>
        <v>0.90300000000000069</v>
      </c>
      <c r="T915">
        <v>0.78591265602587967</v>
      </c>
      <c r="U915" s="28">
        <f t="shared" si="112"/>
        <v>0.65387896535840673</v>
      </c>
      <c r="AI915" s="28">
        <f t="shared" si="116"/>
        <v>0.90300000000000069</v>
      </c>
      <c r="AJ915">
        <v>0.18182927945799127</v>
      </c>
      <c r="AK915" s="28">
        <f t="shared" si="113"/>
        <v>0.12457496449059623</v>
      </c>
      <c r="AY915" s="28">
        <f t="shared" si="117"/>
        <v>0.90300000000000069</v>
      </c>
      <c r="AZ915">
        <v>1.7029328287606435E-2</v>
      </c>
      <c r="BA915" s="28">
        <f t="shared" si="114"/>
        <v>1.7029328287606428E-2</v>
      </c>
    </row>
    <row r="916" spans="19:53" x14ac:dyDescent="0.25">
      <c r="S916" s="28">
        <f t="shared" si="115"/>
        <v>0.90400000000000069</v>
      </c>
      <c r="T916">
        <v>0.83666493728446301</v>
      </c>
      <c r="U916" s="28">
        <f t="shared" si="112"/>
        <v>0.6880084010780716</v>
      </c>
      <c r="AI916" s="28">
        <f t="shared" si="116"/>
        <v>0.90400000000000069</v>
      </c>
      <c r="AJ916">
        <v>0.32581560716574604</v>
      </c>
      <c r="AK916" s="28">
        <f t="shared" si="113"/>
        <v>0.1635961153778388</v>
      </c>
      <c r="AY916" s="28">
        <f t="shared" si="117"/>
        <v>0.90400000000000069</v>
      </c>
      <c r="AZ916">
        <v>0.90078432569353317</v>
      </c>
      <c r="BA916" s="28">
        <f t="shared" si="114"/>
        <v>0.90078432569353317</v>
      </c>
    </row>
    <row r="917" spans="19:53" x14ac:dyDescent="0.25">
      <c r="S917" s="28">
        <f t="shared" si="115"/>
        <v>0.90500000000000069</v>
      </c>
      <c r="T917">
        <v>4.4099246192815945E-2</v>
      </c>
      <c r="U917" s="28">
        <f t="shared" si="112"/>
        <v>0.19646908212806813</v>
      </c>
      <c r="AI917" s="28">
        <f t="shared" si="116"/>
        <v>0.90500000000000069</v>
      </c>
      <c r="AJ917">
        <v>0.20337534714804528</v>
      </c>
      <c r="AK917" s="28">
        <f t="shared" si="113"/>
        <v>0.13085624918908362</v>
      </c>
      <c r="AY917" s="28">
        <f t="shared" si="117"/>
        <v>0.90500000000000069</v>
      </c>
      <c r="AZ917">
        <v>0.59416486098818933</v>
      </c>
      <c r="BA917" s="28">
        <f t="shared" si="114"/>
        <v>0.59416486098818933</v>
      </c>
    </row>
    <row r="918" spans="19:53" x14ac:dyDescent="0.25">
      <c r="S918" s="28">
        <f t="shared" si="115"/>
        <v>0.90600000000000069</v>
      </c>
      <c r="T918">
        <v>0.59407330545976134</v>
      </c>
      <c r="U918" s="28">
        <f t="shared" si="112"/>
        <v>0.54729212200793032</v>
      </c>
      <c r="AI918" s="28">
        <f t="shared" si="116"/>
        <v>0.90600000000000069</v>
      </c>
      <c r="AJ918">
        <v>0.76284066286202579</v>
      </c>
      <c r="AK918" s="28">
        <f t="shared" si="113"/>
        <v>0.28918705473261541</v>
      </c>
      <c r="AY918" s="28">
        <f t="shared" si="117"/>
        <v>0.90600000000000069</v>
      </c>
      <c r="AZ918">
        <v>0.17117831965086824</v>
      </c>
      <c r="BA918" s="28">
        <f t="shared" si="114"/>
        <v>0.17117831965086824</v>
      </c>
    </row>
    <row r="919" spans="19:53" x14ac:dyDescent="0.25">
      <c r="S919" s="28">
        <f t="shared" si="115"/>
        <v>0.90700000000000069</v>
      </c>
      <c r="T919">
        <v>0.17261268959624013</v>
      </c>
      <c r="U919" s="28">
        <f t="shared" si="112"/>
        <v>0.31857045303006393</v>
      </c>
      <c r="AI919" s="28">
        <f t="shared" si="116"/>
        <v>0.90700000000000069</v>
      </c>
      <c r="AJ919">
        <v>0.64616840113528851</v>
      </c>
      <c r="AK919" s="28">
        <f t="shared" si="113"/>
        <v>0.24913903585356378</v>
      </c>
      <c r="AY919" s="28">
        <f t="shared" si="117"/>
        <v>0.90700000000000069</v>
      </c>
      <c r="AZ919">
        <v>0.89590136417737354</v>
      </c>
      <c r="BA919" s="28">
        <f t="shared" si="114"/>
        <v>0.89590136417737354</v>
      </c>
    </row>
    <row r="920" spans="19:53" x14ac:dyDescent="0.25">
      <c r="S920" s="28">
        <f t="shared" si="115"/>
        <v>0.9080000000000007</v>
      </c>
      <c r="T920">
        <v>1.4923551133762628E-2</v>
      </c>
      <c r="U920" s="28">
        <f t="shared" si="112"/>
        <v>0.13766595665489034</v>
      </c>
      <c r="AI920" s="28">
        <f t="shared" si="116"/>
        <v>0.9080000000000007</v>
      </c>
      <c r="AJ920">
        <v>0.39652699362163152</v>
      </c>
      <c r="AK920" s="28">
        <f t="shared" si="113"/>
        <v>0.18154651656840362</v>
      </c>
      <c r="AY920" s="28">
        <f t="shared" si="117"/>
        <v>0.9080000000000007</v>
      </c>
      <c r="AZ920">
        <v>0.57277138584551535</v>
      </c>
      <c r="BA920" s="28">
        <f t="shared" si="114"/>
        <v>0.57277138584551535</v>
      </c>
    </row>
    <row r="921" spans="19:53" x14ac:dyDescent="0.25">
      <c r="S921" s="28">
        <f t="shared" si="115"/>
        <v>0.9090000000000007</v>
      </c>
      <c r="T921">
        <v>0.46467482528153325</v>
      </c>
      <c r="U921" s="28">
        <f t="shared" si="112"/>
        <v>0.48235018251111694</v>
      </c>
      <c r="AI921" s="28">
        <f t="shared" si="116"/>
        <v>0.9090000000000007</v>
      </c>
      <c r="AJ921">
        <v>0.18808557390057071</v>
      </c>
      <c r="AK921" s="28">
        <f t="shared" si="113"/>
        <v>0.12642416381185628</v>
      </c>
      <c r="AY921" s="28">
        <f t="shared" si="117"/>
        <v>0.9090000000000007</v>
      </c>
      <c r="AZ921">
        <v>0.83434553056428729</v>
      </c>
      <c r="BA921" s="28">
        <f t="shared" si="114"/>
        <v>0.83434553056428729</v>
      </c>
    </row>
    <row r="922" spans="19:53" x14ac:dyDescent="0.25">
      <c r="S922" s="28">
        <f t="shared" si="115"/>
        <v>0.9100000000000007</v>
      </c>
      <c r="T922">
        <v>0.55424665059358502</v>
      </c>
      <c r="U922" s="28">
        <f t="shared" si="112"/>
        <v>0.52714049241791749</v>
      </c>
      <c r="AI922" s="28">
        <f t="shared" si="116"/>
        <v>0.9100000000000007</v>
      </c>
      <c r="AJ922">
        <v>0.45442060609759821</v>
      </c>
      <c r="AK922" s="28">
        <f t="shared" si="113"/>
        <v>0.1962785502886108</v>
      </c>
      <c r="AY922" s="28">
        <f t="shared" si="117"/>
        <v>0.9100000000000007</v>
      </c>
      <c r="AZ922">
        <v>0.13733329264198738</v>
      </c>
      <c r="BA922" s="28">
        <f t="shared" si="114"/>
        <v>0.13733329264198738</v>
      </c>
    </row>
    <row r="923" spans="19:53" x14ac:dyDescent="0.25">
      <c r="S923" s="28">
        <f t="shared" si="115"/>
        <v>0.9110000000000007</v>
      </c>
      <c r="T923">
        <v>0.36323129978331858</v>
      </c>
      <c r="U923" s="28">
        <f t="shared" si="112"/>
        <v>0.43067879671083703</v>
      </c>
      <c r="AI923" s="28">
        <f t="shared" si="116"/>
        <v>0.9110000000000007</v>
      </c>
      <c r="AJ923">
        <v>0.92513809625537891</v>
      </c>
      <c r="AK923" s="28">
        <f t="shared" si="113"/>
        <v>0.38113356013554467</v>
      </c>
      <c r="AY923" s="28">
        <f t="shared" si="117"/>
        <v>0.9110000000000007</v>
      </c>
      <c r="AZ923">
        <v>0.5723136082033754</v>
      </c>
      <c r="BA923" s="28">
        <f t="shared" si="114"/>
        <v>0.5723136082033754</v>
      </c>
    </row>
    <row r="924" spans="19:53" x14ac:dyDescent="0.25">
      <c r="S924" s="28">
        <f t="shared" si="115"/>
        <v>0.9120000000000007</v>
      </c>
      <c r="T924">
        <v>2.0966216010010072E-2</v>
      </c>
      <c r="U924" s="28">
        <f t="shared" si="112"/>
        <v>0.15366117618980019</v>
      </c>
      <c r="AI924" s="28">
        <f t="shared" si="116"/>
        <v>0.9120000000000007</v>
      </c>
      <c r="AJ924">
        <v>0.62541581469161045</v>
      </c>
      <c r="AK924" s="28">
        <f t="shared" si="113"/>
        <v>0.24287705781959912</v>
      </c>
      <c r="AY924" s="28">
        <f t="shared" si="117"/>
        <v>0.9120000000000007</v>
      </c>
      <c r="AZ924">
        <v>0.91448713644825586</v>
      </c>
      <c r="BA924" s="28">
        <f t="shared" si="114"/>
        <v>0.91448713644825586</v>
      </c>
    </row>
    <row r="925" spans="19:53" x14ac:dyDescent="0.25">
      <c r="S925" s="28">
        <f t="shared" si="115"/>
        <v>0.9130000000000007</v>
      </c>
      <c r="T925">
        <v>0.33985412152470473</v>
      </c>
      <c r="U925" s="28">
        <f t="shared" si="112"/>
        <v>0.41834703698919534</v>
      </c>
      <c r="AI925" s="28">
        <f t="shared" si="116"/>
        <v>0.9130000000000007</v>
      </c>
      <c r="AJ925">
        <v>0.92333750419629501</v>
      </c>
      <c r="AK925" s="28">
        <f t="shared" si="113"/>
        <v>0.37947602205944264</v>
      </c>
      <c r="AY925" s="28">
        <f t="shared" si="117"/>
        <v>0.9130000000000007</v>
      </c>
      <c r="AZ925">
        <v>0.40903958250679034</v>
      </c>
      <c r="BA925" s="28">
        <f t="shared" si="114"/>
        <v>0.40903958250679034</v>
      </c>
    </row>
    <row r="926" spans="19:53" x14ac:dyDescent="0.25">
      <c r="S926" s="28">
        <f t="shared" si="115"/>
        <v>0.9140000000000007</v>
      </c>
      <c r="T926">
        <v>0.36756492812891017</v>
      </c>
      <c r="U926" s="28">
        <f t="shared" si="112"/>
        <v>0.43294128425997275</v>
      </c>
      <c r="AI926" s="28">
        <f t="shared" si="116"/>
        <v>0.9140000000000007</v>
      </c>
      <c r="AJ926">
        <v>0.12573625904110844</v>
      </c>
      <c r="AK926" s="28">
        <f t="shared" si="113"/>
        <v>0.10672175532464113</v>
      </c>
      <c r="AY926" s="28">
        <f t="shared" si="117"/>
        <v>0.9140000000000007</v>
      </c>
      <c r="AZ926">
        <v>0.47511215552232428</v>
      </c>
      <c r="BA926" s="28">
        <f t="shared" si="114"/>
        <v>0.47511215552232428</v>
      </c>
    </row>
    <row r="927" spans="19:53" x14ac:dyDescent="0.25">
      <c r="S927" s="28">
        <f t="shared" si="115"/>
        <v>0.9150000000000007</v>
      </c>
      <c r="T927">
        <v>0.2489089632862331</v>
      </c>
      <c r="U927" s="28">
        <f t="shared" si="112"/>
        <v>0.36745865376043652</v>
      </c>
      <c r="AI927" s="28">
        <f t="shared" si="116"/>
        <v>0.9150000000000007</v>
      </c>
      <c r="AJ927">
        <v>0.85250404370250554</v>
      </c>
      <c r="AK927" s="28">
        <f t="shared" si="113"/>
        <v>0.33032254120679183</v>
      </c>
      <c r="AY927" s="28">
        <f t="shared" si="117"/>
        <v>0.9150000000000007</v>
      </c>
      <c r="AZ927">
        <v>0.78930021057771538</v>
      </c>
      <c r="BA927" s="28">
        <f t="shared" si="114"/>
        <v>0.78930021057771538</v>
      </c>
    </row>
    <row r="928" spans="19:53" x14ac:dyDescent="0.25">
      <c r="S928" s="28">
        <f t="shared" si="115"/>
        <v>0.9160000000000007</v>
      </c>
      <c r="T928">
        <v>0.45899838251899777</v>
      </c>
      <c r="U928" s="28">
        <f t="shared" si="112"/>
        <v>0.47950692479535112</v>
      </c>
      <c r="AI928" s="28">
        <f t="shared" si="116"/>
        <v>0.9160000000000007</v>
      </c>
      <c r="AJ928">
        <v>0.30262153996398816</v>
      </c>
      <c r="AK928" s="28">
        <f t="shared" si="113"/>
        <v>0.1576320850889936</v>
      </c>
      <c r="AY928" s="28">
        <f t="shared" si="117"/>
        <v>0.9160000000000007</v>
      </c>
      <c r="AZ928">
        <v>0.32459486678670613</v>
      </c>
      <c r="BA928" s="28">
        <f t="shared" si="114"/>
        <v>0.32459486678670613</v>
      </c>
    </row>
    <row r="929" spans="19:53" x14ac:dyDescent="0.25">
      <c r="S929" s="28">
        <f t="shared" si="115"/>
        <v>0.9170000000000007</v>
      </c>
      <c r="T929">
        <v>0.52375865962706381</v>
      </c>
      <c r="U929" s="28">
        <f t="shared" si="112"/>
        <v>0.51186427682760294</v>
      </c>
      <c r="AI929" s="28">
        <f t="shared" si="116"/>
        <v>0.9170000000000007</v>
      </c>
      <c r="AJ929">
        <v>0.66402172917874691</v>
      </c>
      <c r="AK929" s="28">
        <f t="shared" si="113"/>
        <v>0.25468869402276029</v>
      </c>
      <c r="AY929" s="28">
        <f t="shared" si="117"/>
        <v>0.9170000000000007</v>
      </c>
      <c r="AZ929">
        <v>0.73986022522659989</v>
      </c>
      <c r="BA929" s="28">
        <f t="shared" si="114"/>
        <v>0.73986022522659989</v>
      </c>
    </row>
    <row r="930" spans="19:53" x14ac:dyDescent="0.25">
      <c r="S930" s="28">
        <f t="shared" si="115"/>
        <v>0.9180000000000007</v>
      </c>
      <c r="T930">
        <v>0.97253334147160253</v>
      </c>
      <c r="U930" s="28">
        <f t="shared" si="112"/>
        <v>0.832150504102667</v>
      </c>
      <c r="AI930" s="28">
        <f t="shared" si="116"/>
        <v>0.9180000000000007</v>
      </c>
      <c r="AJ930">
        <v>0.13547166356395154</v>
      </c>
      <c r="AK930" s="28">
        <f t="shared" si="113"/>
        <v>0.11002423854140224</v>
      </c>
      <c r="AY930" s="28">
        <f t="shared" si="117"/>
        <v>0.9180000000000007</v>
      </c>
      <c r="AZ930">
        <v>0.56675923947874385</v>
      </c>
      <c r="BA930" s="28">
        <f t="shared" si="114"/>
        <v>0.56675923947874385</v>
      </c>
    </row>
    <row r="931" spans="19:53" x14ac:dyDescent="0.25">
      <c r="S931" s="28">
        <f t="shared" si="115"/>
        <v>0.91900000000000071</v>
      </c>
      <c r="T931">
        <v>1.3031403546250802E-2</v>
      </c>
      <c r="U931" s="28">
        <f t="shared" si="112"/>
        <v>0.13180722929178312</v>
      </c>
      <c r="AI931" s="28">
        <f t="shared" si="116"/>
        <v>0.91900000000000071</v>
      </c>
      <c r="AJ931">
        <v>0.48149052400280773</v>
      </c>
      <c r="AK931" s="28">
        <f t="shared" si="113"/>
        <v>0.20326366993778205</v>
      </c>
      <c r="AY931" s="28">
        <f t="shared" si="117"/>
        <v>0.91900000000000071</v>
      </c>
      <c r="AZ931">
        <v>0.9591967528305918</v>
      </c>
      <c r="BA931" s="28">
        <f t="shared" si="114"/>
        <v>0.9591967528305918</v>
      </c>
    </row>
    <row r="932" spans="19:53" x14ac:dyDescent="0.25">
      <c r="S932" s="28">
        <f t="shared" si="115"/>
        <v>0.92000000000000071</v>
      </c>
      <c r="T932">
        <v>0.28339487899410992</v>
      </c>
      <c r="U932" s="28">
        <f t="shared" si="112"/>
        <v>0.38742827363920046</v>
      </c>
      <c r="AI932" s="28">
        <f t="shared" si="116"/>
        <v>0.92000000000000071</v>
      </c>
      <c r="AJ932">
        <v>0.38041322061830501</v>
      </c>
      <c r="AK932" s="28">
        <f t="shared" si="113"/>
        <v>0.17746785376604579</v>
      </c>
      <c r="AY932" s="28">
        <f t="shared" si="117"/>
        <v>0.92000000000000071</v>
      </c>
      <c r="AZ932">
        <v>0.38859218115787225</v>
      </c>
      <c r="BA932" s="28">
        <f t="shared" si="114"/>
        <v>0.38859218115787225</v>
      </c>
    </row>
    <row r="933" spans="19:53" x14ac:dyDescent="0.25">
      <c r="S933" s="28">
        <f t="shared" si="115"/>
        <v>0.92100000000000071</v>
      </c>
      <c r="T933">
        <v>0.13980529190954313</v>
      </c>
      <c r="U933" s="28">
        <f t="shared" si="112"/>
        <v>0.2944205828354306</v>
      </c>
      <c r="AI933" s="28">
        <f t="shared" si="116"/>
        <v>0.92100000000000071</v>
      </c>
      <c r="AJ933">
        <v>0.71803949095126196</v>
      </c>
      <c r="AK933" s="28">
        <f t="shared" si="113"/>
        <v>0.27261170454772099</v>
      </c>
      <c r="AY933" s="28">
        <f t="shared" si="117"/>
        <v>0.92100000000000071</v>
      </c>
      <c r="AZ933">
        <v>0.10205389568773461</v>
      </c>
      <c r="BA933" s="28">
        <f t="shared" si="114"/>
        <v>0.10205389568773462</v>
      </c>
    </row>
    <row r="934" spans="19:53" x14ac:dyDescent="0.25">
      <c r="S934" s="28">
        <f t="shared" si="115"/>
        <v>0.92200000000000071</v>
      </c>
      <c r="T934">
        <v>0.53819391460921051</v>
      </c>
      <c r="U934" s="28">
        <f t="shared" si="112"/>
        <v>0.51908636320619439</v>
      </c>
      <c r="AI934" s="28">
        <f t="shared" si="116"/>
        <v>0.92200000000000071</v>
      </c>
      <c r="AJ934">
        <v>0.56627094332712791</v>
      </c>
      <c r="AK934" s="28">
        <f t="shared" si="113"/>
        <v>0.22593321916729392</v>
      </c>
      <c r="AY934" s="28">
        <f t="shared" si="117"/>
        <v>0.92200000000000071</v>
      </c>
      <c r="AZ934">
        <v>0.99136326181829282</v>
      </c>
      <c r="BA934" s="28">
        <f t="shared" si="114"/>
        <v>0.99136326181829282</v>
      </c>
    </row>
    <row r="935" spans="19:53" x14ac:dyDescent="0.25">
      <c r="S935" s="28">
        <f t="shared" si="115"/>
        <v>0.92300000000000071</v>
      </c>
      <c r="T935">
        <v>2.9511398663289286E-2</v>
      </c>
      <c r="U935" s="28">
        <f t="shared" si="112"/>
        <v>0.17186640753154464</v>
      </c>
      <c r="AI935" s="28">
        <f t="shared" si="116"/>
        <v>0.92300000000000071</v>
      </c>
      <c r="AJ935">
        <v>4.5258949552903834E-2</v>
      </c>
      <c r="AK935" s="28">
        <f t="shared" si="113"/>
        <v>7.229483318684124E-2</v>
      </c>
      <c r="AY935" s="28">
        <f t="shared" si="117"/>
        <v>0.92300000000000071</v>
      </c>
      <c r="AZ935">
        <v>0.63039033173619796</v>
      </c>
      <c r="BA935" s="28">
        <f t="shared" si="114"/>
        <v>0.63039033173619796</v>
      </c>
    </row>
    <row r="936" spans="19:53" x14ac:dyDescent="0.25">
      <c r="S936" s="28">
        <f t="shared" si="115"/>
        <v>0.92400000000000071</v>
      </c>
      <c r="T936">
        <v>0.22821741386150701</v>
      </c>
      <c r="U936" s="28">
        <f t="shared" si="112"/>
        <v>0.35494489406390933</v>
      </c>
      <c r="AI936" s="28">
        <f t="shared" si="116"/>
        <v>0.92400000000000071</v>
      </c>
      <c r="AJ936">
        <v>0.21628467665639209</v>
      </c>
      <c r="AK936" s="28">
        <f t="shared" si="113"/>
        <v>0.13451350500104209</v>
      </c>
      <c r="AY936" s="28">
        <f t="shared" si="117"/>
        <v>0.92400000000000071</v>
      </c>
      <c r="AZ936">
        <v>0.10449537644581439</v>
      </c>
      <c r="BA936" s="28">
        <f t="shared" si="114"/>
        <v>0.10449537644581437</v>
      </c>
    </row>
    <row r="937" spans="19:53" x14ac:dyDescent="0.25">
      <c r="S937" s="28">
        <f t="shared" si="115"/>
        <v>0.92500000000000071</v>
      </c>
      <c r="T937">
        <v>0.91802728354747154</v>
      </c>
      <c r="U937" s="28">
        <f t="shared" si="112"/>
        <v>0.7569619002113035</v>
      </c>
      <c r="AI937" s="28">
        <f t="shared" si="116"/>
        <v>0.92500000000000071</v>
      </c>
      <c r="AJ937">
        <v>0.34147160252693259</v>
      </c>
      <c r="AK937" s="28">
        <f t="shared" si="113"/>
        <v>0.16759100029992988</v>
      </c>
      <c r="AY937" s="28">
        <f t="shared" si="117"/>
        <v>0.92500000000000071</v>
      </c>
      <c r="AZ937">
        <v>7.235938596758934E-2</v>
      </c>
      <c r="BA937" s="28">
        <f t="shared" si="114"/>
        <v>7.2359385967589326E-2</v>
      </c>
    </row>
    <row r="938" spans="19:53" x14ac:dyDescent="0.25">
      <c r="S938" s="28">
        <f t="shared" si="115"/>
        <v>0.92600000000000071</v>
      </c>
      <c r="T938">
        <v>0.57829523606067079</v>
      </c>
      <c r="U938" s="28">
        <f t="shared" si="112"/>
        <v>0.53927320092220032</v>
      </c>
      <c r="AI938" s="28">
        <f t="shared" si="116"/>
        <v>0.92600000000000071</v>
      </c>
      <c r="AJ938">
        <v>0.1640980254524369</v>
      </c>
      <c r="AK938" s="28">
        <f t="shared" si="113"/>
        <v>0.11920325581391626</v>
      </c>
      <c r="AY938" s="28">
        <f t="shared" si="117"/>
        <v>0.92600000000000071</v>
      </c>
      <c r="AZ938">
        <v>0.80626850184636978</v>
      </c>
      <c r="BA938" s="28">
        <f t="shared" si="114"/>
        <v>0.80626850184636978</v>
      </c>
    </row>
    <row r="939" spans="19:53" x14ac:dyDescent="0.25">
      <c r="S939" s="28">
        <f t="shared" si="115"/>
        <v>0.92700000000000071</v>
      </c>
      <c r="T939">
        <v>0.14633625293740654</v>
      </c>
      <c r="U939" s="28">
        <f t="shared" si="112"/>
        <v>0.29943842143235738</v>
      </c>
      <c r="AI939" s="28">
        <f t="shared" si="116"/>
        <v>0.92700000000000071</v>
      </c>
      <c r="AJ939">
        <v>0.26337473677785578</v>
      </c>
      <c r="AK939" s="28">
        <f t="shared" si="113"/>
        <v>0.14735122799783634</v>
      </c>
      <c r="AY939" s="28">
        <f t="shared" si="117"/>
        <v>0.92700000000000071</v>
      </c>
      <c r="AZ939">
        <v>0.76805932798242138</v>
      </c>
      <c r="BA939" s="28">
        <f t="shared" si="114"/>
        <v>0.76805932798242138</v>
      </c>
    </row>
    <row r="940" spans="19:53" x14ac:dyDescent="0.25">
      <c r="S940" s="28">
        <f t="shared" si="115"/>
        <v>0.92800000000000071</v>
      </c>
      <c r="T940">
        <v>8.2216864528336431E-2</v>
      </c>
      <c r="U940" s="28">
        <f t="shared" si="112"/>
        <v>0.2432917192986763</v>
      </c>
      <c r="AI940" s="28">
        <f t="shared" si="116"/>
        <v>0.92800000000000071</v>
      </c>
      <c r="AJ940">
        <v>0.27924436170537431</v>
      </c>
      <c r="AK940" s="28">
        <f t="shared" si="113"/>
        <v>0.1515434104323336</v>
      </c>
      <c r="AY940" s="28">
        <f t="shared" si="117"/>
        <v>0.92800000000000071</v>
      </c>
      <c r="AZ940">
        <v>0.66524246955778676</v>
      </c>
      <c r="BA940" s="28">
        <f t="shared" si="114"/>
        <v>0.66524246955778676</v>
      </c>
    </row>
    <row r="941" spans="19:53" x14ac:dyDescent="0.25">
      <c r="S941" s="28">
        <f t="shared" si="115"/>
        <v>0.92900000000000071</v>
      </c>
      <c r="T941">
        <v>0.99472029786065252</v>
      </c>
      <c r="U941" s="28">
        <f t="shared" si="112"/>
        <v>0.90095280806742495</v>
      </c>
      <c r="AI941" s="28">
        <f t="shared" si="116"/>
        <v>0.92900000000000071</v>
      </c>
      <c r="AJ941">
        <v>0.74498733481856749</v>
      </c>
      <c r="AK941" s="28">
        <f t="shared" si="113"/>
        <v>0.28235619897910957</v>
      </c>
      <c r="AY941" s="28">
        <f t="shared" si="117"/>
        <v>0.92900000000000071</v>
      </c>
      <c r="AZ941">
        <v>0.30698568681905575</v>
      </c>
      <c r="BA941" s="28">
        <f t="shared" si="114"/>
        <v>0.30698568681905575</v>
      </c>
    </row>
    <row r="942" spans="19:53" x14ac:dyDescent="0.25">
      <c r="S942" s="28">
        <f t="shared" si="115"/>
        <v>0.93000000000000071</v>
      </c>
      <c r="T942">
        <v>0.67647328104495374</v>
      </c>
      <c r="U942" s="28">
        <f t="shared" si="112"/>
        <v>0.59041074693702966</v>
      </c>
      <c r="AI942" s="28">
        <f t="shared" si="116"/>
        <v>0.93000000000000071</v>
      </c>
      <c r="AJ942">
        <v>0.94399853511154519</v>
      </c>
      <c r="AK942" s="28">
        <f t="shared" si="113"/>
        <v>0.40076817565432821</v>
      </c>
      <c r="AY942" s="28">
        <f t="shared" si="117"/>
        <v>0.93000000000000071</v>
      </c>
      <c r="AZ942">
        <v>0.83819086275826293</v>
      </c>
      <c r="BA942" s="28">
        <f t="shared" si="114"/>
        <v>0.83819086275826293</v>
      </c>
    </row>
    <row r="943" spans="19:53" x14ac:dyDescent="0.25">
      <c r="S943" s="28">
        <f t="shared" si="115"/>
        <v>0.93100000000000072</v>
      </c>
      <c r="T943">
        <v>0.1347392193365276</v>
      </c>
      <c r="U943" s="28">
        <f t="shared" si="112"/>
        <v>0.29044463045095709</v>
      </c>
      <c r="AI943" s="28">
        <f t="shared" si="116"/>
        <v>0.93100000000000072</v>
      </c>
      <c r="AJ943">
        <v>0.64973906674398019</v>
      </c>
      <c r="AK943" s="28">
        <f t="shared" si="113"/>
        <v>0.25023629238456735</v>
      </c>
      <c r="AY943" s="28">
        <f t="shared" si="117"/>
        <v>0.93100000000000072</v>
      </c>
      <c r="AZ943">
        <v>5.706961272011475E-3</v>
      </c>
      <c r="BA943" s="28">
        <f t="shared" si="114"/>
        <v>5.7069612720114758E-3</v>
      </c>
    </row>
    <row r="944" spans="19:53" x14ac:dyDescent="0.25">
      <c r="S944" s="28">
        <f t="shared" si="115"/>
        <v>0.93200000000000072</v>
      </c>
      <c r="T944">
        <v>0.46565141758476514</v>
      </c>
      <c r="U944" s="28">
        <f t="shared" si="112"/>
        <v>0.48283905727560067</v>
      </c>
      <c r="AI944" s="28">
        <f t="shared" si="116"/>
        <v>0.93200000000000072</v>
      </c>
      <c r="AJ944">
        <v>0.85015411847285383</v>
      </c>
      <c r="AK944" s="28">
        <f t="shared" si="113"/>
        <v>0.32903903354963204</v>
      </c>
      <c r="AY944" s="28">
        <f t="shared" si="117"/>
        <v>0.93200000000000072</v>
      </c>
      <c r="AZ944">
        <v>0.32874538407544174</v>
      </c>
      <c r="BA944" s="28">
        <f t="shared" si="114"/>
        <v>0.32874538407544174</v>
      </c>
    </row>
    <row r="945" spans="19:53" x14ac:dyDescent="0.25">
      <c r="S945" s="28">
        <f t="shared" si="115"/>
        <v>0.93300000000000072</v>
      </c>
      <c r="T945">
        <v>0.20673238319040499</v>
      </c>
      <c r="U945" s="28">
        <f t="shared" si="112"/>
        <v>0.34142693236692401</v>
      </c>
      <c r="AI945" s="28">
        <f t="shared" si="116"/>
        <v>0.93300000000000072</v>
      </c>
      <c r="AJ945">
        <v>0.11780144657734916</v>
      </c>
      <c r="AK945" s="28">
        <f t="shared" si="113"/>
        <v>0.10394642250307855</v>
      </c>
      <c r="AY945" s="28">
        <f t="shared" si="117"/>
        <v>0.93300000000000072</v>
      </c>
      <c r="AZ945">
        <v>5.5940427869502853E-2</v>
      </c>
      <c r="BA945" s="28">
        <f t="shared" si="114"/>
        <v>5.5940427869502853E-2</v>
      </c>
    </row>
    <row r="946" spans="19:53" x14ac:dyDescent="0.25">
      <c r="S946" s="28">
        <f t="shared" si="115"/>
        <v>0.93400000000000072</v>
      </c>
      <c r="T946">
        <v>0.72884304330576499</v>
      </c>
      <c r="U946" s="28">
        <f t="shared" si="112"/>
        <v>0.61954595700136306</v>
      </c>
      <c r="AI946" s="28">
        <f t="shared" si="116"/>
        <v>0.93400000000000072</v>
      </c>
      <c r="AJ946">
        <v>0.74288155766472364</v>
      </c>
      <c r="AK946" s="28">
        <f t="shared" si="113"/>
        <v>0.2815714978348296</v>
      </c>
      <c r="AY946" s="28">
        <f t="shared" si="117"/>
        <v>0.93400000000000072</v>
      </c>
      <c r="AZ946">
        <v>0.76543473616748559</v>
      </c>
      <c r="BA946" s="28">
        <f t="shared" si="114"/>
        <v>0.76543473616748559</v>
      </c>
    </row>
    <row r="947" spans="19:53" x14ac:dyDescent="0.25">
      <c r="S947" s="28">
        <f t="shared" si="115"/>
        <v>0.93500000000000072</v>
      </c>
      <c r="T947">
        <v>0.5859248634296701</v>
      </c>
      <c r="U947" s="28">
        <f t="shared" si="112"/>
        <v>0.54314412795371758</v>
      </c>
      <c r="AI947" s="28">
        <f t="shared" si="116"/>
        <v>0.93500000000000072</v>
      </c>
      <c r="AJ947">
        <v>0.97930845057527394</v>
      </c>
      <c r="AK947" s="28">
        <f t="shared" si="113"/>
        <v>0.4609716016522476</v>
      </c>
      <c r="AY947" s="28">
        <f t="shared" si="117"/>
        <v>0.93500000000000072</v>
      </c>
      <c r="AZ947">
        <v>0.52394177068391978</v>
      </c>
      <c r="BA947" s="28">
        <f t="shared" si="114"/>
        <v>0.52394177068391978</v>
      </c>
    </row>
    <row r="948" spans="19:53" x14ac:dyDescent="0.25">
      <c r="S948" s="28">
        <f t="shared" si="115"/>
        <v>0.93600000000000072</v>
      </c>
      <c r="T948">
        <v>0.26560258796960357</v>
      </c>
      <c r="U948" s="28">
        <f t="shared" si="112"/>
        <v>0.37724977858610836</v>
      </c>
      <c r="AI948" s="28">
        <f t="shared" si="116"/>
        <v>0.93600000000000072</v>
      </c>
      <c r="AJ948">
        <v>0.24723044526505325</v>
      </c>
      <c r="AK948" s="28">
        <f t="shared" si="113"/>
        <v>0.14302532574931928</v>
      </c>
      <c r="AY948" s="28">
        <f t="shared" si="117"/>
        <v>0.93600000000000072</v>
      </c>
      <c r="AZ948">
        <v>0.40751365703299053</v>
      </c>
      <c r="BA948" s="28">
        <f t="shared" si="114"/>
        <v>0.40751365703299053</v>
      </c>
    </row>
    <row r="949" spans="19:53" x14ac:dyDescent="0.25">
      <c r="S949" s="28">
        <f t="shared" si="115"/>
        <v>0.93700000000000072</v>
      </c>
      <c r="T949">
        <v>0.41090121158482618</v>
      </c>
      <c r="U949" s="28">
        <f t="shared" si="112"/>
        <v>0.45524195254377442</v>
      </c>
      <c r="AI949" s="28">
        <f t="shared" si="116"/>
        <v>0.93700000000000072</v>
      </c>
      <c r="AJ949">
        <v>7.5807977538377022E-2</v>
      </c>
      <c r="AK949" s="28">
        <f t="shared" si="113"/>
        <v>8.7509352289677697E-2</v>
      </c>
      <c r="AY949" s="28">
        <f t="shared" si="117"/>
        <v>0.93700000000000072</v>
      </c>
      <c r="AZ949">
        <v>0.31983397930845059</v>
      </c>
      <c r="BA949" s="28">
        <f t="shared" si="114"/>
        <v>0.31983397930845059</v>
      </c>
    </row>
    <row r="950" spans="19:53" x14ac:dyDescent="0.25">
      <c r="S950" s="28">
        <f t="shared" si="115"/>
        <v>0.93800000000000072</v>
      </c>
      <c r="T950">
        <v>0.11093478194524979</v>
      </c>
      <c r="U950" s="28">
        <f t="shared" si="112"/>
        <v>0.27061446683952844</v>
      </c>
      <c r="AI950" s="28">
        <f t="shared" si="116"/>
        <v>0.93800000000000072</v>
      </c>
      <c r="AJ950">
        <v>0.50093081453901789</v>
      </c>
      <c r="AK950" s="28">
        <f t="shared" si="113"/>
        <v>0.208340487012875</v>
      </c>
      <c r="AY950" s="28">
        <f t="shared" si="117"/>
        <v>0.93800000000000072</v>
      </c>
      <c r="AZ950">
        <v>0.27219458601641894</v>
      </c>
      <c r="BA950" s="28">
        <f t="shared" si="114"/>
        <v>0.27219458601641894</v>
      </c>
    </row>
    <row r="951" spans="19:53" x14ac:dyDescent="0.25">
      <c r="S951" s="28">
        <f t="shared" si="115"/>
        <v>0.93900000000000072</v>
      </c>
      <c r="T951">
        <v>3.6072878200628683E-2</v>
      </c>
      <c r="U951" s="28">
        <f t="shared" si="112"/>
        <v>0.18369109187364172</v>
      </c>
      <c r="AI951" s="28">
        <f t="shared" si="116"/>
        <v>0.93900000000000072</v>
      </c>
      <c r="AJ951">
        <v>0.56877346110415972</v>
      </c>
      <c r="AK951" s="28">
        <f t="shared" si="113"/>
        <v>0.22662738416880224</v>
      </c>
      <c r="AY951" s="28">
        <f t="shared" si="117"/>
        <v>0.93900000000000072</v>
      </c>
      <c r="AZ951">
        <v>0.71190527054658648</v>
      </c>
      <c r="BA951" s="28">
        <f t="shared" si="114"/>
        <v>0.71190527054658648</v>
      </c>
    </row>
    <row r="952" spans="19:53" x14ac:dyDescent="0.25">
      <c r="S952" s="28">
        <f t="shared" si="115"/>
        <v>0.94000000000000072</v>
      </c>
      <c r="T952">
        <v>0.3856013672292245</v>
      </c>
      <c r="U952" s="28">
        <f t="shared" si="112"/>
        <v>0.44228904791505652</v>
      </c>
      <c r="AI952" s="28">
        <f t="shared" si="116"/>
        <v>0.94000000000000072</v>
      </c>
      <c r="AJ952">
        <v>0.60878322702719201</v>
      </c>
      <c r="AK952" s="28">
        <f t="shared" si="113"/>
        <v>0.23798810075153554</v>
      </c>
      <c r="AY952" s="28">
        <f t="shared" si="117"/>
        <v>0.94000000000000072</v>
      </c>
      <c r="AZ952">
        <v>0.9082308420056765</v>
      </c>
      <c r="BA952" s="28">
        <f t="shared" si="114"/>
        <v>0.9082308420056765</v>
      </c>
    </row>
    <row r="953" spans="19:53" x14ac:dyDescent="0.25">
      <c r="S953" s="28">
        <f t="shared" si="115"/>
        <v>0.94100000000000072</v>
      </c>
      <c r="T953">
        <v>0.86001159703360086</v>
      </c>
      <c r="U953" s="28">
        <f t="shared" si="112"/>
        <v>0.70543711257754271</v>
      </c>
      <c r="AI953" s="28">
        <f t="shared" si="116"/>
        <v>0.94100000000000072</v>
      </c>
      <c r="AJ953">
        <v>0.43928342539750359</v>
      </c>
      <c r="AK953" s="28">
        <f t="shared" si="113"/>
        <v>0.1924058286944989</v>
      </c>
      <c r="AY953" s="28">
        <f t="shared" si="117"/>
        <v>0.94100000000000072</v>
      </c>
      <c r="AZ953">
        <v>5.5543687246314893E-2</v>
      </c>
      <c r="BA953" s="28">
        <f t="shared" si="114"/>
        <v>5.5543687246314886E-2</v>
      </c>
    </row>
    <row r="954" spans="19:53" x14ac:dyDescent="0.25">
      <c r="S954" s="28">
        <f t="shared" si="115"/>
        <v>0.94200000000000073</v>
      </c>
      <c r="T954">
        <v>0.67412335581530203</v>
      </c>
      <c r="U954" s="28">
        <f t="shared" si="112"/>
        <v>0.58914213088015943</v>
      </c>
      <c r="AI954" s="28">
        <f t="shared" si="116"/>
        <v>0.94200000000000073</v>
      </c>
      <c r="AJ954">
        <v>0.5526596881008331</v>
      </c>
      <c r="AK954" s="28">
        <f t="shared" si="113"/>
        <v>0.22218733761645282</v>
      </c>
      <c r="AY954" s="28">
        <f t="shared" si="117"/>
        <v>0.94200000000000073</v>
      </c>
      <c r="AZ954">
        <v>5.6611835077974793E-2</v>
      </c>
      <c r="BA954" s="28">
        <f t="shared" si="114"/>
        <v>5.6611835077974786E-2</v>
      </c>
    </row>
    <row r="955" spans="19:53" x14ac:dyDescent="0.25">
      <c r="S955" s="28">
        <f t="shared" si="115"/>
        <v>0.94300000000000073</v>
      </c>
      <c r="T955">
        <v>0.60142826624347667</v>
      </c>
      <c r="U955" s="28">
        <f t="shared" si="112"/>
        <v>0.55104969597618236</v>
      </c>
      <c r="AI955" s="28">
        <f t="shared" si="116"/>
        <v>0.94300000000000073</v>
      </c>
      <c r="AJ955">
        <v>0.52827539902951137</v>
      </c>
      <c r="AK955" s="28">
        <f t="shared" si="113"/>
        <v>0.21559060882331715</v>
      </c>
      <c r="AY955" s="28">
        <f t="shared" si="117"/>
        <v>0.94300000000000073</v>
      </c>
      <c r="AZ955">
        <v>0.26868495742667931</v>
      </c>
      <c r="BA955" s="28">
        <f t="shared" si="114"/>
        <v>0.26868495742667931</v>
      </c>
    </row>
    <row r="956" spans="19:53" x14ac:dyDescent="0.25">
      <c r="S956" s="28">
        <f t="shared" si="115"/>
        <v>0.94400000000000073</v>
      </c>
      <c r="T956">
        <v>0.9659718619342631</v>
      </c>
      <c r="U956" s="28">
        <f t="shared" si="112"/>
        <v>0.81983905801606827</v>
      </c>
      <c r="AI956" s="28">
        <f t="shared" si="116"/>
        <v>0.94400000000000073</v>
      </c>
      <c r="AJ956">
        <v>0.76305429242835776</v>
      </c>
      <c r="AK956" s="28">
        <f t="shared" si="113"/>
        <v>0.28927082721918584</v>
      </c>
      <c r="AY956" s="28">
        <f t="shared" si="117"/>
        <v>0.94400000000000073</v>
      </c>
      <c r="AZ956">
        <v>0.85329752494888145</v>
      </c>
      <c r="BA956" s="28">
        <f t="shared" si="114"/>
        <v>0.85329752494888145</v>
      </c>
    </row>
    <row r="957" spans="19:53" x14ac:dyDescent="0.25">
      <c r="S957" s="28">
        <f t="shared" si="115"/>
        <v>0.94500000000000073</v>
      </c>
      <c r="T957">
        <v>0.16687520981475265</v>
      </c>
      <c r="U957" s="28">
        <f t="shared" si="112"/>
        <v>0.31452294226423244</v>
      </c>
      <c r="AI957" s="28">
        <f t="shared" si="116"/>
        <v>0.94500000000000073</v>
      </c>
      <c r="AJ957">
        <v>0.74724570451979122</v>
      </c>
      <c r="AK957" s="28">
        <f t="shared" si="113"/>
        <v>0.2832024802459352</v>
      </c>
      <c r="AY957" s="28">
        <f t="shared" si="117"/>
        <v>0.94500000000000073</v>
      </c>
      <c r="AZ957">
        <v>0.33704641865291302</v>
      </c>
      <c r="BA957" s="28">
        <f t="shared" si="114"/>
        <v>0.33704641865291296</v>
      </c>
    </row>
    <row r="958" spans="19:53" x14ac:dyDescent="0.25">
      <c r="S958" s="28">
        <f t="shared" si="115"/>
        <v>0.94600000000000073</v>
      </c>
      <c r="T958">
        <v>0.97885067293313399</v>
      </c>
      <c r="U958" s="28">
        <f t="shared" si="112"/>
        <v>0.84590348464204168</v>
      </c>
      <c r="AI958" s="28">
        <f t="shared" si="116"/>
        <v>0.94600000000000073</v>
      </c>
      <c r="AJ958">
        <v>0.7091891232032228</v>
      </c>
      <c r="AK958" s="28">
        <f t="shared" si="113"/>
        <v>0.26954070537188413</v>
      </c>
      <c r="AY958" s="28">
        <f t="shared" si="117"/>
        <v>0.94600000000000073</v>
      </c>
      <c r="AZ958">
        <v>0.97344889675588242</v>
      </c>
      <c r="BA958" s="28">
        <f t="shared" si="114"/>
        <v>0.97344889675588242</v>
      </c>
    </row>
    <row r="959" spans="19:53" x14ac:dyDescent="0.25">
      <c r="S959" s="28">
        <f t="shared" si="115"/>
        <v>0.94700000000000073</v>
      </c>
      <c r="T959">
        <v>0.90392773216956079</v>
      </c>
      <c r="U959" s="28">
        <f t="shared" si="112"/>
        <v>0.74295789663176337</v>
      </c>
      <c r="AI959" s="28">
        <f t="shared" si="116"/>
        <v>0.94700000000000073</v>
      </c>
      <c r="AJ959">
        <v>0.63991210669270915</v>
      </c>
      <c r="AK959" s="28">
        <f t="shared" si="113"/>
        <v>0.24723097552963857</v>
      </c>
      <c r="AY959" s="28">
        <f t="shared" si="117"/>
        <v>0.94700000000000073</v>
      </c>
      <c r="AZ959">
        <v>0.90020447401348913</v>
      </c>
      <c r="BA959" s="28">
        <f t="shared" si="114"/>
        <v>0.90020447401348913</v>
      </c>
    </row>
    <row r="960" spans="19:53" x14ac:dyDescent="0.25">
      <c r="S960" s="28">
        <f t="shared" si="115"/>
        <v>0.94800000000000073</v>
      </c>
      <c r="T960">
        <v>0.73100985747856073</v>
      </c>
      <c r="U960" s="28">
        <f t="shared" si="112"/>
        <v>0.62079296833168174</v>
      </c>
      <c r="AI960" s="28">
        <f t="shared" si="116"/>
        <v>0.94800000000000073</v>
      </c>
      <c r="AJ960">
        <v>0.21781060213019196</v>
      </c>
      <c r="AK960" s="28">
        <f t="shared" si="113"/>
        <v>0.1349412116095077</v>
      </c>
      <c r="AY960" s="28">
        <f t="shared" si="117"/>
        <v>0.94800000000000073</v>
      </c>
      <c r="AZ960">
        <v>0.81499679555650506</v>
      </c>
      <c r="BA960" s="28">
        <f t="shared" si="114"/>
        <v>0.81499679555650506</v>
      </c>
    </row>
    <row r="961" spans="19:53" x14ac:dyDescent="0.25">
      <c r="S961" s="28">
        <f t="shared" si="115"/>
        <v>0.94900000000000073</v>
      </c>
      <c r="T961">
        <v>0.88753929258095032</v>
      </c>
      <c r="U961" s="28">
        <f t="shared" si="112"/>
        <v>0.72804984685481222</v>
      </c>
      <c r="AI961" s="28">
        <f t="shared" si="116"/>
        <v>0.94900000000000073</v>
      </c>
      <c r="AJ961">
        <v>0.41434980315561387</v>
      </c>
      <c r="AK961" s="28">
        <f t="shared" si="113"/>
        <v>0.18606305726032116</v>
      </c>
      <c r="AY961" s="28">
        <f t="shared" si="117"/>
        <v>0.94900000000000073</v>
      </c>
      <c r="AZ961">
        <v>0.8775597399822993</v>
      </c>
      <c r="BA961" s="28">
        <f t="shared" si="114"/>
        <v>0.8775597399822993</v>
      </c>
    </row>
    <row r="962" spans="19:53" x14ac:dyDescent="0.25">
      <c r="S962" s="28">
        <f t="shared" si="115"/>
        <v>0.95000000000000073</v>
      </c>
      <c r="T962">
        <v>0.67006439405499441</v>
      </c>
      <c r="U962" s="28">
        <f t="shared" si="112"/>
        <v>0.58695751886355052</v>
      </c>
      <c r="AI962" s="28">
        <f t="shared" si="116"/>
        <v>0.95000000000000073</v>
      </c>
      <c r="AJ962">
        <v>0.41251869258705404</v>
      </c>
      <c r="AK962" s="28">
        <f t="shared" si="113"/>
        <v>0.18559854755569125</v>
      </c>
      <c r="AY962" s="28">
        <f t="shared" si="117"/>
        <v>0.95000000000000073</v>
      </c>
      <c r="AZ962">
        <v>9.2654194769127479E-2</v>
      </c>
      <c r="BA962" s="28">
        <f t="shared" si="114"/>
        <v>9.2654194769127479E-2</v>
      </c>
    </row>
    <row r="963" spans="19:53" x14ac:dyDescent="0.25">
      <c r="S963" s="28">
        <f t="shared" si="115"/>
        <v>0.95100000000000073</v>
      </c>
      <c r="T963">
        <v>0.56956694235053562</v>
      </c>
      <c r="U963" s="28">
        <f t="shared" si="112"/>
        <v>0.53485865084245077</v>
      </c>
      <c r="AI963" s="28">
        <f t="shared" si="116"/>
        <v>0.95100000000000073</v>
      </c>
      <c r="AJ963">
        <v>1.9409772026734214E-2</v>
      </c>
      <c r="AK963" s="28">
        <f t="shared" si="113"/>
        <v>5.3721834310770669E-2</v>
      </c>
      <c r="AY963" s="28">
        <f t="shared" si="117"/>
        <v>0.95100000000000073</v>
      </c>
      <c r="AZ963">
        <v>0.26783043916135135</v>
      </c>
      <c r="BA963" s="28">
        <f t="shared" si="114"/>
        <v>0.26783043916135135</v>
      </c>
    </row>
    <row r="964" spans="19:53" x14ac:dyDescent="0.25">
      <c r="S964" s="28">
        <f t="shared" si="115"/>
        <v>0.95200000000000073</v>
      </c>
      <c r="T964">
        <v>0.61958677938169504</v>
      </c>
      <c r="U964" s="28">
        <f t="shared" si="112"/>
        <v>0.56038909541319426</v>
      </c>
      <c r="AI964" s="28">
        <f t="shared" si="116"/>
        <v>0.95200000000000073</v>
      </c>
      <c r="AJ964">
        <v>0.80010376293221841</v>
      </c>
      <c r="AK964" s="28">
        <f t="shared" si="113"/>
        <v>0.30465346492419221</v>
      </c>
      <c r="AY964" s="28">
        <f t="shared" si="117"/>
        <v>0.95200000000000073</v>
      </c>
      <c r="AZ964">
        <v>0.69414349803155617</v>
      </c>
      <c r="BA964" s="28">
        <f t="shared" si="114"/>
        <v>0.69414349803155617</v>
      </c>
    </row>
    <row r="965" spans="19:53" x14ac:dyDescent="0.25">
      <c r="S965" s="28">
        <f t="shared" si="115"/>
        <v>0.95300000000000074</v>
      </c>
      <c r="T965">
        <v>0.25461592455824456</v>
      </c>
      <c r="U965" s="28">
        <f t="shared" si="112"/>
        <v>0.37083428424312648</v>
      </c>
      <c r="AI965" s="28">
        <f t="shared" si="116"/>
        <v>0.95300000000000074</v>
      </c>
      <c r="AJ965">
        <v>0.93658253730887786</v>
      </c>
      <c r="AK965" s="28">
        <f t="shared" si="113"/>
        <v>0.39248964948525844</v>
      </c>
      <c r="AY965" s="28">
        <f t="shared" si="117"/>
        <v>0.95300000000000074</v>
      </c>
      <c r="AZ965">
        <v>0.81896420178838469</v>
      </c>
      <c r="BA965" s="28">
        <f t="shared" si="114"/>
        <v>0.81896420178838469</v>
      </c>
    </row>
    <row r="966" spans="19:53" x14ac:dyDescent="0.25">
      <c r="S966" s="28">
        <f t="shared" si="115"/>
        <v>0.95400000000000074</v>
      </c>
      <c r="T966">
        <v>0.40183721427045505</v>
      </c>
      <c r="U966" s="28">
        <f t="shared" si="112"/>
        <v>0.45062026336587546</v>
      </c>
      <c r="AI966" s="28">
        <f t="shared" si="116"/>
        <v>0.95400000000000074</v>
      </c>
      <c r="AJ966">
        <v>0.74361400189214755</v>
      </c>
      <c r="AK966" s="28">
        <f t="shared" si="113"/>
        <v>0.28184396047284965</v>
      </c>
      <c r="AY966" s="28">
        <f t="shared" si="117"/>
        <v>0.95400000000000074</v>
      </c>
      <c r="AZ966">
        <v>0.95562608722190012</v>
      </c>
      <c r="BA966" s="28">
        <f t="shared" si="114"/>
        <v>0.95562608722190012</v>
      </c>
    </row>
    <row r="967" spans="19:53" x14ac:dyDescent="0.25">
      <c r="S967" s="28">
        <f t="shared" si="115"/>
        <v>0.95500000000000074</v>
      </c>
      <c r="T967">
        <v>8.0050050355540636E-2</v>
      </c>
      <c r="U967" s="28">
        <f t="shared" si="112"/>
        <v>0.24102561871464032</v>
      </c>
      <c r="AI967" s="28">
        <f t="shared" si="116"/>
        <v>0.95500000000000074</v>
      </c>
      <c r="AJ967">
        <v>0.217474898525956</v>
      </c>
      <c r="AK967" s="28">
        <f t="shared" si="113"/>
        <v>0.13484719523227004</v>
      </c>
      <c r="AY967" s="28">
        <f t="shared" si="117"/>
        <v>0.95500000000000074</v>
      </c>
      <c r="AZ967">
        <v>0.34589678640095217</v>
      </c>
      <c r="BA967" s="28">
        <f t="shared" si="114"/>
        <v>0.34589678640095212</v>
      </c>
    </row>
    <row r="968" spans="19:53" x14ac:dyDescent="0.25">
      <c r="S968" s="28">
        <f t="shared" si="115"/>
        <v>0.95600000000000074</v>
      </c>
      <c r="T968">
        <v>0.35511337626270334</v>
      </c>
      <c r="U968" s="28">
        <f t="shared" si="112"/>
        <v>0.42642170095235721</v>
      </c>
      <c r="AI968" s="28">
        <f t="shared" si="116"/>
        <v>0.95600000000000074</v>
      </c>
      <c r="AJ968">
        <v>0.97759941404461803</v>
      </c>
      <c r="AK968" s="28">
        <f t="shared" si="113"/>
        <v>0.45652083859235326</v>
      </c>
      <c r="AY968" s="28">
        <f t="shared" si="117"/>
        <v>0.95600000000000074</v>
      </c>
      <c r="AZ968">
        <v>0.27372051149021881</v>
      </c>
      <c r="BA968" s="28">
        <f t="shared" si="114"/>
        <v>0.27372051149021881</v>
      </c>
    </row>
    <row r="969" spans="19:53" x14ac:dyDescent="0.25">
      <c r="S969" s="28">
        <f t="shared" si="115"/>
        <v>0.95700000000000074</v>
      </c>
      <c r="T969">
        <v>9.2623676259651483E-2</v>
      </c>
      <c r="U969" s="28">
        <f t="shared" si="112"/>
        <v>0.25372976546920822</v>
      </c>
      <c r="AI969" s="28">
        <f t="shared" si="116"/>
        <v>0.95700000000000074</v>
      </c>
      <c r="AJ969">
        <v>5.1973021637623219E-2</v>
      </c>
      <c r="AK969" s="28">
        <f t="shared" si="113"/>
        <v>7.60252609800985E-2</v>
      </c>
      <c r="AY969" s="28">
        <f t="shared" si="117"/>
        <v>0.95700000000000074</v>
      </c>
      <c r="AZ969">
        <v>0.19565416425061799</v>
      </c>
      <c r="BA969" s="28">
        <f t="shared" si="114"/>
        <v>0.19565416425061799</v>
      </c>
    </row>
    <row r="970" spans="19:53" x14ac:dyDescent="0.25">
      <c r="S970" s="28">
        <f t="shared" si="115"/>
        <v>0.95800000000000074</v>
      </c>
      <c r="T970">
        <v>0.21683400982696005</v>
      </c>
      <c r="U970" s="28">
        <f t="shared" si="112"/>
        <v>0.34785565558692105</v>
      </c>
      <c r="AI970" s="28">
        <f t="shared" si="116"/>
        <v>0.95800000000000074</v>
      </c>
      <c r="AJ970">
        <v>0.56501968443861206</v>
      </c>
      <c r="AK970" s="28">
        <f t="shared" si="113"/>
        <v>0.22558679121602332</v>
      </c>
      <c r="AY970" s="28">
        <f t="shared" si="117"/>
        <v>0.95800000000000074</v>
      </c>
      <c r="AZ970">
        <v>0.80941190832239751</v>
      </c>
      <c r="BA970" s="28">
        <f t="shared" si="114"/>
        <v>0.80941190832239751</v>
      </c>
    </row>
    <row r="971" spans="19:53" x14ac:dyDescent="0.25">
      <c r="S971" s="28">
        <f t="shared" si="115"/>
        <v>0.95900000000000074</v>
      </c>
      <c r="T971">
        <v>0.25922421948912017</v>
      </c>
      <c r="U971" s="28">
        <f t="shared" si="112"/>
        <v>0.37353815914521488</v>
      </c>
      <c r="AI971" s="28">
        <f t="shared" si="116"/>
        <v>0.95900000000000074</v>
      </c>
      <c r="AJ971">
        <v>0.91653187658314772</v>
      </c>
      <c r="AK971" s="28">
        <f t="shared" si="113"/>
        <v>0.37347862935662168</v>
      </c>
      <c r="AY971" s="28">
        <f t="shared" si="117"/>
        <v>0.95900000000000074</v>
      </c>
      <c r="AZ971">
        <v>0.84276863917966249</v>
      </c>
      <c r="BA971" s="28">
        <f t="shared" si="114"/>
        <v>0.84276863917966249</v>
      </c>
    </row>
    <row r="972" spans="19:53" x14ac:dyDescent="0.25">
      <c r="S972" s="28">
        <f t="shared" si="115"/>
        <v>0.96000000000000074</v>
      </c>
      <c r="T972">
        <v>0.11108737449262979</v>
      </c>
      <c r="U972" s="28">
        <f t="shared" si="112"/>
        <v>0.27074848134493268</v>
      </c>
      <c r="AI972" s="28">
        <f t="shared" si="116"/>
        <v>0.96000000000000074</v>
      </c>
      <c r="AJ972">
        <v>0.39295632801293984</v>
      </c>
      <c r="AK972" s="28">
        <f t="shared" si="113"/>
        <v>0.18064256149251665</v>
      </c>
      <c r="AY972" s="28">
        <f t="shared" si="117"/>
        <v>0.96000000000000074</v>
      </c>
      <c r="AZ972">
        <v>0.57942442091128266</v>
      </c>
      <c r="BA972" s="28">
        <f t="shared" si="114"/>
        <v>0.57942442091128266</v>
      </c>
    </row>
    <row r="973" spans="19:53" x14ac:dyDescent="0.25">
      <c r="S973" s="28">
        <f t="shared" si="115"/>
        <v>0.96100000000000074</v>
      </c>
      <c r="T973">
        <v>0.44599749748222295</v>
      </c>
      <c r="U973" s="28">
        <f t="shared" ref="U973:U1036" si="118">_xlfn.BETA.INV(T973,$V$5,$V$6,0,1)</f>
        <v>0.47298223168849945</v>
      </c>
      <c r="AI973" s="28">
        <f t="shared" si="116"/>
        <v>0.96100000000000074</v>
      </c>
      <c r="AJ973">
        <v>0.26276436658833585</v>
      </c>
      <c r="AK973" s="28">
        <f t="shared" ref="AK973:AK1036" si="119">_xlfn.BETA.INV(AJ973,$AL$5,$AL$6,0,1)</f>
        <v>0.14718887237367997</v>
      </c>
      <c r="AY973" s="28">
        <f t="shared" si="117"/>
        <v>0.96100000000000074</v>
      </c>
      <c r="AZ973">
        <v>0.97790459913937799</v>
      </c>
      <c r="BA973" s="28">
        <f t="shared" ref="BA973:BA1036" si="120">_xlfn.BETA.INV(AZ973,$BB$5,$BB$6,0,1)</f>
        <v>0.97790459913937799</v>
      </c>
    </row>
    <row r="974" spans="19:53" x14ac:dyDescent="0.25">
      <c r="S974" s="28">
        <f t="shared" si="115"/>
        <v>0.96200000000000074</v>
      </c>
      <c r="T974">
        <v>0.78704184087649154</v>
      </c>
      <c r="U974" s="28">
        <f t="shared" si="118"/>
        <v>0.65459492901295335</v>
      </c>
      <c r="AI974" s="28">
        <f t="shared" si="116"/>
        <v>0.96200000000000074</v>
      </c>
      <c r="AJ974">
        <v>0.57951597643971064</v>
      </c>
      <c r="AK974" s="28">
        <f t="shared" si="119"/>
        <v>0.2296277230726973</v>
      </c>
      <c r="AY974" s="28">
        <f t="shared" si="117"/>
        <v>0.96200000000000074</v>
      </c>
      <c r="AZ974">
        <v>0.10113834040345469</v>
      </c>
      <c r="BA974" s="28">
        <f t="shared" si="120"/>
        <v>0.10113834040345469</v>
      </c>
    </row>
    <row r="975" spans="19:53" x14ac:dyDescent="0.25">
      <c r="S975" s="28">
        <f t="shared" ref="S975:S1038" si="121">S974+0.001</f>
        <v>0.96300000000000074</v>
      </c>
      <c r="T975">
        <v>0.17554246650593586</v>
      </c>
      <c r="U975" s="28">
        <f t="shared" si="118"/>
        <v>0.32061215085604305</v>
      </c>
      <c r="AI975" s="28">
        <f t="shared" ref="AI975:AI1038" si="122">AI974+0.001</f>
        <v>0.96300000000000074</v>
      </c>
      <c r="AJ975">
        <v>0.87957396160771506</v>
      </c>
      <c r="AK975" s="28">
        <f t="shared" si="119"/>
        <v>0.34634669128962881</v>
      </c>
      <c r="AY975" s="28">
        <f t="shared" ref="AY975:AY1038" si="123">AY974+0.001</f>
        <v>0.96300000000000074</v>
      </c>
      <c r="AZ975">
        <v>0.84316537980285045</v>
      </c>
      <c r="BA975" s="28">
        <f t="shared" si="120"/>
        <v>0.84316537980285045</v>
      </c>
    </row>
    <row r="976" spans="19:53" x14ac:dyDescent="0.25">
      <c r="S976" s="28">
        <f t="shared" si="121"/>
        <v>0.96400000000000075</v>
      </c>
      <c r="T976">
        <v>0.92883083590197457</v>
      </c>
      <c r="U976" s="28">
        <f t="shared" si="118"/>
        <v>0.76865043468753369</v>
      </c>
      <c r="AI976" s="28">
        <f t="shared" si="122"/>
        <v>0.96400000000000075</v>
      </c>
      <c r="AJ976">
        <v>0.64226203192236087</v>
      </c>
      <c r="AK976" s="28">
        <f t="shared" si="119"/>
        <v>0.24794553457146795</v>
      </c>
      <c r="AY976" s="28">
        <f t="shared" si="123"/>
        <v>0.96400000000000075</v>
      </c>
      <c r="AZ976">
        <v>0.57799005096591083</v>
      </c>
      <c r="BA976" s="28">
        <f t="shared" si="120"/>
        <v>0.57799005096591083</v>
      </c>
    </row>
    <row r="977" spans="19:53" x14ac:dyDescent="0.25">
      <c r="S977" s="28">
        <f t="shared" si="121"/>
        <v>0.96500000000000075</v>
      </c>
      <c r="T977">
        <v>0.95113986632892844</v>
      </c>
      <c r="U977" s="28">
        <f t="shared" si="118"/>
        <v>0.796614012315079</v>
      </c>
      <c r="AI977" s="28">
        <f t="shared" si="122"/>
        <v>0.96500000000000075</v>
      </c>
      <c r="AJ977">
        <v>0.6250190740684225</v>
      </c>
      <c r="AK977" s="28">
        <f t="shared" si="119"/>
        <v>0.24275915771904599</v>
      </c>
      <c r="AY977" s="28">
        <f t="shared" si="123"/>
        <v>0.96500000000000075</v>
      </c>
      <c r="AZ977">
        <v>0.10168767357402264</v>
      </c>
      <c r="BA977" s="28">
        <f t="shared" si="120"/>
        <v>0.10168767357402264</v>
      </c>
    </row>
    <row r="978" spans="19:53" x14ac:dyDescent="0.25">
      <c r="S978" s="28">
        <f t="shared" si="121"/>
        <v>0.96600000000000075</v>
      </c>
      <c r="T978">
        <v>0.42225409710989714</v>
      </c>
      <c r="U978" s="28">
        <f t="shared" si="118"/>
        <v>0.46100505544025744</v>
      </c>
      <c r="AI978" s="28">
        <f t="shared" si="122"/>
        <v>0.96600000000000075</v>
      </c>
      <c r="AJ978">
        <v>0.58629108554338205</v>
      </c>
      <c r="AK978" s="28">
        <f t="shared" si="119"/>
        <v>0.23153789390247226</v>
      </c>
      <c r="AY978" s="28">
        <f t="shared" si="123"/>
        <v>0.96600000000000075</v>
      </c>
      <c r="AZ978">
        <v>1.336710715048677E-2</v>
      </c>
      <c r="BA978" s="28">
        <f t="shared" si="120"/>
        <v>1.3367107150486772E-2</v>
      </c>
    </row>
    <row r="979" spans="19:53" x14ac:dyDescent="0.25">
      <c r="S979" s="28">
        <f t="shared" si="121"/>
        <v>0.96700000000000075</v>
      </c>
      <c r="T979">
        <v>0.74178289132358777</v>
      </c>
      <c r="U979" s="28">
        <f t="shared" si="118"/>
        <v>0.6270511257071667</v>
      </c>
      <c r="AI979" s="28">
        <f t="shared" si="122"/>
        <v>0.96700000000000075</v>
      </c>
      <c r="AJ979">
        <v>0.3073519089327677</v>
      </c>
      <c r="AK979" s="28">
        <f t="shared" si="119"/>
        <v>0.15885380482435352</v>
      </c>
      <c r="AY979" s="28">
        <f t="shared" si="123"/>
        <v>0.96700000000000075</v>
      </c>
      <c r="AZ979">
        <v>0.32752464369640188</v>
      </c>
      <c r="BA979" s="28">
        <f t="shared" si="120"/>
        <v>0.32752464369640188</v>
      </c>
    </row>
    <row r="980" spans="19:53" x14ac:dyDescent="0.25">
      <c r="S980" s="28">
        <f t="shared" si="121"/>
        <v>0.96800000000000075</v>
      </c>
      <c r="T980">
        <v>4.3031098361156039E-2</v>
      </c>
      <c r="U980" s="28">
        <f t="shared" si="118"/>
        <v>0.19485564593945845</v>
      </c>
      <c r="AI980" s="28">
        <f t="shared" si="122"/>
        <v>0.96800000000000075</v>
      </c>
      <c r="AJ980">
        <v>0.82882168034913173</v>
      </c>
      <c r="AK980" s="28">
        <f t="shared" si="119"/>
        <v>0.31801746941189946</v>
      </c>
      <c r="AY980" s="28">
        <f t="shared" si="123"/>
        <v>0.96800000000000075</v>
      </c>
      <c r="AZ980">
        <v>0.24485000152592548</v>
      </c>
      <c r="BA980" s="28">
        <f t="shared" si="120"/>
        <v>0.24485000152592548</v>
      </c>
    </row>
    <row r="981" spans="19:53" x14ac:dyDescent="0.25">
      <c r="S981" s="28">
        <f t="shared" si="121"/>
        <v>0.96900000000000075</v>
      </c>
      <c r="T981">
        <v>0.48420667134617146</v>
      </c>
      <c r="U981" s="28">
        <f t="shared" si="118"/>
        <v>0.49211531906318584</v>
      </c>
      <c r="AI981" s="28">
        <f t="shared" si="122"/>
        <v>0.96900000000000075</v>
      </c>
      <c r="AJ981">
        <v>0.21204260383922849</v>
      </c>
      <c r="AK981" s="28">
        <f t="shared" si="119"/>
        <v>0.13331954058802159</v>
      </c>
      <c r="AY981" s="28">
        <f t="shared" si="123"/>
        <v>0.96900000000000075</v>
      </c>
      <c r="AZ981">
        <v>0.39155247657704395</v>
      </c>
      <c r="BA981" s="28">
        <f t="shared" si="120"/>
        <v>0.39155247657704395</v>
      </c>
    </row>
    <row r="982" spans="19:53" x14ac:dyDescent="0.25">
      <c r="S982" s="28">
        <f t="shared" si="121"/>
        <v>0.97000000000000075</v>
      </c>
      <c r="T982">
        <v>0.25238807336649677</v>
      </c>
      <c r="U982" s="28">
        <f t="shared" si="118"/>
        <v>0.36952016404910981</v>
      </c>
      <c r="AI982" s="28">
        <f t="shared" si="122"/>
        <v>0.97000000000000075</v>
      </c>
      <c r="AJ982">
        <v>0.71526230658894618</v>
      </c>
      <c r="AK982" s="28">
        <f t="shared" si="119"/>
        <v>0.271641660108071</v>
      </c>
      <c r="AY982" s="28">
        <f t="shared" si="123"/>
        <v>0.97000000000000075</v>
      </c>
      <c r="AZ982">
        <v>0.32145146031067845</v>
      </c>
      <c r="BA982" s="28">
        <f t="shared" si="120"/>
        <v>0.32145146031067845</v>
      </c>
    </row>
    <row r="983" spans="19:53" x14ac:dyDescent="0.25">
      <c r="S983" s="28">
        <f t="shared" si="121"/>
        <v>0.97100000000000075</v>
      </c>
      <c r="T983">
        <v>0.79326761680959501</v>
      </c>
      <c r="U983" s="28">
        <f t="shared" si="118"/>
        <v>0.65857306763307599</v>
      </c>
      <c r="AI983" s="28">
        <f t="shared" si="122"/>
        <v>0.97100000000000075</v>
      </c>
      <c r="AJ983">
        <v>0.25992614520706808</v>
      </c>
      <c r="AK983" s="28">
        <f t="shared" si="119"/>
        <v>0.14643274557934394</v>
      </c>
      <c r="AY983" s="28">
        <f t="shared" si="123"/>
        <v>0.97100000000000075</v>
      </c>
      <c r="AZ983">
        <v>0.72420422986541333</v>
      </c>
      <c r="BA983" s="28">
        <f t="shared" si="120"/>
        <v>0.72420422986541333</v>
      </c>
    </row>
    <row r="984" spans="19:53" x14ac:dyDescent="0.25">
      <c r="S984" s="28">
        <f t="shared" si="121"/>
        <v>0.97200000000000075</v>
      </c>
      <c r="T984">
        <v>0.77242347483748897</v>
      </c>
      <c r="U984" s="28">
        <f t="shared" si="118"/>
        <v>0.64545012833882098</v>
      </c>
      <c r="AI984" s="28">
        <f t="shared" si="122"/>
        <v>0.97200000000000075</v>
      </c>
      <c r="AJ984">
        <v>0.92358165227210298</v>
      </c>
      <c r="AK984" s="28">
        <f t="shared" si="119"/>
        <v>0.37969893786158559</v>
      </c>
      <c r="AY984" s="28">
        <f t="shared" si="123"/>
        <v>0.97200000000000075</v>
      </c>
      <c r="AZ984">
        <v>0.53184606463820305</v>
      </c>
      <c r="BA984" s="28">
        <f t="shared" si="120"/>
        <v>0.53184606463820305</v>
      </c>
    </row>
    <row r="985" spans="19:53" x14ac:dyDescent="0.25">
      <c r="S985" s="28">
        <f t="shared" si="121"/>
        <v>0.97300000000000075</v>
      </c>
      <c r="T985">
        <v>0.1152073732718894</v>
      </c>
      <c r="U985" s="28">
        <f t="shared" si="118"/>
        <v>0.27432994187801235</v>
      </c>
      <c r="AI985" s="28">
        <f t="shared" si="122"/>
        <v>0.97300000000000075</v>
      </c>
      <c r="AJ985">
        <v>0.15823847163304544</v>
      </c>
      <c r="AK985" s="28">
        <f t="shared" si="119"/>
        <v>0.11738029426156887</v>
      </c>
      <c r="AY985" s="28">
        <f t="shared" si="123"/>
        <v>0.97300000000000075</v>
      </c>
      <c r="AZ985">
        <v>0.78139591662343211</v>
      </c>
      <c r="BA985" s="28">
        <f t="shared" si="120"/>
        <v>0.78139591662343211</v>
      </c>
    </row>
    <row r="986" spans="19:53" x14ac:dyDescent="0.25">
      <c r="S986" s="28">
        <f t="shared" si="121"/>
        <v>0.97400000000000075</v>
      </c>
      <c r="T986">
        <v>0.48982207708975495</v>
      </c>
      <c r="U986" s="28">
        <f t="shared" si="118"/>
        <v>0.49491935044498087</v>
      </c>
      <c r="AI986" s="28">
        <f t="shared" si="122"/>
        <v>0.97400000000000075</v>
      </c>
      <c r="AJ986">
        <v>0.92135380108035525</v>
      </c>
      <c r="AK986" s="28">
        <f t="shared" si="119"/>
        <v>0.37768552593088844</v>
      </c>
      <c r="AY986" s="28">
        <f t="shared" si="123"/>
        <v>0.97400000000000075</v>
      </c>
      <c r="AZ986">
        <v>0.3546250801110874</v>
      </c>
      <c r="BA986" s="28">
        <f t="shared" si="120"/>
        <v>0.35462508011108734</v>
      </c>
    </row>
    <row r="987" spans="19:53" x14ac:dyDescent="0.25">
      <c r="S987" s="28">
        <f t="shared" si="121"/>
        <v>0.97500000000000075</v>
      </c>
      <c r="T987">
        <v>0.9259926145207068</v>
      </c>
      <c r="U987" s="28">
        <f t="shared" si="118"/>
        <v>0.76548601137967764</v>
      </c>
      <c r="AI987" s="28">
        <f t="shared" si="122"/>
        <v>0.97500000000000075</v>
      </c>
      <c r="AJ987">
        <v>0.29856257820368054</v>
      </c>
      <c r="AK987" s="28">
        <f t="shared" si="119"/>
        <v>0.15658124993039105</v>
      </c>
      <c r="AY987" s="28">
        <f t="shared" si="123"/>
        <v>0.97500000000000075</v>
      </c>
      <c r="AZ987">
        <v>0.15121921445356609</v>
      </c>
      <c r="BA987" s="28">
        <f t="shared" si="120"/>
        <v>0.15121921445356609</v>
      </c>
    </row>
    <row r="988" spans="19:53" x14ac:dyDescent="0.25">
      <c r="S988" s="28">
        <f t="shared" si="121"/>
        <v>0.97600000000000076</v>
      </c>
      <c r="T988">
        <v>0.130314035462508</v>
      </c>
      <c r="U988" s="28">
        <f t="shared" si="118"/>
        <v>0.28690765015534436</v>
      </c>
      <c r="AI988" s="28">
        <f t="shared" si="122"/>
        <v>0.97600000000000076</v>
      </c>
      <c r="AJ988">
        <v>0.46369823297830132</v>
      </c>
      <c r="AK988" s="28">
        <f t="shared" si="119"/>
        <v>0.1986629975664834</v>
      </c>
      <c r="AY988" s="28">
        <f t="shared" si="123"/>
        <v>0.97600000000000076</v>
      </c>
      <c r="AZ988">
        <v>0.26679280983916748</v>
      </c>
      <c r="BA988" s="28">
        <f t="shared" si="120"/>
        <v>0.26679280983916748</v>
      </c>
    </row>
    <row r="989" spans="19:53" x14ac:dyDescent="0.25">
      <c r="S989" s="28">
        <f t="shared" si="121"/>
        <v>0.97700000000000076</v>
      </c>
      <c r="T989">
        <v>0.90017395550401313</v>
      </c>
      <c r="U989" s="28">
        <f t="shared" si="118"/>
        <v>0.73942673263030401</v>
      </c>
      <c r="AI989" s="28">
        <f t="shared" si="122"/>
        <v>0.97700000000000076</v>
      </c>
      <c r="AJ989">
        <v>0.6887417218543046</v>
      </c>
      <c r="AK989" s="28">
        <f t="shared" si="119"/>
        <v>0.26265864343643963</v>
      </c>
      <c r="AY989" s="28">
        <f t="shared" si="123"/>
        <v>0.97700000000000076</v>
      </c>
      <c r="AZ989">
        <v>0.74132511368144782</v>
      </c>
      <c r="BA989" s="28">
        <f t="shared" si="120"/>
        <v>0.74132511368144782</v>
      </c>
    </row>
    <row r="990" spans="19:53" x14ac:dyDescent="0.25">
      <c r="S990" s="28">
        <f t="shared" si="121"/>
        <v>0.97800000000000076</v>
      </c>
      <c r="T990">
        <v>0.17786187322611163</v>
      </c>
      <c r="U990" s="28">
        <f t="shared" si="118"/>
        <v>0.32221691245187345</v>
      </c>
      <c r="AI990" s="28">
        <f t="shared" si="122"/>
        <v>0.97800000000000076</v>
      </c>
      <c r="AJ990">
        <v>0.51988280892361216</v>
      </c>
      <c r="AK990" s="28">
        <f t="shared" si="119"/>
        <v>0.21335025366258809</v>
      </c>
      <c r="AY990" s="28">
        <f t="shared" si="123"/>
        <v>0.97800000000000076</v>
      </c>
      <c r="AZ990">
        <v>0.34192938016907254</v>
      </c>
      <c r="BA990" s="28">
        <f t="shared" si="120"/>
        <v>0.34192938016907254</v>
      </c>
    </row>
    <row r="991" spans="19:53" x14ac:dyDescent="0.25">
      <c r="S991" s="28">
        <f t="shared" si="121"/>
        <v>0.97900000000000076</v>
      </c>
      <c r="T991">
        <v>0.87554551835688343</v>
      </c>
      <c r="U991" s="28">
        <f t="shared" si="118"/>
        <v>0.71787413065579542</v>
      </c>
      <c r="AI991" s="28">
        <f t="shared" si="122"/>
        <v>0.97900000000000076</v>
      </c>
      <c r="AJ991">
        <v>5.2491836298715171E-3</v>
      </c>
      <c r="AK991" s="28">
        <f t="shared" si="119"/>
        <v>3.4826696619477418E-2</v>
      </c>
      <c r="AY991" s="28">
        <f t="shared" si="123"/>
        <v>0.97900000000000076</v>
      </c>
      <c r="AZ991">
        <v>0.50401318399609363</v>
      </c>
      <c r="BA991" s="28">
        <f t="shared" si="120"/>
        <v>0.50401318399609363</v>
      </c>
    </row>
    <row r="992" spans="19:53" x14ac:dyDescent="0.25">
      <c r="S992" s="28">
        <f t="shared" si="121"/>
        <v>0.98000000000000076</v>
      </c>
      <c r="T992">
        <v>0.8128910184026612</v>
      </c>
      <c r="U992" s="28">
        <f t="shared" si="118"/>
        <v>0.67148196603354815</v>
      </c>
      <c r="AI992" s="28">
        <f t="shared" si="122"/>
        <v>0.98000000000000076</v>
      </c>
      <c r="AJ992">
        <v>0.61986144596697901</v>
      </c>
      <c r="AK992" s="28">
        <f t="shared" si="119"/>
        <v>0.24123230006863738</v>
      </c>
      <c r="AY992" s="28">
        <f t="shared" si="123"/>
        <v>0.98000000000000076</v>
      </c>
      <c r="AZ992">
        <v>0.51600695822016052</v>
      </c>
      <c r="BA992" s="28">
        <f t="shared" si="120"/>
        <v>0.51600695822016052</v>
      </c>
    </row>
    <row r="993" spans="19:53" x14ac:dyDescent="0.25">
      <c r="S993" s="28">
        <f t="shared" si="121"/>
        <v>0.98100000000000076</v>
      </c>
      <c r="T993">
        <v>0.54237495040742212</v>
      </c>
      <c r="U993" s="28">
        <f t="shared" si="118"/>
        <v>0.52118142079842245</v>
      </c>
      <c r="AI993" s="28">
        <f t="shared" si="122"/>
        <v>0.98100000000000076</v>
      </c>
      <c r="AJ993">
        <v>4.1932432020020144E-2</v>
      </c>
      <c r="AK993" s="28">
        <f t="shared" si="119"/>
        <v>7.033256794790621E-2</v>
      </c>
      <c r="AY993" s="28">
        <f t="shared" si="123"/>
        <v>0.98100000000000076</v>
      </c>
      <c r="AZ993">
        <v>0.315042573320719</v>
      </c>
      <c r="BA993" s="28">
        <f t="shared" si="120"/>
        <v>0.315042573320719</v>
      </c>
    </row>
    <row r="994" spans="19:53" x14ac:dyDescent="0.25">
      <c r="S994" s="28">
        <f t="shared" si="121"/>
        <v>0.98200000000000076</v>
      </c>
      <c r="T994">
        <v>0.33225501266518143</v>
      </c>
      <c r="U994" s="28">
        <f t="shared" si="118"/>
        <v>0.4142871489458278</v>
      </c>
      <c r="AI994" s="28">
        <f t="shared" si="122"/>
        <v>0.98200000000000076</v>
      </c>
      <c r="AJ994">
        <v>4.4038209173863946E-2</v>
      </c>
      <c r="AK994" s="28">
        <f t="shared" si="119"/>
        <v>7.1584386982338696E-2</v>
      </c>
      <c r="AY994" s="28">
        <f t="shared" si="123"/>
        <v>0.98200000000000076</v>
      </c>
      <c r="AZ994">
        <v>0.92410046693319503</v>
      </c>
      <c r="BA994" s="28">
        <f t="shared" si="120"/>
        <v>0.92410046693319503</v>
      </c>
    </row>
    <row r="995" spans="19:53" x14ac:dyDescent="0.25">
      <c r="S995" s="28">
        <f t="shared" si="121"/>
        <v>0.98300000000000076</v>
      </c>
      <c r="T995">
        <v>0.71837519455549792</v>
      </c>
      <c r="U995" s="28">
        <f t="shared" si="118"/>
        <v>0.61357348638167919</v>
      </c>
      <c r="AI995" s="28">
        <f t="shared" si="122"/>
        <v>0.98300000000000076</v>
      </c>
      <c r="AJ995">
        <v>0.5348979155858028</v>
      </c>
      <c r="AK995" s="28">
        <f t="shared" si="119"/>
        <v>0.21736883705632448</v>
      </c>
      <c r="AY995" s="28">
        <f t="shared" si="123"/>
        <v>0.98300000000000076</v>
      </c>
      <c r="AZ995">
        <v>4.4709616382335886E-2</v>
      </c>
      <c r="BA995" s="28">
        <f t="shared" si="120"/>
        <v>4.4709616382335886E-2</v>
      </c>
    </row>
    <row r="996" spans="19:53" x14ac:dyDescent="0.25">
      <c r="S996" s="28">
        <f t="shared" si="121"/>
        <v>0.98400000000000076</v>
      </c>
      <c r="T996">
        <v>0.71993163853877373</v>
      </c>
      <c r="U996" s="28">
        <f t="shared" si="118"/>
        <v>0.61445624816703559</v>
      </c>
      <c r="AI996" s="28">
        <f t="shared" si="122"/>
        <v>0.98400000000000076</v>
      </c>
      <c r="AJ996">
        <v>0.16418958098086489</v>
      </c>
      <c r="AK996" s="28">
        <f t="shared" si="119"/>
        <v>0.11923153772144097</v>
      </c>
      <c r="AY996" s="28">
        <f t="shared" si="123"/>
        <v>0.98400000000000076</v>
      </c>
      <c r="AZ996">
        <v>0.44080935087130346</v>
      </c>
      <c r="BA996" s="28">
        <f t="shared" si="120"/>
        <v>0.44080935087130346</v>
      </c>
    </row>
    <row r="997" spans="19:53" x14ac:dyDescent="0.25">
      <c r="S997" s="28">
        <f t="shared" si="121"/>
        <v>0.98500000000000076</v>
      </c>
      <c r="T997">
        <v>0.45396282845545821</v>
      </c>
      <c r="U997" s="28">
        <f t="shared" si="118"/>
        <v>0.47698203246966608</v>
      </c>
      <c r="AI997" s="28">
        <f t="shared" si="122"/>
        <v>0.98500000000000076</v>
      </c>
      <c r="AJ997">
        <v>0.69100009155552844</v>
      </c>
      <c r="AK997" s="28">
        <f t="shared" si="119"/>
        <v>0.26340505976335871</v>
      </c>
      <c r="AY997" s="28">
        <f t="shared" si="123"/>
        <v>0.98500000000000076</v>
      </c>
      <c r="AZ997">
        <v>0.67546617023224587</v>
      </c>
      <c r="BA997" s="28">
        <f t="shared" si="120"/>
        <v>0.67546617023224587</v>
      </c>
    </row>
    <row r="998" spans="19:53" x14ac:dyDescent="0.25">
      <c r="S998" s="28">
        <f t="shared" si="121"/>
        <v>0.98600000000000076</v>
      </c>
      <c r="T998">
        <v>0.881008331553087</v>
      </c>
      <c r="U998" s="28">
        <f t="shared" si="118"/>
        <v>0.72244066869574386</v>
      </c>
      <c r="AI998" s="28">
        <f t="shared" si="122"/>
        <v>0.98600000000000076</v>
      </c>
      <c r="AJ998">
        <v>0.20590838343455306</v>
      </c>
      <c r="AK998" s="28">
        <f t="shared" si="119"/>
        <v>0.13157959091308441</v>
      </c>
      <c r="AY998" s="28">
        <f t="shared" si="123"/>
        <v>0.98600000000000076</v>
      </c>
      <c r="AZ998">
        <v>0.11236915189062166</v>
      </c>
      <c r="BA998" s="28">
        <f t="shared" si="120"/>
        <v>0.11236915189062165</v>
      </c>
    </row>
    <row r="999" spans="19:53" x14ac:dyDescent="0.25">
      <c r="S999" s="28">
        <f t="shared" si="121"/>
        <v>0.98700000000000077</v>
      </c>
      <c r="T999">
        <v>0.67677846613971371</v>
      </c>
      <c r="U999" s="28">
        <f t="shared" si="118"/>
        <v>0.59057571279529242</v>
      </c>
      <c r="AI999" s="28">
        <f t="shared" si="122"/>
        <v>0.98700000000000077</v>
      </c>
      <c r="AJ999">
        <v>0.8571123386333811</v>
      </c>
      <c r="AK999" s="28">
        <f t="shared" si="119"/>
        <v>0.33288443551837688</v>
      </c>
      <c r="AY999" s="28">
        <f t="shared" si="123"/>
        <v>0.98700000000000077</v>
      </c>
      <c r="AZ999">
        <v>0.64989165929136017</v>
      </c>
      <c r="BA999" s="28">
        <f t="shared" si="120"/>
        <v>0.64989165929136017</v>
      </c>
    </row>
    <row r="1000" spans="19:53" x14ac:dyDescent="0.25">
      <c r="S1000" s="28">
        <f t="shared" si="121"/>
        <v>0.98800000000000077</v>
      </c>
      <c r="T1000">
        <v>0.66573076570940271</v>
      </c>
      <c r="U1000" s="28">
        <f t="shared" si="118"/>
        <v>0.58463407712356186</v>
      </c>
      <c r="AI1000" s="28">
        <f t="shared" si="122"/>
        <v>0.98800000000000077</v>
      </c>
      <c r="AJ1000">
        <v>0.36985381633960995</v>
      </c>
      <c r="AK1000" s="28">
        <f t="shared" si="119"/>
        <v>0.17479449673323053</v>
      </c>
      <c r="AY1000" s="28">
        <f t="shared" si="123"/>
        <v>0.98800000000000077</v>
      </c>
      <c r="AZ1000">
        <v>0.1794488357188635</v>
      </c>
      <c r="BA1000" s="28">
        <f t="shared" si="120"/>
        <v>0.1794488357188635</v>
      </c>
    </row>
    <row r="1001" spans="19:53" x14ac:dyDescent="0.25">
      <c r="S1001" s="28">
        <f t="shared" si="121"/>
        <v>0.98900000000000077</v>
      </c>
      <c r="T1001">
        <v>0.24927518539994506</v>
      </c>
      <c r="U1001" s="28">
        <f t="shared" si="118"/>
        <v>0.36767619813441466</v>
      </c>
      <c r="AI1001" s="28">
        <f t="shared" si="122"/>
        <v>0.98900000000000077</v>
      </c>
      <c r="AJ1001">
        <v>0.76995147556993315</v>
      </c>
      <c r="AK1001" s="28">
        <f t="shared" si="119"/>
        <v>0.29200319001717268</v>
      </c>
      <c r="AY1001" s="28">
        <f t="shared" si="123"/>
        <v>0.98900000000000077</v>
      </c>
      <c r="AZ1001">
        <v>0.60347300637836843</v>
      </c>
      <c r="BA1001" s="28">
        <f t="shared" si="120"/>
        <v>0.60347300637836843</v>
      </c>
    </row>
    <row r="1002" spans="19:53" x14ac:dyDescent="0.25">
      <c r="S1002" s="28">
        <f t="shared" si="121"/>
        <v>0.99000000000000077</v>
      </c>
      <c r="T1002">
        <v>0.30961027863399154</v>
      </c>
      <c r="U1002" s="28">
        <f t="shared" si="118"/>
        <v>0.40201531797698148</v>
      </c>
      <c r="AI1002" s="28">
        <f t="shared" si="122"/>
        <v>0.99000000000000077</v>
      </c>
      <c r="AJ1002">
        <v>0.2423474837488937</v>
      </c>
      <c r="AK1002" s="28">
        <f t="shared" si="119"/>
        <v>0.14170293567067835</v>
      </c>
      <c r="AY1002" s="28">
        <f t="shared" si="123"/>
        <v>0.99000000000000077</v>
      </c>
      <c r="AZ1002">
        <v>0.47651600695822016</v>
      </c>
      <c r="BA1002" s="28">
        <f t="shared" si="120"/>
        <v>0.47651600695822016</v>
      </c>
    </row>
    <row r="1003" spans="19:53" x14ac:dyDescent="0.25">
      <c r="S1003" s="28">
        <f t="shared" si="121"/>
        <v>0.99100000000000077</v>
      </c>
      <c r="T1003">
        <v>0.80825220496230965</v>
      </c>
      <c r="U1003" s="28">
        <f t="shared" si="118"/>
        <v>0.66837620484126692</v>
      </c>
      <c r="AI1003" s="28">
        <f t="shared" si="122"/>
        <v>0.99100000000000077</v>
      </c>
      <c r="AJ1003">
        <v>0.84383678701132236</v>
      </c>
      <c r="AK1003" s="28">
        <f t="shared" si="119"/>
        <v>0.32566101498653</v>
      </c>
      <c r="AY1003" s="28">
        <f t="shared" si="123"/>
        <v>0.99100000000000077</v>
      </c>
      <c r="AZ1003">
        <v>0.37275307473982972</v>
      </c>
      <c r="BA1003" s="28">
        <f t="shared" si="120"/>
        <v>0.37275307473982972</v>
      </c>
    </row>
    <row r="1004" spans="19:53" x14ac:dyDescent="0.25">
      <c r="S1004" s="28">
        <f t="shared" si="121"/>
        <v>0.99200000000000077</v>
      </c>
      <c r="T1004">
        <v>0.43519394512771997</v>
      </c>
      <c r="U1004" s="28">
        <f t="shared" si="118"/>
        <v>0.4675436829347478</v>
      </c>
      <c r="AI1004" s="28">
        <f t="shared" si="122"/>
        <v>0.99200000000000077</v>
      </c>
      <c r="AJ1004">
        <v>0.37351603747672962</v>
      </c>
      <c r="AK1004" s="28">
        <f t="shared" si="119"/>
        <v>0.17572187122045499</v>
      </c>
      <c r="AY1004" s="28">
        <f t="shared" si="123"/>
        <v>0.99200000000000077</v>
      </c>
      <c r="AZ1004">
        <v>0.78579058198797569</v>
      </c>
      <c r="BA1004" s="28">
        <f t="shared" si="120"/>
        <v>0.78579058198797569</v>
      </c>
    </row>
    <row r="1005" spans="19:53" x14ac:dyDescent="0.25">
      <c r="S1005" s="28">
        <f t="shared" si="121"/>
        <v>0.99300000000000077</v>
      </c>
      <c r="T1005">
        <v>0.2011169774468215</v>
      </c>
      <c r="U1005" s="28">
        <f t="shared" si="118"/>
        <v>0.33779245755076737</v>
      </c>
      <c r="AI1005" s="28">
        <f t="shared" si="122"/>
        <v>0.99300000000000077</v>
      </c>
      <c r="AJ1005">
        <v>0.11166722617267373</v>
      </c>
      <c r="AK1005" s="28">
        <f t="shared" si="119"/>
        <v>0.1017429417787272</v>
      </c>
      <c r="AY1005" s="28">
        <f t="shared" si="123"/>
        <v>0.99300000000000077</v>
      </c>
      <c r="AZ1005">
        <v>0.79744865260780662</v>
      </c>
      <c r="BA1005" s="28">
        <f t="shared" si="120"/>
        <v>0.79744865260780662</v>
      </c>
    </row>
    <row r="1006" spans="19:53" x14ac:dyDescent="0.25">
      <c r="S1006" s="28">
        <f t="shared" si="121"/>
        <v>0.99400000000000077</v>
      </c>
      <c r="T1006">
        <v>0.41764580217902159</v>
      </c>
      <c r="U1006" s="28">
        <f t="shared" si="118"/>
        <v>0.45866894885540649</v>
      </c>
      <c r="AI1006" s="28">
        <f t="shared" si="122"/>
        <v>0.99400000000000077</v>
      </c>
      <c r="AJ1006">
        <v>0.42680135502182076</v>
      </c>
      <c r="AK1006" s="28">
        <f t="shared" si="119"/>
        <v>0.18922591942725403</v>
      </c>
      <c r="AY1006" s="28">
        <f t="shared" si="123"/>
        <v>0.99400000000000077</v>
      </c>
      <c r="AZ1006">
        <v>0.8418530838953826</v>
      </c>
      <c r="BA1006" s="28">
        <f t="shared" si="120"/>
        <v>0.8418530838953826</v>
      </c>
    </row>
    <row r="1007" spans="19:53" x14ac:dyDescent="0.25">
      <c r="S1007" s="28">
        <f t="shared" si="121"/>
        <v>0.99500000000000077</v>
      </c>
      <c r="T1007">
        <v>0.36124759666737877</v>
      </c>
      <c r="U1007" s="28">
        <f t="shared" si="118"/>
        <v>0.42964085017898668</v>
      </c>
      <c r="AI1007" s="28">
        <f t="shared" si="122"/>
        <v>0.99500000000000077</v>
      </c>
      <c r="AJ1007">
        <v>0.858821375164037</v>
      </c>
      <c r="AK1007" s="28">
        <f t="shared" si="119"/>
        <v>0.33385023563808824</v>
      </c>
      <c r="AY1007" s="28">
        <f t="shared" si="123"/>
        <v>0.99500000000000077</v>
      </c>
      <c r="AZ1007">
        <v>0.47590563676870024</v>
      </c>
      <c r="BA1007" s="28">
        <f t="shared" si="120"/>
        <v>0.47590563676870024</v>
      </c>
    </row>
    <row r="1008" spans="19:53" x14ac:dyDescent="0.25">
      <c r="S1008" s="28">
        <f t="shared" si="121"/>
        <v>0.99600000000000077</v>
      </c>
      <c r="T1008">
        <v>0.84209723197119057</v>
      </c>
      <c r="U1008" s="28">
        <f t="shared" si="118"/>
        <v>0.69194586905583733</v>
      </c>
      <c r="AI1008" s="28">
        <f t="shared" si="122"/>
        <v>0.99600000000000077</v>
      </c>
      <c r="AJ1008">
        <v>3.1708731345561084E-2</v>
      </c>
      <c r="AK1008" s="28">
        <f t="shared" si="119"/>
        <v>6.3680075622005755E-2</v>
      </c>
      <c r="AY1008" s="28">
        <f t="shared" si="123"/>
        <v>0.99600000000000077</v>
      </c>
      <c r="AZ1008">
        <v>0.75572985015411842</v>
      </c>
      <c r="BA1008" s="28">
        <f t="shared" si="120"/>
        <v>0.75572985015411842</v>
      </c>
    </row>
    <row r="1009" spans="19:53" x14ac:dyDescent="0.25">
      <c r="S1009" s="28">
        <f t="shared" si="121"/>
        <v>0.99700000000000077</v>
      </c>
      <c r="T1009">
        <v>0.69081698049867246</v>
      </c>
      <c r="U1009" s="28">
        <f t="shared" si="118"/>
        <v>0.59821894657934704</v>
      </c>
      <c r="AI1009" s="28">
        <f t="shared" si="122"/>
        <v>0.99700000000000077</v>
      </c>
      <c r="AJ1009">
        <v>0.80303353984191417</v>
      </c>
      <c r="AK1009" s="28">
        <f t="shared" si="119"/>
        <v>0.30595168933742445</v>
      </c>
      <c r="AY1009" s="28">
        <f t="shared" si="123"/>
        <v>0.99700000000000077</v>
      </c>
      <c r="AZ1009">
        <v>0.41862239448225347</v>
      </c>
      <c r="BA1009" s="28">
        <f t="shared" si="120"/>
        <v>0.41862239448225347</v>
      </c>
    </row>
    <row r="1010" spans="19:53" x14ac:dyDescent="0.25">
      <c r="S1010" s="28">
        <f t="shared" si="121"/>
        <v>0.99800000000000078</v>
      </c>
      <c r="T1010">
        <v>9.2623676259651483E-2</v>
      </c>
      <c r="U1010" s="28">
        <f t="shared" si="118"/>
        <v>0.25372976546920822</v>
      </c>
      <c r="AI1010" s="28">
        <f t="shared" si="122"/>
        <v>0.99800000000000078</v>
      </c>
      <c r="AJ1010">
        <v>2.8443250831629383E-2</v>
      </c>
      <c r="AK1010" s="28">
        <f t="shared" si="119"/>
        <v>6.1298958425756382E-2</v>
      </c>
      <c r="AY1010" s="28">
        <f t="shared" si="123"/>
        <v>0.99800000000000078</v>
      </c>
      <c r="AZ1010">
        <v>0.27793206579790641</v>
      </c>
      <c r="BA1010" s="28">
        <f t="shared" si="120"/>
        <v>0.27793206579790641</v>
      </c>
    </row>
    <row r="1011" spans="19:53" x14ac:dyDescent="0.25">
      <c r="S1011" s="28">
        <f t="shared" si="121"/>
        <v>0.99900000000000078</v>
      </c>
      <c r="T1011">
        <v>7.7944273201696834E-2</v>
      </c>
      <c r="U1011" s="28">
        <f t="shared" si="118"/>
        <v>0.23878951240136348</v>
      </c>
      <c r="AI1011" s="28">
        <f t="shared" si="122"/>
        <v>0.99900000000000078</v>
      </c>
      <c r="AJ1011">
        <v>5.1576281014435255E-3</v>
      </c>
      <c r="AK1011" s="28">
        <f t="shared" si="119"/>
        <v>3.4629212304841728E-2</v>
      </c>
      <c r="AY1011" s="28">
        <f t="shared" si="123"/>
        <v>0.99900000000000078</v>
      </c>
      <c r="AZ1011">
        <v>0.59114352855006558</v>
      </c>
      <c r="BA1011" s="28">
        <f t="shared" si="120"/>
        <v>0.59114352855006558</v>
      </c>
    </row>
    <row r="1012" spans="19:53" x14ac:dyDescent="0.25">
      <c r="S1012" s="28">
        <f t="shared" si="121"/>
        <v>1.0000000000000007</v>
      </c>
      <c r="T1012">
        <v>0.945585497604297</v>
      </c>
      <c r="U1012" s="28">
        <f t="shared" si="118"/>
        <v>0.78904007178679825</v>
      </c>
      <c r="AI1012" s="28">
        <f t="shared" si="122"/>
        <v>1.0000000000000007</v>
      </c>
      <c r="AJ1012">
        <v>0.80315561387981815</v>
      </c>
      <c r="AK1012" s="28">
        <f t="shared" si="119"/>
        <v>0.30600607604763741</v>
      </c>
      <c r="AY1012" s="28">
        <f t="shared" si="123"/>
        <v>1.0000000000000007</v>
      </c>
      <c r="AZ1012">
        <v>0.1728263191625721</v>
      </c>
      <c r="BA1012" s="28">
        <f t="shared" si="120"/>
        <v>0.17282631916257213</v>
      </c>
    </row>
    <row r="1013" spans="19:53" x14ac:dyDescent="0.25">
      <c r="S1013" s="28">
        <f t="shared" si="121"/>
        <v>1.0010000000000006</v>
      </c>
      <c r="T1013">
        <v>0.18414868617816707</v>
      </c>
      <c r="U1013" s="28">
        <f t="shared" si="118"/>
        <v>0.32651719900874604</v>
      </c>
      <c r="AI1013" s="28">
        <f t="shared" si="122"/>
        <v>1.0010000000000006</v>
      </c>
      <c r="AJ1013">
        <v>0.6640827661976989</v>
      </c>
      <c r="AK1013" s="28">
        <f t="shared" si="119"/>
        <v>0.25470794779444161</v>
      </c>
      <c r="AY1013" s="28">
        <f t="shared" si="123"/>
        <v>1.0010000000000006</v>
      </c>
      <c r="AZ1013">
        <v>0.77925962096011225</v>
      </c>
      <c r="BA1013" s="28">
        <f t="shared" si="120"/>
        <v>0.77925962096011225</v>
      </c>
    </row>
    <row r="1014" spans="19:53" x14ac:dyDescent="0.25">
      <c r="S1014" s="28">
        <f t="shared" si="121"/>
        <v>1.0020000000000004</v>
      </c>
      <c r="T1014">
        <v>0.50801110873744926</v>
      </c>
      <c r="U1014" s="28">
        <f t="shared" si="118"/>
        <v>0.50399888671965964</v>
      </c>
      <c r="AI1014" s="28">
        <f t="shared" si="122"/>
        <v>1.0020000000000004</v>
      </c>
      <c r="AJ1014">
        <v>0.49980162968840602</v>
      </c>
      <c r="AK1014" s="28">
        <f t="shared" si="119"/>
        <v>0.20804398862284523</v>
      </c>
      <c r="AY1014" s="28">
        <f t="shared" si="123"/>
        <v>1.0020000000000004</v>
      </c>
      <c r="AZ1014">
        <v>0.6590472121341594</v>
      </c>
      <c r="BA1014" s="28">
        <f t="shared" si="120"/>
        <v>0.6590472121341594</v>
      </c>
    </row>
    <row r="1015" spans="19:53" x14ac:dyDescent="0.25">
      <c r="S1015" s="28">
        <f t="shared" si="121"/>
        <v>1.0030000000000003</v>
      </c>
      <c r="T1015">
        <v>0.22565385906552324</v>
      </c>
      <c r="U1015" s="28">
        <f t="shared" si="118"/>
        <v>0.35336194275414062</v>
      </c>
      <c r="AI1015" s="28">
        <f t="shared" si="122"/>
        <v>1.0030000000000003</v>
      </c>
      <c r="AJ1015">
        <v>0.68767357402264473</v>
      </c>
      <c r="AK1015" s="28">
        <f t="shared" si="119"/>
        <v>0.26230673434722851</v>
      </c>
      <c r="AY1015" s="28">
        <f t="shared" si="123"/>
        <v>1.0030000000000003</v>
      </c>
      <c r="AZ1015">
        <v>0.16248054445020904</v>
      </c>
      <c r="BA1015" s="28">
        <f t="shared" si="120"/>
        <v>0.16248054445020904</v>
      </c>
    </row>
    <row r="1016" spans="19:53" x14ac:dyDescent="0.25">
      <c r="S1016" s="28">
        <f t="shared" si="121"/>
        <v>1.0040000000000002</v>
      </c>
      <c r="T1016">
        <v>8.0843531601916568E-2</v>
      </c>
      <c r="U1016" s="28">
        <f t="shared" si="118"/>
        <v>0.24185947300715491</v>
      </c>
      <c r="AI1016" s="28">
        <f t="shared" si="122"/>
        <v>1.0040000000000002</v>
      </c>
      <c r="AJ1016">
        <v>0.68684957426679283</v>
      </c>
      <c r="AK1016" s="28">
        <f t="shared" si="119"/>
        <v>0.26203575082578212</v>
      </c>
      <c r="AY1016" s="28">
        <f t="shared" si="123"/>
        <v>1.0040000000000002</v>
      </c>
      <c r="AZ1016">
        <v>4.3946653645435957E-3</v>
      </c>
      <c r="BA1016" s="28">
        <f t="shared" si="120"/>
        <v>4.3946653645435957E-3</v>
      </c>
    </row>
    <row r="1017" spans="19:53" x14ac:dyDescent="0.25">
      <c r="S1017" s="28">
        <f t="shared" si="121"/>
        <v>1.0050000000000001</v>
      </c>
      <c r="T1017">
        <v>0.76372569963682979</v>
      </c>
      <c r="U1017" s="28">
        <f t="shared" si="118"/>
        <v>0.64012856287827014</v>
      </c>
      <c r="AI1017" s="28">
        <f t="shared" si="122"/>
        <v>1.0050000000000001</v>
      </c>
      <c r="AJ1017">
        <v>0.55717642750328078</v>
      </c>
      <c r="AK1017" s="28">
        <f t="shared" si="119"/>
        <v>0.22342495416379071</v>
      </c>
      <c r="AY1017" s="28">
        <f t="shared" si="123"/>
        <v>1.0050000000000001</v>
      </c>
      <c r="AZ1017">
        <v>0.57951597643971064</v>
      </c>
      <c r="BA1017" s="28">
        <f t="shared" si="120"/>
        <v>0.57951597643971064</v>
      </c>
    </row>
    <row r="1018" spans="19:53" x14ac:dyDescent="0.25">
      <c r="S1018" s="28">
        <f t="shared" si="121"/>
        <v>1.006</v>
      </c>
      <c r="T1018">
        <v>0.65102084414197214</v>
      </c>
      <c r="U1018" s="28">
        <f t="shared" si="118"/>
        <v>0.57681243645776825</v>
      </c>
      <c r="AI1018" s="28">
        <f t="shared" si="122"/>
        <v>1.006</v>
      </c>
      <c r="AJ1018">
        <v>0.17401654103213599</v>
      </c>
      <c r="AK1018" s="28">
        <f t="shared" si="119"/>
        <v>0.12223323251669961</v>
      </c>
      <c r="AY1018" s="28">
        <f t="shared" si="123"/>
        <v>1.006</v>
      </c>
      <c r="AZ1018">
        <v>0.57841731009857478</v>
      </c>
      <c r="BA1018" s="28">
        <f t="shared" si="120"/>
        <v>0.57841731009857478</v>
      </c>
    </row>
    <row r="1019" spans="19:53" x14ac:dyDescent="0.25">
      <c r="S1019" s="28">
        <f t="shared" si="121"/>
        <v>1.0069999999999999</v>
      </c>
      <c r="T1019">
        <v>0.63795892208624527</v>
      </c>
      <c r="U1019" s="28">
        <f t="shared" si="118"/>
        <v>0.56994379484172697</v>
      </c>
      <c r="AI1019" s="28">
        <f t="shared" si="122"/>
        <v>1.0069999999999999</v>
      </c>
      <c r="AJ1019">
        <v>0.64543595690786459</v>
      </c>
      <c r="AK1019" s="28">
        <f t="shared" si="119"/>
        <v>0.24891470911609781</v>
      </c>
      <c r="AY1019" s="28">
        <f t="shared" si="123"/>
        <v>1.0069999999999999</v>
      </c>
      <c r="AZ1019">
        <v>0.82857753227332376</v>
      </c>
      <c r="BA1019" s="28">
        <f t="shared" si="120"/>
        <v>0.82857753227332376</v>
      </c>
    </row>
    <row r="1020" spans="19:53" x14ac:dyDescent="0.25">
      <c r="S1020" s="28">
        <f t="shared" si="121"/>
        <v>1.0079999999999998</v>
      </c>
      <c r="T1020">
        <v>0.86101870784630874</v>
      </c>
      <c r="U1020" s="28">
        <f t="shared" si="118"/>
        <v>0.70622097855310439</v>
      </c>
      <c r="AI1020" s="28">
        <f t="shared" si="122"/>
        <v>1.0079999999999998</v>
      </c>
      <c r="AJ1020">
        <v>0.74910733359782711</v>
      </c>
      <c r="AK1020" s="28">
        <f t="shared" si="119"/>
        <v>0.28390382289792226</v>
      </c>
      <c r="AY1020" s="28">
        <f t="shared" si="123"/>
        <v>1.0079999999999998</v>
      </c>
      <c r="AZ1020">
        <v>0.5790887173070467</v>
      </c>
      <c r="BA1020" s="28">
        <f t="shared" si="120"/>
        <v>0.5790887173070467</v>
      </c>
    </row>
    <row r="1021" spans="19:53" x14ac:dyDescent="0.25">
      <c r="S1021" s="28">
        <f t="shared" si="121"/>
        <v>1.0089999999999997</v>
      </c>
      <c r="T1021">
        <v>0.74898525955992312</v>
      </c>
      <c r="U1021" s="28">
        <f t="shared" si="118"/>
        <v>0.63129221849899131</v>
      </c>
      <c r="AI1021" s="28">
        <f t="shared" si="122"/>
        <v>1.0089999999999997</v>
      </c>
      <c r="AJ1021">
        <v>0.93264564958647422</v>
      </c>
      <c r="AK1021" s="28">
        <f t="shared" si="119"/>
        <v>0.38840950994145451</v>
      </c>
      <c r="AY1021" s="28">
        <f t="shared" si="123"/>
        <v>1.0089999999999997</v>
      </c>
      <c r="AZ1021">
        <v>0.59956663716544079</v>
      </c>
      <c r="BA1021" s="28">
        <f t="shared" si="120"/>
        <v>0.59956663716544079</v>
      </c>
    </row>
    <row r="1022" spans="19:53" x14ac:dyDescent="0.25">
      <c r="S1022" s="28">
        <f t="shared" si="121"/>
        <v>1.0099999999999996</v>
      </c>
      <c r="T1022">
        <v>0.58708456678975796</v>
      </c>
      <c r="U1022" s="28">
        <f t="shared" si="118"/>
        <v>0.54373357374037878</v>
      </c>
      <c r="AI1022" s="28">
        <f t="shared" si="122"/>
        <v>1.0099999999999996</v>
      </c>
      <c r="AJ1022">
        <v>0.2534257026886807</v>
      </c>
      <c r="AK1022" s="28">
        <f t="shared" si="119"/>
        <v>0.14469340757896348</v>
      </c>
      <c r="AY1022" s="28">
        <f t="shared" si="123"/>
        <v>1.0099999999999996</v>
      </c>
      <c r="AZ1022">
        <v>0.89730521561326948</v>
      </c>
      <c r="BA1022" s="28">
        <f t="shared" si="120"/>
        <v>0.89730521561326948</v>
      </c>
    </row>
    <row r="1023" spans="19:53" x14ac:dyDescent="0.25">
      <c r="S1023" s="28">
        <f t="shared" si="121"/>
        <v>1.0109999999999995</v>
      </c>
      <c r="T1023">
        <v>0.54683065279091769</v>
      </c>
      <c r="U1023" s="28">
        <f t="shared" si="118"/>
        <v>0.5234160782401498</v>
      </c>
      <c r="AI1023" s="28">
        <f t="shared" si="122"/>
        <v>1.0109999999999995</v>
      </c>
      <c r="AJ1023">
        <v>0.11188085573900571</v>
      </c>
      <c r="AK1023" s="28">
        <f t="shared" si="119"/>
        <v>0.10182059139131643</v>
      </c>
      <c r="AY1023" s="28">
        <f t="shared" si="123"/>
        <v>1.0109999999999995</v>
      </c>
      <c r="AZ1023">
        <v>0.90087588122196116</v>
      </c>
      <c r="BA1023" s="28">
        <f t="shared" si="120"/>
        <v>0.90087588122196116</v>
      </c>
    </row>
    <row r="1024" spans="19:53" x14ac:dyDescent="0.25">
      <c r="S1024" s="28">
        <f t="shared" si="121"/>
        <v>1.0119999999999993</v>
      </c>
      <c r="T1024">
        <v>0.80547502059999387</v>
      </c>
      <c r="U1024" s="28">
        <f t="shared" si="118"/>
        <v>0.66653352850460945</v>
      </c>
      <c r="AI1024" s="28">
        <f t="shared" si="122"/>
        <v>1.0119999999999993</v>
      </c>
      <c r="AJ1024">
        <v>0.26877651295510729</v>
      </c>
      <c r="AK1024" s="28">
        <f t="shared" si="119"/>
        <v>0.14878431537012829</v>
      </c>
      <c r="AY1024" s="28">
        <f t="shared" si="123"/>
        <v>1.0119999999999993</v>
      </c>
      <c r="AZ1024">
        <v>0.77745902890102847</v>
      </c>
      <c r="BA1024" s="28">
        <f t="shared" si="120"/>
        <v>0.77745902890102847</v>
      </c>
    </row>
    <row r="1025" spans="19:53" x14ac:dyDescent="0.25">
      <c r="S1025" s="28">
        <f t="shared" si="121"/>
        <v>1.0129999999999992</v>
      </c>
      <c r="T1025">
        <v>0.4357737968077639</v>
      </c>
      <c r="U1025" s="28">
        <f t="shared" si="118"/>
        <v>0.46783602368835436</v>
      </c>
      <c r="AI1025" s="28">
        <f t="shared" si="122"/>
        <v>1.0129999999999992</v>
      </c>
      <c r="AJ1025">
        <v>0.51680043946653642</v>
      </c>
      <c r="AK1025" s="28">
        <f t="shared" si="119"/>
        <v>0.21253095082566109</v>
      </c>
      <c r="AY1025" s="28">
        <f t="shared" si="123"/>
        <v>1.0129999999999992</v>
      </c>
      <c r="AZ1025">
        <v>0.25287636951811271</v>
      </c>
      <c r="BA1025" s="28">
        <f t="shared" si="120"/>
        <v>0.25287636951811271</v>
      </c>
    </row>
    <row r="1026" spans="19:53" x14ac:dyDescent="0.25">
      <c r="S1026" s="28">
        <f t="shared" si="121"/>
        <v>1.0139999999999991</v>
      </c>
      <c r="T1026">
        <v>0.36661885433515429</v>
      </c>
      <c r="U1026" s="28">
        <f t="shared" si="118"/>
        <v>0.43244793959153133</v>
      </c>
      <c r="AI1026" s="28">
        <f t="shared" si="122"/>
        <v>1.0139999999999991</v>
      </c>
      <c r="AJ1026">
        <v>0.37015900143436997</v>
      </c>
      <c r="AK1026" s="28">
        <f t="shared" si="119"/>
        <v>0.1748717886642096</v>
      </c>
      <c r="AY1026" s="28">
        <f t="shared" si="123"/>
        <v>1.0139999999999991</v>
      </c>
      <c r="AZ1026">
        <v>0.70970793786431474</v>
      </c>
      <c r="BA1026" s="28">
        <f t="shared" si="120"/>
        <v>0.70970793786431474</v>
      </c>
    </row>
    <row r="1027" spans="19:53" x14ac:dyDescent="0.25">
      <c r="S1027" s="28">
        <f t="shared" si="121"/>
        <v>1.014999999999999</v>
      </c>
      <c r="T1027">
        <v>0.48707541123691517</v>
      </c>
      <c r="U1027" s="28">
        <f t="shared" si="118"/>
        <v>0.49354793507845762</v>
      </c>
      <c r="AI1027" s="28">
        <f t="shared" si="122"/>
        <v>1.014999999999999</v>
      </c>
      <c r="AJ1027">
        <v>0.25760673848689231</v>
      </c>
      <c r="AK1027" s="28">
        <f t="shared" si="119"/>
        <v>0.1458133691252691</v>
      </c>
      <c r="AY1027" s="28">
        <f t="shared" si="123"/>
        <v>1.014999999999999</v>
      </c>
      <c r="AZ1027">
        <v>0.59373760185552538</v>
      </c>
      <c r="BA1027" s="28">
        <f t="shared" si="120"/>
        <v>0.59373760185552538</v>
      </c>
    </row>
    <row r="1028" spans="19:53" x14ac:dyDescent="0.25">
      <c r="S1028" s="28">
        <f t="shared" si="121"/>
        <v>1.0159999999999989</v>
      </c>
      <c r="T1028">
        <v>0.75160985137485881</v>
      </c>
      <c r="U1028" s="28">
        <f t="shared" si="118"/>
        <v>0.63284975538481669</v>
      </c>
      <c r="AI1028" s="28">
        <f t="shared" si="122"/>
        <v>1.0159999999999989</v>
      </c>
      <c r="AJ1028">
        <v>3.3478804895168919E-2</v>
      </c>
      <c r="AK1028" s="28">
        <f t="shared" si="119"/>
        <v>6.4911577513883018E-2</v>
      </c>
      <c r="AY1028" s="28">
        <f t="shared" si="123"/>
        <v>1.0159999999999989</v>
      </c>
      <c r="AZ1028">
        <v>0.96670430616168701</v>
      </c>
      <c r="BA1028" s="28">
        <f t="shared" si="120"/>
        <v>0.96670430616168701</v>
      </c>
    </row>
    <row r="1029" spans="19:53" x14ac:dyDescent="0.25">
      <c r="S1029" s="28">
        <f t="shared" si="121"/>
        <v>1.0169999999999988</v>
      </c>
      <c r="T1029">
        <v>0.48612933744315928</v>
      </c>
      <c r="U1029" s="28">
        <f t="shared" si="118"/>
        <v>0.49307550737902145</v>
      </c>
      <c r="AI1029" s="28">
        <f t="shared" si="122"/>
        <v>1.0169999999999988</v>
      </c>
      <c r="AJ1029">
        <v>0.54890591143528555</v>
      </c>
      <c r="AK1029" s="28">
        <f t="shared" si="119"/>
        <v>0.22116270088355561</v>
      </c>
      <c r="AY1029" s="28">
        <f t="shared" si="123"/>
        <v>1.0169999999999988</v>
      </c>
      <c r="AZ1029">
        <v>0.90716269417401652</v>
      </c>
      <c r="BA1029" s="28">
        <f t="shared" si="120"/>
        <v>0.90716269417401652</v>
      </c>
    </row>
    <row r="1030" spans="19:53" x14ac:dyDescent="0.25">
      <c r="S1030" s="28">
        <f t="shared" si="121"/>
        <v>1.0179999999999987</v>
      </c>
      <c r="T1030">
        <v>0.98074282052064576</v>
      </c>
      <c r="U1030" s="28">
        <f t="shared" si="118"/>
        <v>0.85052416953495713</v>
      </c>
      <c r="AI1030" s="28">
        <f t="shared" si="122"/>
        <v>1.0179999999999987</v>
      </c>
      <c r="AJ1030">
        <v>0.50028992584002197</v>
      </c>
      <c r="AK1030" s="28">
        <f t="shared" si="119"/>
        <v>0.20817217825669088</v>
      </c>
      <c r="AY1030" s="28">
        <f t="shared" si="123"/>
        <v>1.0179999999999987</v>
      </c>
      <c r="AZ1030">
        <v>4.8829615161595508E-3</v>
      </c>
      <c r="BA1030" s="28">
        <f t="shared" si="120"/>
        <v>4.8829615161595525E-3</v>
      </c>
    </row>
    <row r="1031" spans="19:53" x14ac:dyDescent="0.25">
      <c r="S1031" s="28">
        <f t="shared" si="121"/>
        <v>1.0189999999999986</v>
      </c>
      <c r="T1031">
        <v>5.4261909848323006E-2</v>
      </c>
      <c r="U1031" s="28">
        <f t="shared" si="118"/>
        <v>0.21075820717669877</v>
      </c>
      <c r="AI1031" s="28">
        <f t="shared" si="122"/>
        <v>1.0189999999999986</v>
      </c>
      <c r="AJ1031">
        <v>0.57277138584551535</v>
      </c>
      <c r="AK1031" s="28">
        <f t="shared" si="119"/>
        <v>0.22774004261710312</v>
      </c>
      <c r="AY1031" s="28">
        <f t="shared" si="123"/>
        <v>1.0189999999999986</v>
      </c>
      <c r="AZ1031">
        <v>0.16272469252601704</v>
      </c>
      <c r="BA1031" s="28">
        <f t="shared" si="120"/>
        <v>0.16272469252601704</v>
      </c>
    </row>
    <row r="1032" spans="19:53" x14ac:dyDescent="0.25">
      <c r="S1032" s="28">
        <f t="shared" si="121"/>
        <v>1.0199999999999985</v>
      </c>
      <c r="T1032">
        <v>0.70616779076509906</v>
      </c>
      <c r="U1032" s="28">
        <f t="shared" si="118"/>
        <v>0.60670994392907751</v>
      </c>
      <c r="AI1032" s="28">
        <f t="shared" si="122"/>
        <v>1.0199999999999985</v>
      </c>
      <c r="AJ1032">
        <v>0.8171941282387768</v>
      </c>
      <c r="AK1032" s="28">
        <f t="shared" si="119"/>
        <v>0.31242669815112334</v>
      </c>
      <c r="AY1032" s="28">
        <f t="shared" si="123"/>
        <v>1.0199999999999985</v>
      </c>
      <c r="AZ1032">
        <v>0.21063875240333263</v>
      </c>
      <c r="BA1032" s="28">
        <f t="shared" si="120"/>
        <v>0.21063875240333263</v>
      </c>
    </row>
    <row r="1033" spans="19:53" x14ac:dyDescent="0.25">
      <c r="S1033" s="28">
        <f t="shared" si="121"/>
        <v>1.0209999999999984</v>
      </c>
      <c r="T1033">
        <v>0.99960325937681205</v>
      </c>
      <c r="U1033" s="28">
        <f t="shared" si="118"/>
        <v>0.95523180851121015</v>
      </c>
      <c r="AI1033" s="28">
        <f t="shared" si="122"/>
        <v>1.0209999999999984</v>
      </c>
      <c r="AJ1033">
        <v>0.47315897091586046</v>
      </c>
      <c r="AK1033" s="28">
        <f t="shared" si="119"/>
        <v>0.20110441078459212</v>
      </c>
      <c r="AY1033" s="28">
        <f t="shared" si="123"/>
        <v>1.0209999999999984</v>
      </c>
      <c r="AZ1033">
        <v>0.37907040620136112</v>
      </c>
      <c r="BA1033" s="28">
        <f t="shared" si="120"/>
        <v>0.37907040620136112</v>
      </c>
    </row>
    <row r="1034" spans="19:53" x14ac:dyDescent="0.25">
      <c r="S1034" s="28">
        <f t="shared" si="121"/>
        <v>1.0219999999999982</v>
      </c>
      <c r="T1034">
        <v>0.27191991943113497</v>
      </c>
      <c r="U1034" s="28">
        <f t="shared" si="118"/>
        <v>0.38089223238631842</v>
      </c>
      <c r="AI1034" s="28">
        <f t="shared" si="122"/>
        <v>1.0219999999999982</v>
      </c>
      <c r="AJ1034">
        <v>0.5127719962157048</v>
      </c>
      <c r="AK1034" s="28">
        <f t="shared" si="119"/>
        <v>0.21146290904211706</v>
      </c>
      <c r="AY1034" s="28">
        <f t="shared" si="123"/>
        <v>1.0219999999999982</v>
      </c>
      <c r="AZ1034">
        <v>0.8078554643391217</v>
      </c>
      <c r="BA1034" s="28">
        <f t="shared" si="120"/>
        <v>0.8078554643391217</v>
      </c>
    </row>
    <row r="1035" spans="19:53" x14ac:dyDescent="0.25">
      <c r="S1035" s="28">
        <f t="shared" si="121"/>
        <v>1.0229999999999981</v>
      </c>
      <c r="T1035">
        <v>0.79750968962675861</v>
      </c>
      <c r="U1035" s="28">
        <f t="shared" si="118"/>
        <v>0.66131448176398155</v>
      </c>
      <c r="AI1035" s="28">
        <f t="shared" si="122"/>
        <v>1.0229999999999981</v>
      </c>
      <c r="AJ1035">
        <v>0.34540849024933623</v>
      </c>
      <c r="AK1035" s="28">
        <f t="shared" si="119"/>
        <v>0.16859264699965348</v>
      </c>
      <c r="AY1035" s="28">
        <f t="shared" si="123"/>
        <v>1.0229999999999981</v>
      </c>
      <c r="AZ1035">
        <v>0.60737937559129607</v>
      </c>
      <c r="BA1035" s="28">
        <f t="shared" si="120"/>
        <v>0.60737937559129607</v>
      </c>
    </row>
    <row r="1036" spans="19:53" x14ac:dyDescent="0.25">
      <c r="S1036" s="28">
        <f t="shared" si="121"/>
        <v>1.023999999999998</v>
      </c>
      <c r="T1036">
        <v>0.29200109866634116</v>
      </c>
      <c r="U1036" s="28">
        <f t="shared" si="118"/>
        <v>0.39226710223653488</v>
      </c>
      <c r="AI1036" s="28">
        <f t="shared" si="122"/>
        <v>1.023999999999998</v>
      </c>
      <c r="AJ1036">
        <v>0.57075716422009948</v>
      </c>
      <c r="AK1036" s="28">
        <f t="shared" si="119"/>
        <v>0.22717889375407463</v>
      </c>
      <c r="AY1036" s="28">
        <f t="shared" si="123"/>
        <v>1.023999999999998</v>
      </c>
      <c r="AZ1036">
        <v>0.78661458174382759</v>
      </c>
      <c r="BA1036" s="28">
        <f t="shared" si="120"/>
        <v>0.78661458174382759</v>
      </c>
    </row>
    <row r="1037" spans="19:53" x14ac:dyDescent="0.25">
      <c r="S1037" s="28">
        <f t="shared" si="121"/>
        <v>1.0249999999999979</v>
      </c>
      <c r="T1037">
        <v>0.79744865260780662</v>
      </c>
      <c r="U1037" s="28">
        <f t="shared" ref="U1037:U1061" si="124">_xlfn.BETA.INV(T1037,$V$5,$V$6,0,1)</f>
        <v>0.6612748540424116</v>
      </c>
      <c r="AI1037" s="28">
        <f t="shared" si="122"/>
        <v>1.0249999999999979</v>
      </c>
      <c r="AJ1037">
        <v>0.49211096530045473</v>
      </c>
      <c r="AK1037" s="28">
        <f t="shared" ref="AK1037:AK1061" si="125">_xlfn.BETA.INV(AJ1037,$AL$5,$AL$6,0,1)</f>
        <v>0.20603006468225074</v>
      </c>
      <c r="AY1037" s="28">
        <f t="shared" si="123"/>
        <v>1.0249999999999979</v>
      </c>
      <c r="AZ1037">
        <v>0.50910977507858513</v>
      </c>
      <c r="BA1037" s="28">
        <f t="shared" ref="BA1037:BA1061" si="126">_xlfn.BETA.INV(AZ1037,$BB$5,$BB$6,0,1)</f>
        <v>0.50910977507858513</v>
      </c>
    </row>
    <row r="1038" spans="19:53" x14ac:dyDescent="0.25">
      <c r="S1038" s="28">
        <f t="shared" si="121"/>
        <v>1.0259999999999978</v>
      </c>
      <c r="T1038">
        <v>0.20630512405774101</v>
      </c>
      <c r="U1038" s="28">
        <f t="shared" si="124"/>
        <v>0.34115197333516101</v>
      </c>
      <c r="AI1038" s="28">
        <f t="shared" si="122"/>
        <v>1.0259999999999978</v>
      </c>
      <c r="AJ1038">
        <v>0.13455610827967163</v>
      </c>
      <c r="AK1038" s="28">
        <f t="shared" si="125"/>
        <v>0.10971810228259604</v>
      </c>
      <c r="AY1038" s="28">
        <f t="shared" si="123"/>
        <v>1.0259999999999978</v>
      </c>
      <c r="AZ1038">
        <v>8.0050050355540636E-2</v>
      </c>
      <c r="BA1038" s="28">
        <f t="shared" si="126"/>
        <v>8.0050050355540636E-2</v>
      </c>
    </row>
    <row r="1039" spans="19:53" x14ac:dyDescent="0.25">
      <c r="S1039" s="28">
        <f t="shared" ref="S1039:S1061" si="127">S1038+0.001</f>
        <v>1.0269999999999977</v>
      </c>
      <c r="T1039">
        <v>2.7985473189489424E-2</v>
      </c>
      <c r="U1039" s="28">
        <f t="shared" si="124"/>
        <v>0.16888599711432864</v>
      </c>
      <c r="AI1039" s="28">
        <f t="shared" ref="AI1039:AI1061" si="128">AI1038+0.001</f>
        <v>1.0269999999999977</v>
      </c>
      <c r="AJ1039">
        <v>0.89147618030335396</v>
      </c>
      <c r="AK1039" s="28">
        <f t="shared" si="125"/>
        <v>0.35427493711006375</v>
      </c>
      <c r="AY1039" s="28">
        <f t="shared" ref="AY1039:AY1061" si="129">AY1038+0.001</f>
        <v>1.0269999999999977</v>
      </c>
      <c r="AZ1039">
        <v>9.4668416394543292E-2</v>
      </c>
      <c r="BA1039" s="28">
        <f t="shared" si="126"/>
        <v>9.4668416394543306E-2</v>
      </c>
    </row>
    <row r="1040" spans="19:53" x14ac:dyDescent="0.25">
      <c r="S1040" s="28">
        <f t="shared" si="127"/>
        <v>1.0279999999999976</v>
      </c>
      <c r="T1040">
        <v>0.44700460829493088</v>
      </c>
      <c r="U1040" s="28">
        <f t="shared" si="124"/>
        <v>0.47348838646582464</v>
      </c>
      <c r="AI1040" s="28">
        <f t="shared" si="128"/>
        <v>1.0279999999999976</v>
      </c>
      <c r="AJ1040">
        <v>0.35666982024597921</v>
      </c>
      <c r="AK1040" s="28">
        <f t="shared" si="125"/>
        <v>0.1714528500238382</v>
      </c>
      <c r="AY1040" s="28">
        <f t="shared" si="129"/>
        <v>1.0279999999999976</v>
      </c>
      <c r="AZ1040">
        <v>0.5399334696493423</v>
      </c>
      <c r="BA1040" s="28">
        <f t="shared" si="126"/>
        <v>0.5399334696493423</v>
      </c>
    </row>
    <row r="1041" spans="19:53" x14ac:dyDescent="0.25">
      <c r="S1041" s="28">
        <f t="shared" si="127"/>
        <v>1.0289999999999975</v>
      </c>
      <c r="T1041">
        <v>0.95141453291421252</v>
      </c>
      <c r="U1041" s="28">
        <f t="shared" si="124"/>
        <v>0.79700168281325112</v>
      </c>
      <c r="AI1041" s="28">
        <f t="shared" si="128"/>
        <v>1.0289999999999975</v>
      </c>
      <c r="AJ1041">
        <v>0.88753929258095032</v>
      </c>
      <c r="AK1041" s="28">
        <f t="shared" si="125"/>
        <v>0.35158148812926659</v>
      </c>
      <c r="AY1041" s="28">
        <f t="shared" si="129"/>
        <v>1.0289999999999975</v>
      </c>
      <c r="AZ1041">
        <v>0.2227546006653035</v>
      </c>
      <c r="BA1041" s="28">
        <f t="shared" si="126"/>
        <v>0.22275460066530348</v>
      </c>
    </row>
    <row r="1042" spans="19:53" x14ac:dyDescent="0.25">
      <c r="S1042" s="28">
        <f t="shared" si="127"/>
        <v>1.0299999999999974</v>
      </c>
      <c r="T1042">
        <v>0.41315958128605001</v>
      </c>
      <c r="U1042" s="28">
        <f t="shared" si="124"/>
        <v>0.45639054433351267</v>
      </c>
      <c r="AI1042" s="28">
        <f t="shared" si="128"/>
        <v>1.0299999999999974</v>
      </c>
      <c r="AJ1042">
        <v>0.61262855922116766</v>
      </c>
      <c r="AK1042" s="28">
        <f t="shared" si="125"/>
        <v>0.23910886273995458</v>
      </c>
      <c r="AY1042" s="28">
        <f t="shared" si="129"/>
        <v>1.0299999999999974</v>
      </c>
      <c r="AZ1042">
        <v>0.16086306344798121</v>
      </c>
      <c r="BA1042" s="28">
        <f t="shared" si="126"/>
        <v>0.16086306344798121</v>
      </c>
    </row>
    <row r="1043" spans="19:53" x14ac:dyDescent="0.25">
      <c r="S1043" s="28">
        <f t="shared" si="127"/>
        <v>1.0309999999999973</v>
      </c>
      <c r="T1043">
        <v>0.82515945921201206</v>
      </c>
      <c r="U1043" s="28">
        <f t="shared" si="124"/>
        <v>0.67987550247772521</v>
      </c>
      <c r="AI1043" s="28">
        <f t="shared" si="128"/>
        <v>1.0309999999999973</v>
      </c>
      <c r="AJ1043">
        <v>0.69304483169042019</v>
      </c>
      <c r="AK1043" s="28">
        <f t="shared" si="125"/>
        <v>0.26408369158737999</v>
      </c>
      <c r="AY1043" s="28">
        <f t="shared" si="129"/>
        <v>1.0309999999999973</v>
      </c>
      <c r="AZ1043">
        <v>0.75939207129123809</v>
      </c>
      <c r="BA1043" s="28">
        <f t="shared" si="126"/>
        <v>0.75939207129123809</v>
      </c>
    </row>
    <row r="1044" spans="19:53" x14ac:dyDescent="0.25">
      <c r="S1044" s="28">
        <f t="shared" si="127"/>
        <v>1.0319999999999971</v>
      </c>
      <c r="T1044">
        <v>0.53105258339182715</v>
      </c>
      <c r="U1044" s="28">
        <f t="shared" si="124"/>
        <v>0.51551155732210785</v>
      </c>
      <c r="AI1044" s="28">
        <f t="shared" si="128"/>
        <v>1.0319999999999971</v>
      </c>
      <c r="AJ1044">
        <v>0.55916013061922054</v>
      </c>
      <c r="AK1044" s="28">
        <f t="shared" si="125"/>
        <v>0.22397017199720426</v>
      </c>
      <c r="AY1044" s="28">
        <f t="shared" si="129"/>
        <v>1.0319999999999971</v>
      </c>
      <c r="AZ1044">
        <v>0.1076998199407941</v>
      </c>
      <c r="BA1044" s="28">
        <f t="shared" si="126"/>
        <v>0.10769981994079411</v>
      </c>
    </row>
    <row r="1045" spans="19:53" x14ac:dyDescent="0.25">
      <c r="S1045" s="28">
        <f t="shared" si="127"/>
        <v>1.032999999999997</v>
      </c>
      <c r="T1045">
        <v>8.7191381572923984E-2</v>
      </c>
      <c r="U1045" s="28">
        <f t="shared" si="124"/>
        <v>0.24836885544331014</v>
      </c>
      <c r="AI1045" s="28">
        <f t="shared" si="128"/>
        <v>1.032999999999997</v>
      </c>
      <c r="AJ1045">
        <v>0.51512192144535662</v>
      </c>
      <c r="AK1045" s="28">
        <f t="shared" si="125"/>
        <v>0.21208556246371979</v>
      </c>
      <c r="AY1045" s="28">
        <f t="shared" si="129"/>
        <v>1.032999999999997</v>
      </c>
      <c r="AZ1045">
        <v>0.98416089358195746</v>
      </c>
      <c r="BA1045" s="28">
        <f t="shared" si="126"/>
        <v>0.98416089358195746</v>
      </c>
    </row>
    <row r="1046" spans="19:53" x14ac:dyDescent="0.25">
      <c r="S1046" s="28">
        <f t="shared" si="127"/>
        <v>1.0339999999999969</v>
      </c>
      <c r="T1046">
        <v>0.39844965971861934</v>
      </c>
      <c r="U1046" s="28">
        <f t="shared" si="124"/>
        <v>0.44888782278347145</v>
      </c>
      <c r="AI1046" s="28">
        <f t="shared" si="128"/>
        <v>1.0339999999999969</v>
      </c>
      <c r="AJ1046">
        <v>0.85485396893215737</v>
      </c>
      <c r="AK1046" s="28">
        <f t="shared" si="125"/>
        <v>0.33162135712963259</v>
      </c>
      <c r="AY1046" s="28">
        <f t="shared" si="129"/>
        <v>1.0339999999999969</v>
      </c>
      <c r="AZ1046">
        <v>3.1281472212897121E-2</v>
      </c>
      <c r="BA1046" s="28">
        <f t="shared" si="126"/>
        <v>3.1281472212897114E-2</v>
      </c>
    </row>
    <row r="1047" spans="19:53" x14ac:dyDescent="0.25">
      <c r="S1047" s="28">
        <f t="shared" si="127"/>
        <v>1.0349999999999968</v>
      </c>
      <c r="T1047">
        <v>2.0996734519486068E-2</v>
      </c>
      <c r="U1047" s="28">
        <f t="shared" si="124"/>
        <v>0.15373390041073151</v>
      </c>
      <c r="AI1047" s="28">
        <f t="shared" si="128"/>
        <v>1.0349999999999968</v>
      </c>
      <c r="AJ1047">
        <v>0.10119937742240669</v>
      </c>
      <c r="AK1047" s="28">
        <f t="shared" si="125"/>
        <v>9.7849908238283087E-2</v>
      </c>
      <c r="AY1047" s="28">
        <f t="shared" si="129"/>
        <v>1.0349999999999968</v>
      </c>
      <c r="AZ1047">
        <v>3.7720877712332533E-2</v>
      </c>
      <c r="BA1047" s="28">
        <f t="shared" si="126"/>
        <v>3.7720877712332533E-2</v>
      </c>
    </row>
    <row r="1048" spans="19:53" x14ac:dyDescent="0.25">
      <c r="S1048" s="28">
        <f t="shared" si="127"/>
        <v>1.0359999999999967</v>
      </c>
      <c r="T1048">
        <v>0.49766533402508623</v>
      </c>
      <c r="U1048" s="28">
        <f t="shared" si="124"/>
        <v>0.49883466455656755</v>
      </c>
      <c r="AI1048" s="28">
        <f t="shared" si="128"/>
        <v>1.0359999999999967</v>
      </c>
      <c r="AJ1048">
        <v>0.40079958494827111</v>
      </c>
      <c r="AK1048" s="28">
        <f t="shared" si="125"/>
        <v>0.18262845822236912</v>
      </c>
      <c r="AY1048" s="28">
        <f t="shared" si="129"/>
        <v>1.0359999999999967</v>
      </c>
      <c r="AZ1048">
        <v>0.54301583910641804</v>
      </c>
      <c r="BA1048" s="28">
        <f t="shared" si="126"/>
        <v>0.54301583910641804</v>
      </c>
    </row>
    <row r="1049" spans="19:53" x14ac:dyDescent="0.25">
      <c r="S1049" s="28">
        <f t="shared" si="127"/>
        <v>1.0369999999999966</v>
      </c>
      <c r="T1049">
        <v>0.49522385326700646</v>
      </c>
      <c r="U1049" s="28">
        <f t="shared" si="124"/>
        <v>0.49761598021560161</v>
      </c>
      <c r="AI1049" s="28">
        <f t="shared" si="128"/>
        <v>1.0369999999999966</v>
      </c>
      <c r="AJ1049">
        <v>0.37943662831507308</v>
      </c>
      <c r="AK1049" s="28">
        <f t="shared" si="125"/>
        <v>0.17722066649080434</v>
      </c>
      <c r="AY1049" s="28">
        <f t="shared" si="129"/>
        <v>1.0369999999999966</v>
      </c>
      <c r="AZ1049">
        <v>4.8707541123691522E-2</v>
      </c>
      <c r="BA1049" s="28">
        <f t="shared" si="126"/>
        <v>4.8707541123691515E-2</v>
      </c>
    </row>
    <row r="1050" spans="19:53" x14ac:dyDescent="0.25">
      <c r="S1050" s="28">
        <f t="shared" si="127"/>
        <v>1.0379999999999965</v>
      </c>
      <c r="T1050">
        <v>0.33857234412671283</v>
      </c>
      <c r="U1050" s="28">
        <f t="shared" si="124"/>
        <v>0.41766412739320929</v>
      </c>
      <c r="AI1050" s="28">
        <f t="shared" si="128"/>
        <v>1.0379999999999965</v>
      </c>
      <c r="AJ1050">
        <v>0.33045442060609759</v>
      </c>
      <c r="AK1050" s="28">
        <f t="shared" si="125"/>
        <v>0.16478193904464858</v>
      </c>
      <c r="AY1050" s="28">
        <f t="shared" si="129"/>
        <v>1.0379999999999965</v>
      </c>
      <c r="AZ1050">
        <v>0.18143253883480331</v>
      </c>
      <c r="BA1050" s="28">
        <f t="shared" si="126"/>
        <v>0.18143253883480331</v>
      </c>
    </row>
    <row r="1051" spans="19:53" x14ac:dyDescent="0.25">
      <c r="S1051" s="28">
        <f t="shared" si="127"/>
        <v>1.0389999999999964</v>
      </c>
      <c r="T1051">
        <v>0.44459364604632712</v>
      </c>
      <c r="U1051" s="28">
        <f t="shared" si="124"/>
        <v>0.47227646027890696</v>
      </c>
      <c r="AI1051" s="28">
        <f t="shared" si="128"/>
        <v>1.0389999999999964</v>
      </c>
      <c r="AJ1051">
        <v>0.75957518234809407</v>
      </c>
      <c r="AK1051" s="28">
        <f t="shared" si="125"/>
        <v>0.28791276625670814</v>
      </c>
      <c r="AY1051" s="28">
        <f t="shared" si="129"/>
        <v>1.0389999999999964</v>
      </c>
      <c r="AZ1051">
        <v>0.19058809167760246</v>
      </c>
      <c r="BA1051" s="28">
        <f t="shared" si="126"/>
        <v>0.19058809167760246</v>
      </c>
    </row>
    <row r="1052" spans="19:53" x14ac:dyDescent="0.25">
      <c r="S1052" s="28">
        <f t="shared" si="127"/>
        <v>1.0399999999999963</v>
      </c>
      <c r="T1052">
        <v>0.2861720633564257</v>
      </c>
      <c r="U1052" s="28">
        <f t="shared" si="124"/>
        <v>0.38899543298505479</v>
      </c>
      <c r="AI1052" s="28">
        <f t="shared" si="128"/>
        <v>1.0399999999999963</v>
      </c>
      <c r="AJ1052">
        <v>0.29721976378673665</v>
      </c>
      <c r="AK1052" s="28">
        <f t="shared" si="125"/>
        <v>0.1562330669064883</v>
      </c>
      <c r="AY1052" s="28">
        <f t="shared" si="129"/>
        <v>1.0399999999999963</v>
      </c>
      <c r="AZ1052">
        <v>0.37052522354808193</v>
      </c>
      <c r="BA1052" s="28">
        <f t="shared" si="126"/>
        <v>0.37052522354808193</v>
      </c>
    </row>
    <row r="1053" spans="19:53" x14ac:dyDescent="0.25">
      <c r="S1053" s="28">
        <f t="shared" si="127"/>
        <v>1.0409999999999962</v>
      </c>
      <c r="T1053">
        <v>0.57875301370281074</v>
      </c>
      <c r="U1053" s="28">
        <f t="shared" si="124"/>
        <v>0.53950512595137379</v>
      </c>
      <c r="AI1053" s="28">
        <f t="shared" si="128"/>
        <v>1.0409999999999962</v>
      </c>
      <c r="AJ1053">
        <v>0.69505905331583606</v>
      </c>
      <c r="AK1053" s="28">
        <f t="shared" si="125"/>
        <v>0.26475485602022042</v>
      </c>
      <c r="AY1053" s="28">
        <f t="shared" si="129"/>
        <v>1.0409999999999962</v>
      </c>
      <c r="AZ1053">
        <v>0.42081972716452526</v>
      </c>
      <c r="BA1053" s="28">
        <f t="shared" si="126"/>
        <v>0.42081972716452526</v>
      </c>
    </row>
    <row r="1054" spans="19:53" x14ac:dyDescent="0.25">
      <c r="S1054" s="28">
        <f t="shared" si="127"/>
        <v>1.041999999999996</v>
      </c>
      <c r="T1054">
        <v>0.85998107852412486</v>
      </c>
      <c r="U1054" s="28">
        <f t="shared" si="124"/>
        <v>0.70541340446027556</v>
      </c>
      <c r="AI1054" s="28">
        <f t="shared" si="128"/>
        <v>1.041999999999996</v>
      </c>
      <c r="AJ1054">
        <v>0.51161229285561693</v>
      </c>
      <c r="AK1054" s="28">
        <f t="shared" si="125"/>
        <v>0.21115600273344515</v>
      </c>
      <c r="AY1054" s="28">
        <f t="shared" si="129"/>
        <v>1.041999999999996</v>
      </c>
      <c r="AZ1054">
        <v>0.36237678151799069</v>
      </c>
      <c r="BA1054" s="28">
        <f t="shared" si="126"/>
        <v>0.36237678151799069</v>
      </c>
    </row>
    <row r="1055" spans="19:53" x14ac:dyDescent="0.25">
      <c r="S1055" s="28">
        <f t="shared" si="127"/>
        <v>1.0429999999999959</v>
      </c>
      <c r="T1055">
        <v>0.20709860530411695</v>
      </c>
      <c r="U1055" s="28">
        <f t="shared" si="124"/>
        <v>0.34166240862387709</v>
      </c>
      <c r="AI1055" s="28">
        <f t="shared" si="128"/>
        <v>1.0429999999999959</v>
      </c>
      <c r="AJ1055">
        <v>0.40440076906643879</v>
      </c>
      <c r="AK1055" s="28">
        <f t="shared" si="125"/>
        <v>0.18354070046350052</v>
      </c>
      <c r="AY1055" s="28">
        <f t="shared" si="129"/>
        <v>1.0429999999999959</v>
      </c>
      <c r="AZ1055">
        <v>0.17200231940672017</v>
      </c>
      <c r="BA1055" s="28">
        <f t="shared" si="126"/>
        <v>0.17200231940672017</v>
      </c>
    </row>
    <row r="1056" spans="19:53" x14ac:dyDescent="0.25">
      <c r="S1056" s="28">
        <f t="shared" si="127"/>
        <v>1.0439999999999958</v>
      </c>
      <c r="T1056">
        <v>9.0823084200567644E-2</v>
      </c>
      <c r="U1056" s="28">
        <f t="shared" si="124"/>
        <v>0.25197289062559591</v>
      </c>
      <c r="AI1056" s="28">
        <f t="shared" si="128"/>
        <v>1.0439999999999958</v>
      </c>
      <c r="AJ1056">
        <v>8.0843531601916568E-2</v>
      </c>
      <c r="AK1056" s="28">
        <f t="shared" si="125"/>
        <v>8.9682462734966606E-2</v>
      </c>
      <c r="AY1056" s="28">
        <f t="shared" si="129"/>
        <v>1.0439999999999958</v>
      </c>
      <c r="AZ1056">
        <v>0.6054567094943083</v>
      </c>
      <c r="BA1056" s="28">
        <f t="shared" si="126"/>
        <v>0.6054567094943083</v>
      </c>
    </row>
    <row r="1057" spans="19:53" x14ac:dyDescent="0.25">
      <c r="S1057" s="28">
        <f t="shared" si="127"/>
        <v>1.0449999999999957</v>
      </c>
      <c r="T1057">
        <v>0.67155980101931823</v>
      </c>
      <c r="U1057" s="28">
        <f t="shared" si="124"/>
        <v>0.58776141162861983</v>
      </c>
      <c r="AI1057" s="28">
        <f t="shared" si="128"/>
        <v>1.0449999999999957</v>
      </c>
      <c r="AJ1057">
        <v>0.3401287881099887</v>
      </c>
      <c r="AK1057" s="28">
        <f t="shared" si="125"/>
        <v>0.16724911468511319</v>
      </c>
      <c r="AY1057" s="28">
        <f t="shared" si="129"/>
        <v>1.0449999999999957</v>
      </c>
      <c r="AZ1057">
        <v>0.92269661549729909</v>
      </c>
      <c r="BA1057" s="28">
        <f t="shared" si="126"/>
        <v>0.92269661549729909</v>
      </c>
    </row>
    <row r="1058" spans="19:53" x14ac:dyDescent="0.25">
      <c r="S1058" s="28">
        <f t="shared" si="127"/>
        <v>1.0459999999999956</v>
      </c>
      <c r="T1058">
        <v>0.71187475203711048</v>
      </c>
      <c r="U1058" s="28">
        <f t="shared" si="124"/>
        <v>0.60990567245398253</v>
      </c>
      <c r="AI1058" s="28">
        <f t="shared" si="128"/>
        <v>1.0459999999999956</v>
      </c>
      <c r="AJ1058">
        <v>0.13721121860408339</v>
      </c>
      <c r="AK1058" s="28">
        <f t="shared" si="125"/>
        <v>0.11060348996200686</v>
      </c>
      <c r="AY1058" s="28">
        <f t="shared" si="129"/>
        <v>1.0459999999999956</v>
      </c>
      <c r="AZ1058">
        <v>4.4557023834955901E-3</v>
      </c>
      <c r="BA1058" s="28">
        <f t="shared" si="126"/>
        <v>4.4557023834955892E-3</v>
      </c>
    </row>
    <row r="1059" spans="19:53" x14ac:dyDescent="0.25">
      <c r="S1059" s="28">
        <f t="shared" si="127"/>
        <v>1.0469999999999955</v>
      </c>
      <c r="T1059">
        <v>0.3094882045960875</v>
      </c>
      <c r="U1059" s="28">
        <f t="shared" si="124"/>
        <v>0.40194839618019368</v>
      </c>
      <c r="AI1059" s="28">
        <f t="shared" si="128"/>
        <v>1.0469999999999955</v>
      </c>
      <c r="AJ1059">
        <v>0.19852290414136173</v>
      </c>
      <c r="AK1059" s="28">
        <f t="shared" si="125"/>
        <v>0.12946224116204647</v>
      </c>
      <c r="AY1059" s="28">
        <f t="shared" si="129"/>
        <v>1.0469999999999955</v>
      </c>
      <c r="AZ1059">
        <v>0.50010681478316599</v>
      </c>
      <c r="BA1059" s="28">
        <f t="shared" si="126"/>
        <v>0.50010681478316599</v>
      </c>
    </row>
    <row r="1060" spans="19:53" x14ac:dyDescent="0.25">
      <c r="S1060" s="38">
        <f t="shared" si="127"/>
        <v>1.0479999999999954</v>
      </c>
      <c r="T1060">
        <v>0.66316721091341901</v>
      </c>
      <c r="U1060" s="38">
        <f t="shared" si="124"/>
        <v>0.58326388976944044</v>
      </c>
      <c r="AI1060" s="38">
        <f t="shared" si="128"/>
        <v>1.0479999999999954</v>
      </c>
      <c r="AJ1060">
        <v>0.62504959257789849</v>
      </c>
      <c r="AK1060" s="38">
        <f t="shared" si="125"/>
        <v>0.24276822465168657</v>
      </c>
      <c r="AY1060" s="28">
        <f t="shared" si="129"/>
        <v>1.0479999999999954</v>
      </c>
      <c r="AZ1060">
        <v>0.76619769890438549</v>
      </c>
      <c r="BA1060" s="28">
        <f t="shared" si="126"/>
        <v>0.76619769890438549</v>
      </c>
    </row>
    <row r="1061" spans="19:53" x14ac:dyDescent="0.25">
      <c r="S1061" s="28">
        <f t="shared" si="127"/>
        <v>1.0489999999999953</v>
      </c>
      <c r="T1061" s="32">
        <v>0.75572985015411842</v>
      </c>
      <c r="U1061" s="28">
        <f t="shared" si="124"/>
        <v>0.63530822784444063</v>
      </c>
      <c r="AI1061" s="28">
        <f t="shared" si="128"/>
        <v>1.0489999999999953</v>
      </c>
      <c r="AJ1061" s="32">
        <v>0.10919522690511796</v>
      </c>
      <c r="AK1061" s="28">
        <f t="shared" si="125"/>
        <v>0.10083941716692518</v>
      </c>
      <c r="AY1061" s="28">
        <f t="shared" si="129"/>
        <v>1.0489999999999953</v>
      </c>
      <c r="AZ1061">
        <v>0.28089236121707817</v>
      </c>
      <c r="BA1061" s="28">
        <f t="shared" si="126"/>
        <v>0.28089236121707817</v>
      </c>
    </row>
    <row r="1062" spans="19:53" x14ac:dyDescent="0.25">
      <c r="S1062" s="17"/>
      <c r="T1062" s="17"/>
      <c r="U1062" s="17"/>
      <c r="AI1062" s="17"/>
      <c r="AJ1062" s="17"/>
      <c r="AK1062" s="17"/>
      <c r="AY1062" s="17"/>
      <c r="AZ1062" s="17"/>
      <c r="BA1062" s="17"/>
    </row>
    <row r="1063" spans="19:53" x14ac:dyDescent="0.25">
      <c r="S1063" s="17"/>
      <c r="T1063" s="17"/>
      <c r="U1063" s="17"/>
      <c r="AI1063" s="17"/>
      <c r="AJ1063" s="17"/>
      <c r="AK1063" s="17"/>
      <c r="AY1063" s="17"/>
      <c r="AZ1063" s="17"/>
      <c r="BA1063" s="17"/>
    </row>
    <row r="1064" spans="19:53" x14ac:dyDescent="0.25">
      <c r="S1064" s="17"/>
      <c r="T1064" s="17"/>
      <c r="U1064" s="17"/>
      <c r="AI1064" s="17"/>
      <c r="AJ1064" s="17"/>
      <c r="AK1064" s="17"/>
      <c r="AY1064" s="17"/>
      <c r="AZ1064" s="17"/>
      <c r="BA1064" s="17"/>
    </row>
    <row r="1065" spans="19:53" x14ac:dyDescent="0.25">
      <c r="S1065" s="17"/>
      <c r="T1065" s="17"/>
      <c r="U1065" s="17"/>
      <c r="AI1065" s="17"/>
      <c r="AJ1065" s="17"/>
      <c r="AK1065" s="17"/>
      <c r="AY1065" s="17"/>
      <c r="AZ1065" s="17"/>
      <c r="BA1065" s="17"/>
    </row>
    <row r="1066" spans="19:53" x14ac:dyDescent="0.25">
      <c r="S1066" s="17"/>
      <c r="T1066" s="17"/>
      <c r="U1066" s="17"/>
      <c r="AI1066" s="17"/>
      <c r="AJ1066" s="17"/>
      <c r="AK1066" s="17"/>
      <c r="AY1066" s="17"/>
      <c r="AZ1066" s="17"/>
      <c r="BA1066" s="17"/>
    </row>
    <row r="1067" spans="19:53" x14ac:dyDescent="0.25">
      <c r="S1067" s="17"/>
      <c r="T1067" s="17"/>
      <c r="U1067" s="17"/>
      <c r="AI1067" s="17"/>
      <c r="AJ1067" s="17"/>
      <c r="AK1067" s="17"/>
      <c r="AY1067" s="17"/>
      <c r="AZ1067" s="17"/>
      <c r="BA1067" s="17"/>
    </row>
    <row r="1068" spans="19:53" x14ac:dyDescent="0.25">
      <c r="S1068" s="17"/>
      <c r="T1068" s="17"/>
      <c r="U1068" s="17"/>
      <c r="AI1068" s="17"/>
      <c r="AJ1068" s="17"/>
      <c r="AK1068" s="17"/>
      <c r="AY1068" s="17"/>
      <c r="AZ1068" s="17"/>
      <c r="BA1068" s="17"/>
    </row>
    <row r="1069" spans="19:53" x14ac:dyDescent="0.25">
      <c r="S1069" s="17"/>
      <c r="T1069" s="17"/>
      <c r="U1069" s="17"/>
      <c r="AI1069" s="17"/>
      <c r="AJ1069" s="17"/>
      <c r="AK1069" s="17"/>
      <c r="AY1069" s="17"/>
      <c r="AZ1069" s="17"/>
      <c r="BA1069" s="17"/>
    </row>
    <row r="1070" spans="19:53" x14ac:dyDescent="0.25">
      <c r="S1070" s="17"/>
      <c r="T1070" s="17"/>
      <c r="U1070" s="17"/>
      <c r="AI1070" s="17"/>
      <c r="AJ1070" s="17"/>
      <c r="AK1070" s="17"/>
      <c r="AY1070" s="17"/>
      <c r="AZ1070" s="17"/>
      <c r="BA1070" s="17"/>
    </row>
    <row r="1071" spans="19:53" x14ac:dyDescent="0.25">
      <c r="S1071" s="17"/>
      <c r="T1071" s="17"/>
      <c r="U1071" s="17"/>
      <c r="AI1071" s="17"/>
      <c r="AJ1071" s="17"/>
      <c r="AK1071" s="17"/>
      <c r="AY1071" s="17"/>
      <c r="AZ1071" s="17"/>
      <c r="BA1071" s="17"/>
    </row>
    <row r="1072" spans="19:53" x14ac:dyDescent="0.25">
      <c r="S1072" s="17"/>
      <c r="T1072" s="17"/>
      <c r="U1072" s="17"/>
      <c r="AI1072" s="17"/>
      <c r="AJ1072" s="17"/>
      <c r="AK1072" s="17"/>
      <c r="AY1072" s="17"/>
      <c r="AZ1072" s="17"/>
      <c r="BA1072" s="17"/>
    </row>
    <row r="1073" spans="19:53" x14ac:dyDescent="0.25">
      <c r="S1073" s="17"/>
      <c r="T1073" s="17"/>
      <c r="U1073" s="17"/>
      <c r="AI1073" s="17"/>
      <c r="AJ1073" s="17"/>
      <c r="AK1073" s="17"/>
      <c r="AY1073" s="17"/>
      <c r="AZ1073" s="17"/>
      <c r="BA1073" s="17"/>
    </row>
    <row r="1074" spans="19:53" x14ac:dyDescent="0.25">
      <c r="S1074" s="17"/>
      <c r="T1074" s="17"/>
      <c r="U1074" s="17"/>
      <c r="AI1074" s="17"/>
      <c r="AJ1074" s="17"/>
      <c r="AK1074" s="17"/>
      <c r="AY1074" s="17"/>
      <c r="AZ1074" s="17"/>
      <c r="BA1074" s="17"/>
    </row>
    <row r="1075" spans="19:53" x14ac:dyDescent="0.25">
      <c r="S1075" s="17"/>
      <c r="T1075" s="17"/>
      <c r="U1075" s="17"/>
      <c r="AI1075" s="17"/>
      <c r="AJ1075" s="17"/>
      <c r="AK1075" s="17"/>
      <c r="AY1075" s="17"/>
      <c r="AZ1075" s="17"/>
      <c r="BA1075" s="17"/>
    </row>
    <row r="1076" spans="19:53" x14ac:dyDescent="0.25">
      <c r="S1076" s="17"/>
      <c r="T1076" s="17"/>
      <c r="U1076" s="17"/>
      <c r="AI1076" s="17"/>
      <c r="AJ1076" s="17"/>
      <c r="AK1076" s="17"/>
      <c r="AY1076" s="17"/>
      <c r="AZ1076" s="17"/>
      <c r="BA1076" s="17"/>
    </row>
    <row r="1077" spans="19:53" x14ac:dyDescent="0.25">
      <c r="S1077" s="17"/>
      <c r="T1077" s="17"/>
      <c r="U1077" s="17"/>
      <c r="AI1077" s="17"/>
      <c r="AJ1077" s="17"/>
      <c r="AK1077" s="17"/>
      <c r="AY1077" s="17"/>
      <c r="AZ1077" s="17"/>
      <c r="BA1077" s="17"/>
    </row>
    <row r="1078" spans="19:53" x14ac:dyDescent="0.25">
      <c r="S1078" s="17"/>
      <c r="T1078" s="17"/>
      <c r="U1078" s="17"/>
      <c r="AI1078" s="17"/>
      <c r="AJ1078" s="17"/>
      <c r="AK1078" s="17"/>
      <c r="AY1078" s="17"/>
      <c r="AZ1078" s="17"/>
      <c r="BA1078" s="17"/>
    </row>
    <row r="1079" spans="19:53" x14ac:dyDescent="0.25">
      <c r="S1079" s="17"/>
      <c r="T1079" s="17"/>
      <c r="U1079" s="17"/>
      <c r="AI1079" s="17"/>
      <c r="AJ1079" s="17"/>
      <c r="AK1079" s="17"/>
      <c r="AY1079" s="17"/>
      <c r="AZ1079" s="17"/>
      <c r="BA1079" s="17"/>
    </row>
    <row r="1080" spans="19:53" x14ac:dyDescent="0.25">
      <c r="S1080" s="17"/>
      <c r="T1080" s="17"/>
      <c r="U1080" s="17"/>
      <c r="AI1080" s="17"/>
      <c r="AJ1080" s="17"/>
      <c r="AK1080" s="17"/>
      <c r="AY1080" s="17"/>
      <c r="AZ1080" s="17"/>
      <c r="BA1080" s="17"/>
    </row>
    <row r="1081" spans="19:53" x14ac:dyDescent="0.25">
      <c r="S1081" s="17"/>
      <c r="T1081" s="17"/>
      <c r="U1081" s="17"/>
      <c r="AI1081" s="17"/>
      <c r="AJ1081" s="17"/>
      <c r="AK1081" s="17"/>
      <c r="AY1081" s="17"/>
      <c r="AZ1081" s="17"/>
      <c r="BA1081" s="17"/>
    </row>
    <row r="1082" spans="19:53" x14ac:dyDescent="0.25">
      <c r="S1082" s="17"/>
      <c r="T1082" s="17"/>
      <c r="U1082" s="17"/>
      <c r="AI1082" s="17"/>
      <c r="AJ1082" s="17"/>
      <c r="AK1082" s="17"/>
      <c r="AY1082" s="17"/>
      <c r="AZ1082" s="17"/>
      <c r="BA1082" s="17"/>
    </row>
    <row r="1083" spans="19:53" x14ac:dyDescent="0.25">
      <c r="S1083" s="17"/>
      <c r="T1083" s="17"/>
      <c r="U1083" s="17"/>
      <c r="AI1083" s="17"/>
      <c r="AJ1083" s="17"/>
      <c r="AK1083" s="17"/>
      <c r="AY1083" s="17"/>
      <c r="AZ1083" s="17"/>
      <c r="BA1083" s="17"/>
    </row>
    <row r="1084" spans="19:53" x14ac:dyDescent="0.25">
      <c r="S1084" s="17"/>
      <c r="T1084" s="17"/>
      <c r="U1084" s="17"/>
      <c r="AI1084" s="17"/>
      <c r="AJ1084" s="17"/>
      <c r="AK1084" s="17"/>
      <c r="AY1084" s="17"/>
      <c r="AZ1084" s="17"/>
      <c r="BA1084" s="17"/>
    </row>
    <row r="1085" spans="19:53" x14ac:dyDescent="0.25">
      <c r="S1085" s="17"/>
      <c r="T1085" s="17"/>
      <c r="U1085" s="17"/>
      <c r="AI1085" s="17"/>
      <c r="AJ1085" s="17"/>
      <c r="AK1085" s="17"/>
      <c r="AY1085" s="17"/>
      <c r="AZ1085" s="17"/>
      <c r="BA1085" s="17"/>
    </row>
    <row r="1086" spans="19:53" x14ac:dyDescent="0.25">
      <c r="S1086" s="17"/>
      <c r="T1086" s="17"/>
      <c r="U1086" s="17"/>
      <c r="AI1086" s="17"/>
      <c r="AJ1086" s="17"/>
      <c r="AK1086" s="17"/>
      <c r="AY1086" s="17"/>
      <c r="AZ1086" s="17"/>
      <c r="BA1086" s="17"/>
    </row>
    <row r="1087" spans="19:53" x14ac:dyDescent="0.25">
      <c r="S1087" s="17"/>
      <c r="T1087" s="17"/>
      <c r="U1087" s="17"/>
      <c r="AI1087" s="17"/>
      <c r="AJ1087" s="17"/>
      <c r="AK1087" s="17"/>
      <c r="AY1087" s="17"/>
      <c r="AZ1087" s="17"/>
      <c r="BA1087" s="17"/>
    </row>
    <row r="1088" spans="19:53" x14ac:dyDescent="0.25">
      <c r="S1088" s="17"/>
      <c r="T1088" s="17"/>
      <c r="U1088" s="17"/>
      <c r="AI1088" s="17"/>
      <c r="AJ1088" s="17"/>
      <c r="AK1088" s="17"/>
      <c r="AY1088" s="17"/>
      <c r="AZ1088" s="17"/>
      <c r="BA1088" s="17"/>
    </row>
    <row r="1089" spans="19:53" x14ac:dyDescent="0.25">
      <c r="S1089" s="17"/>
      <c r="T1089" s="17"/>
      <c r="U1089" s="17"/>
      <c r="AI1089" s="17"/>
      <c r="AJ1089" s="17"/>
      <c r="AK1089" s="17"/>
      <c r="AY1089" s="17"/>
      <c r="AZ1089" s="17"/>
      <c r="BA1089" s="17"/>
    </row>
    <row r="1090" spans="19:53" x14ac:dyDescent="0.25">
      <c r="S1090" s="17"/>
      <c r="T1090" s="17"/>
      <c r="U1090" s="17"/>
      <c r="AI1090" s="17"/>
      <c r="AJ1090" s="17"/>
      <c r="AK1090" s="17"/>
      <c r="AY1090" s="17"/>
      <c r="AZ1090" s="17"/>
      <c r="BA1090" s="17"/>
    </row>
    <row r="1091" spans="19:53" x14ac:dyDescent="0.25">
      <c r="S1091" s="17"/>
      <c r="T1091" s="17"/>
      <c r="U1091" s="17"/>
      <c r="AI1091" s="17"/>
      <c r="AJ1091" s="17"/>
      <c r="AK1091" s="17"/>
      <c r="AY1091" s="17"/>
      <c r="AZ1091" s="17"/>
      <c r="BA1091" s="17"/>
    </row>
    <row r="1092" spans="19:53" x14ac:dyDescent="0.25">
      <c r="S1092" s="17"/>
      <c r="T1092" s="17"/>
      <c r="U1092" s="17"/>
      <c r="AI1092" s="17"/>
      <c r="AJ1092" s="17"/>
      <c r="AK1092" s="17"/>
      <c r="AY1092" s="17"/>
      <c r="AZ1092" s="17"/>
      <c r="BA1092" s="17"/>
    </row>
    <row r="1093" spans="19:53" x14ac:dyDescent="0.25">
      <c r="S1093" s="17"/>
      <c r="T1093" s="17"/>
      <c r="U1093" s="17"/>
      <c r="AI1093" s="17"/>
      <c r="AJ1093" s="17"/>
      <c r="AK1093" s="17"/>
      <c r="AY1093" s="17"/>
      <c r="AZ1093" s="17"/>
      <c r="BA1093" s="17"/>
    </row>
    <row r="1094" spans="19:53" x14ac:dyDescent="0.25">
      <c r="S1094" s="17"/>
      <c r="T1094" s="17"/>
      <c r="U1094" s="17"/>
      <c r="AI1094" s="17"/>
      <c r="AJ1094" s="17"/>
      <c r="AK1094" s="17"/>
      <c r="AY1094" s="17"/>
      <c r="AZ1094" s="17"/>
      <c r="BA1094" s="17"/>
    </row>
    <row r="1095" spans="19:53" x14ac:dyDescent="0.25">
      <c r="S1095" s="17"/>
      <c r="T1095" s="17"/>
      <c r="U1095" s="17"/>
      <c r="AI1095" s="17"/>
      <c r="AJ1095" s="17"/>
      <c r="AK1095" s="17"/>
      <c r="AY1095" s="17"/>
      <c r="AZ1095" s="17"/>
      <c r="BA1095" s="17"/>
    </row>
    <row r="1096" spans="19:53" x14ac:dyDescent="0.25">
      <c r="S1096" s="17"/>
      <c r="T1096" s="17"/>
      <c r="U1096" s="17"/>
      <c r="AI1096" s="17"/>
      <c r="AJ1096" s="17"/>
      <c r="AK1096" s="17"/>
      <c r="AY1096" s="17"/>
      <c r="AZ1096" s="17"/>
      <c r="BA1096" s="17"/>
    </row>
    <row r="1097" spans="19:53" x14ac:dyDescent="0.25">
      <c r="S1097" s="17"/>
      <c r="T1097" s="17"/>
      <c r="U1097" s="17"/>
      <c r="AI1097" s="17"/>
      <c r="AJ1097" s="17"/>
      <c r="AK1097" s="17"/>
      <c r="AY1097" s="17"/>
      <c r="AZ1097" s="17"/>
      <c r="BA1097" s="17"/>
    </row>
    <row r="1098" spans="19:53" x14ac:dyDescent="0.25">
      <c r="S1098" s="17"/>
      <c r="T1098" s="17"/>
      <c r="U1098" s="17"/>
      <c r="AI1098" s="17"/>
      <c r="AJ1098" s="17"/>
      <c r="AK1098" s="17"/>
      <c r="AY1098" s="17"/>
      <c r="AZ1098" s="17"/>
      <c r="BA1098" s="17"/>
    </row>
    <row r="1099" spans="19:53" x14ac:dyDescent="0.25">
      <c r="S1099" s="17"/>
      <c r="T1099" s="17"/>
      <c r="U1099" s="17"/>
      <c r="AI1099" s="17"/>
      <c r="AJ1099" s="17"/>
      <c r="AK1099" s="17"/>
      <c r="AY1099" s="17"/>
      <c r="AZ1099" s="17"/>
      <c r="BA1099" s="17"/>
    </row>
    <row r="1100" spans="19:53" x14ac:dyDescent="0.25">
      <c r="S1100" s="17"/>
      <c r="T1100" s="17"/>
      <c r="U1100" s="17"/>
      <c r="AI1100" s="17"/>
      <c r="AJ1100" s="17"/>
      <c r="AK1100" s="17"/>
      <c r="AY1100" s="17"/>
      <c r="AZ1100" s="17"/>
      <c r="BA1100" s="17"/>
    </row>
    <row r="1101" spans="19:53" x14ac:dyDescent="0.25">
      <c r="S1101" s="17"/>
      <c r="T1101" s="17"/>
      <c r="U1101" s="17"/>
      <c r="AI1101" s="17"/>
      <c r="AJ1101" s="17"/>
      <c r="AK1101" s="17"/>
      <c r="AY1101" s="17"/>
      <c r="AZ1101" s="17"/>
      <c r="BA1101" s="17"/>
    </row>
    <row r="1102" spans="19:53" x14ac:dyDescent="0.25">
      <c r="S1102" s="17"/>
      <c r="T1102" s="17"/>
      <c r="U1102" s="17"/>
      <c r="AI1102" s="17"/>
      <c r="AJ1102" s="17"/>
      <c r="AK1102" s="17"/>
      <c r="AY1102" s="17"/>
      <c r="AZ1102" s="17"/>
      <c r="BA1102" s="17"/>
    </row>
    <row r="1103" spans="19:53" x14ac:dyDescent="0.25">
      <c r="S1103" s="17"/>
      <c r="T1103" s="17"/>
      <c r="U1103" s="17"/>
      <c r="AI1103" s="17"/>
      <c r="AJ1103" s="17"/>
      <c r="AK1103" s="17"/>
      <c r="AY1103" s="17"/>
      <c r="AZ1103" s="17"/>
      <c r="BA1103" s="17"/>
    </row>
    <row r="1104" spans="19:53" x14ac:dyDescent="0.25">
      <c r="S1104" s="17"/>
      <c r="T1104" s="17"/>
      <c r="U1104" s="17"/>
      <c r="AI1104" s="17"/>
      <c r="AJ1104" s="17"/>
      <c r="AK1104" s="17"/>
      <c r="AY1104" s="17"/>
      <c r="AZ1104" s="17"/>
      <c r="BA1104" s="17"/>
    </row>
    <row r="1105" spans="19:53" x14ac:dyDescent="0.25">
      <c r="S1105" s="17"/>
      <c r="T1105" s="17"/>
      <c r="U1105" s="17"/>
      <c r="AI1105" s="17"/>
      <c r="AJ1105" s="17"/>
      <c r="AK1105" s="17"/>
      <c r="AY1105" s="17"/>
      <c r="AZ1105" s="17"/>
      <c r="BA1105" s="17"/>
    </row>
    <row r="1106" spans="19:53" x14ac:dyDescent="0.25">
      <c r="S1106" s="17"/>
      <c r="T1106" s="17"/>
      <c r="U1106" s="17"/>
      <c r="AI1106" s="17"/>
      <c r="AJ1106" s="17"/>
      <c r="AK1106" s="17"/>
      <c r="AY1106" s="17"/>
      <c r="AZ1106" s="17"/>
      <c r="BA1106" s="17"/>
    </row>
    <row r="1107" spans="19:53" x14ac:dyDescent="0.25">
      <c r="S1107" s="17"/>
      <c r="T1107" s="17"/>
      <c r="U1107" s="17"/>
      <c r="AI1107" s="17"/>
      <c r="AJ1107" s="17"/>
      <c r="AK1107" s="17"/>
      <c r="AY1107" s="17"/>
      <c r="AZ1107" s="17"/>
      <c r="BA1107" s="17"/>
    </row>
    <row r="1108" spans="19:53" x14ac:dyDescent="0.25">
      <c r="S1108" s="17"/>
      <c r="T1108" s="17"/>
      <c r="U1108" s="17"/>
      <c r="AI1108" s="17"/>
      <c r="AJ1108" s="17"/>
      <c r="AK1108" s="17"/>
      <c r="AY1108" s="17"/>
      <c r="AZ1108" s="17"/>
      <c r="BA1108" s="17"/>
    </row>
    <row r="1109" spans="19:53" x14ac:dyDescent="0.25">
      <c r="S1109" s="17"/>
      <c r="T1109" s="17"/>
      <c r="U1109" s="17"/>
      <c r="AI1109" s="17"/>
      <c r="AJ1109" s="17"/>
      <c r="AK1109" s="17"/>
      <c r="AY1109" s="17"/>
      <c r="AZ1109" s="17"/>
      <c r="BA1109" s="17"/>
    </row>
    <row r="1110" spans="19:53" x14ac:dyDescent="0.25">
      <c r="S1110" s="17"/>
      <c r="T1110" s="17"/>
      <c r="U1110" s="17"/>
      <c r="AI1110" s="17"/>
      <c r="AJ1110" s="17"/>
      <c r="AK1110" s="17"/>
      <c r="AY1110" s="17"/>
      <c r="AZ1110" s="17"/>
      <c r="BA1110" s="17"/>
    </row>
    <row r="1111" spans="19:53" x14ac:dyDescent="0.25">
      <c r="S1111" s="17"/>
      <c r="T1111" s="17"/>
      <c r="U1111" s="17"/>
      <c r="AI1111" s="17"/>
      <c r="AJ1111" s="17"/>
      <c r="AK1111" s="17"/>
      <c r="AY1111" s="17"/>
      <c r="AZ1111" s="17"/>
      <c r="BA1111" s="17"/>
    </row>
    <row r="1112" spans="19:53" x14ac:dyDescent="0.25">
      <c r="S1112" s="17"/>
      <c r="T1112" s="17"/>
      <c r="U1112" s="17"/>
      <c r="AI1112" s="17"/>
      <c r="AJ1112" s="17"/>
      <c r="AK1112" s="17"/>
      <c r="AY1112" s="17"/>
      <c r="AZ1112" s="17"/>
      <c r="BA1112" s="17"/>
    </row>
    <row r="1113" spans="19:53" x14ac:dyDescent="0.25">
      <c r="S1113" s="17"/>
      <c r="T1113" s="17"/>
      <c r="U1113" s="17"/>
      <c r="AI1113" s="17"/>
      <c r="AJ1113" s="17"/>
      <c r="AK1113" s="17"/>
      <c r="AY1113" s="17"/>
      <c r="AZ1113" s="17"/>
      <c r="BA1113" s="17"/>
    </row>
    <row r="1114" spans="19:53" x14ac:dyDescent="0.25">
      <c r="S1114" s="17"/>
      <c r="T1114" s="17"/>
      <c r="U1114" s="17"/>
      <c r="AI1114" s="17"/>
      <c r="AJ1114" s="17"/>
      <c r="AK1114" s="17"/>
      <c r="AY1114" s="17"/>
      <c r="AZ1114" s="17"/>
      <c r="BA1114" s="17"/>
    </row>
    <row r="1115" spans="19:53" x14ac:dyDescent="0.25">
      <c r="S1115" s="17"/>
      <c r="T1115" s="17"/>
      <c r="U1115" s="17"/>
      <c r="AI1115" s="17"/>
      <c r="AJ1115" s="17"/>
      <c r="AK1115" s="17"/>
      <c r="AY1115" s="17"/>
      <c r="AZ1115" s="17"/>
      <c r="BA1115" s="17"/>
    </row>
    <row r="1116" spans="19:53" x14ac:dyDescent="0.25">
      <c r="S1116" s="17"/>
      <c r="T1116" s="17"/>
      <c r="U1116" s="17"/>
      <c r="AI1116" s="17"/>
      <c r="AJ1116" s="17"/>
      <c r="AK1116" s="17"/>
      <c r="AY1116" s="17"/>
      <c r="AZ1116" s="17"/>
      <c r="BA1116" s="17"/>
    </row>
    <row r="1117" spans="19:53" x14ac:dyDescent="0.25">
      <c r="S1117" s="17"/>
      <c r="T1117" s="17"/>
      <c r="U1117" s="17"/>
      <c r="AI1117" s="17"/>
      <c r="AJ1117" s="17"/>
      <c r="AK1117" s="17"/>
      <c r="AY1117" s="17"/>
      <c r="AZ1117" s="17"/>
      <c r="BA1117" s="17"/>
    </row>
    <row r="1118" spans="19:53" x14ac:dyDescent="0.25">
      <c r="S1118" s="17"/>
      <c r="T1118" s="17"/>
      <c r="U1118" s="17"/>
      <c r="AI1118" s="17"/>
      <c r="AJ1118" s="17"/>
      <c r="AK1118" s="17"/>
      <c r="AY1118" s="17"/>
      <c r="AZ1118" s="17"/>
      <c r="BA1118" s="17"/>
    </row>
    <row r="1119" spans="19:53" x14ac:dyDescent="0.25">
      <c r="S1119" s="17"/>
      <c r="T1119" s="17"/>
      <c r="U1119" s="17"/>
      <c r="AI1119" s="17"/>
      <c r="AJ1119" s="17"/>
      <c r="AK1119" s="17"/>
      <c r="AY1119" s="17"/>
      <c r="AZ1119" s="17"/>
      <c r="BA1119" s="17"/>
    </row>
    <row r="1120" spans="19:53" x14ac:dyDescent="0.25">
      <c r="S1120" s="17"/>
      <c r="T1120" s="17"/>
      <c r="U1120" s="17"/>
      <c r="AI1120" s="17"/>
      <c r="AJ1120" s="17"/>
      <c r="AK1120" s="17"/>
      <c r="AY1120" s="17"/>
      <c r="AZ1120" s="17"/>
      <c r="BA1120" s="17"/>
    </row>
    <row r="1121" spans="19:53" x14ac:dyDescent="0.25">
      <c r="S1121" s="17"/>
      <c r="T1121" s="17"/>
      <c r="U1121" s="17"/>
      <c r="AI1121" s="17"/>
      <c r="AJ1121" s="17"/>
      <c r="AK1121" s="17"/>
      <c r="AY1121" s="17"/>
      <c r="AZ1121" s="17"/>
      <c r="BA1121" s="17"/>
    </row>
    <row r="1122" spans="19:53" x14ac:dyDescent="0.25">
      <c r="S1122" s="17"/>
      <c r="T1122" s="17"/>
      <c r="U1122" s="17"/>
      <c r="AI1122" s="17"/>
      <c r="AJ1122" s="17"/>
      <c r="AK1122" s="17"/>
      <c r="AY1122" s="17"/>
      <c r="AZ1122" s="17"/>
      <c r="BA1122" s="17"/>
    </row>
    <row r="1123" spans="19:53" x14ac:dyDescent="0.25">
      <c r="S1123" s="17"/>
      <c r="T1123" s="17"/>
      <c r="U1123" s="17"/>
      <c r="AI1123" s="17"/>
      <c r="AJ1123" s="17"/>
      <c r="AK1123" s="17"/>
      <c r="AY1123" s="17"/>
      <c r="AZ1123" s="17"/>
      <c r="BA1123" s="17"/>
    </row>
    <row r="1124" spans="19:53" x14ac:dyDescent="0.25">
      <c r="S1124" s="17"/>
      <c r="T1124" s="17"/>
      <c r="U1124" s="17"/>
      <c r="AI1124" s="17"/>
      <c r="AJ1124" s="17"/>
      <c r="AK1124" s="17"/>
      <c r="AY1124" s="17"/>
      <c r="AZ1124" s="17"/>
      <c r="BA1124" s="17"/>
    </row>
    <row r="1125" spans="19:53" x14ac:dyDescent="0.25">
      <c r="S1125" s="17"/>
      <c r="T1125" s="17"/>
      <c r="U1125" s="17"/>
      <c r="AI1125" s="17"/>
      <c r="AJ1125" s="17"/>
      <c r="AK1125" s="17"/>
      <c r="AY1125" s="17"/>
      <c r="AZ1125" s="17"/>
      <c r="BA1125" s="17"/>
    </row>
    <row r="1126" spans="19:53" x14ac:dyDescent="0.25">
      <c r="S1126" s="17"/>
      <c r="T1126" s="17"/>
      <c r="U1126" s="17"/>
      <c r="AI1126" s="17"/>
      <c r="AJ1126" s="17"/>
      <c r="AK1126" s="17"/>
      <c r="AY1126" s="17"/>
      <c r="AZ1126" s="17"/>
      <c r="BA1126" s="17"/>
    </row>
    <row r="1127" spans="19:53" x14ac:dyDescent="0.25">
      <c r="S1127" s="17"/>
      <c r="T1127" s="17"/>
      <c r="U1127" s="17"/>
      <c r="AI1127" s="17"/>
      <c r="AJ1127" s="17"/>
      <c r="AK1127" s="17"/>
      <c r="AY1127" s="17"/>
      <c r="AZ1127" s="17"/>
      <c r="BA1127" s="17"/>
    </row>
    <row r="1128" spans="19:53" x14ac:dyDescent="0.25">
      <c r="S1128" s="17"/>
      <c r="T1128" s="17"/>
      <c r="U1128" s="17"/>
      <c r="AI1128" s="17"/>
      <c r="AJ1128" s="17"/>
      <c r="AK1128" s="17"/>
      <c r="AY1128" s="17"/>
      <c r="AZ1128" s="17"/>
      <c r="BA1128" s="17"/>
    </row>
    <row r="1129" spans="19:53" x14ac:dyDescent="0.25">
      <c r="S1129" s="17"/>
      <c r="T1129" s="17"/>
      <c r="U1129" s="17"/>
      <c r="AI1129" s="17"/>
      <c r="AJ1129" s="17"/>
      <c r="AK1129" s="17"/>
      <c r="AY1129" s="17"/>
      <c r="AZ1129" s="17"/>
      <c r="BA1129" s="17"/>
    </row>
    <row r="1130" spans="19:53" x14ac:dyDescent="0.25">
      <c r="S1130" s="17"/>
      <c r="T1130" s="17"/>
      <c r="U1130" s="17"/>
      <c r="AI1130" s="17"/>
      <c r="AJ1130" s="17"/>
      <c r="AK1130" s="17"/>
      <c r="AY1130" s="17"/>
      <c r="AZ1130" s="17"/>
      <c r="BA1130" s="17"/>
    </row>
    <row r="1131" spans="19:53" x14ac:dyDescent="0.25">
      <c r="S1131" s="17"/>
      <c r="T1131" s="17"/>
      <c r="U1131" s="17"/>
      <c r="AI1131" s="17"/>
      <c r="AJ1131" s="17"/>
      <c r="AK1131" s="17"/>
      <c r="AY1131" s="17"/>
      <c r="AZ1131" s="17"/>
      <c r="BA1131" s="17"/>
    </row>
    <row r="1132" spans="19:53" x14ac:dyDescent="0.25">
      <c r="S1132" s="17"/>
      <c r="T1132" s="17"/>
      <c r="U1132" s="17"/>
      <c r="AI1132" s="17"/>
      <c r="AJ1132" s="17"/>
      <c r="AK1132" s="17"/>
      <c r="AY1132" s="17"/>
      <c r="AZ1132" s="17"/>
      <c r="BA1132" s="17"/>
    </row>
    <row r="1133" spans="19:53" x14ac:dyDescent="0.25">
      <c r="S1133" s="17"/>
      <c r="T1133" s="17"/>
      <c r="U1133" s="17"/>
      <c r="AI1133" s="17"/>
      <c r="AJ1133" s="17"/>
      <c r="AK1133" s="17"/>
      <c r="AY1133" s="17"/>
      <c r="AZ1133" s="17"/>
      <c r="BA1133" s="17"/>
    </row>
    <row r="1134" spans="19:53" x14ac:dyDescent="0.25">
      <c r="S1134" s="17"/>
      <c r="T1134" s="17"/>
      <c r="U1134" s="17"/>
      <c r="AI1134" s="17"/>
      <c r="AJ1134" s="17"/>
      <c r="AK1134" s="17"/>
      <c r="AY1134" s="17"/>
      <c r="AZ1134" s="17"/>
      <c r="BA1134" s="17"/>
    </row>
    <row r="1135" spans="19:53" x14ac:dyDescent="0.25">
      <c r="S1135" s="17"/>
      <c r="T1135" s="17"/>
      <c r="U1135" s="17"/>
      <c r="AI1135" s="17"/>
      <c r="AJ1135" s="17"/>
      <c r="AK1135" s="17"/>
      <c r="AY1135" s="17"/>
      <c r="AZ1135" s="17"/>
      <c r="BA1135" s="17"/>
    </row>
    <row r="1136" spans="19:53" x14ac:dyDescent="0.25">
      <c r="S1136" s="17"/>
      <c r="T1136" s="17"/>
      <c r="U1136" s="17"/>
      <c r="AI1136" s="17"/>
      <c r="AJ1136" s="17"/>
      <c r="AK1136" s="17"/>
      <c r="AY1136" s="17"/>
      <c r="AZ1136" s="17"/>
      <c r="BA1136" s="17"/>
    </row>
    <row r="1137" spans="19:53" x14ac:dyDescent="0.25">
      <c r="S1137" s="17"/>
      <c r="T1137" s="17"/>
      <c r="U1137" s="17"/>
      <c r="AI1137" s="17"/>
      <c r="AJ1137" s="17"/>
      <c r="AK1137" s="17"/>
      <c r="AY1137" s="17"/>
      <c r="AZ1137" s="17"/>
      <c r="BA1137" s="17"/>
    </row>
    <row r="1138" spans="19:53" x14ac:dyDescent="0.25">
      <c r="S1138" s="17"/>
      <c r="T1138" s="17"/>
      <c r="U1138" s="17"/>
      <c r="AI1138" s="17"/>
      <c r="AJ1138" s="17"/>
      <c r="AK1138" s="17"/>
      <c r="AY1138" s="17"/>
      <c r="AZ1138" s="17"/>
      <c r="BA1138" s="17"/>
    </row>
    <row r="1139" spans="19:53" x14ac:dyDescent="0.25">
      <c r="S1139" s="17"/>
      <c r="T1139" s="17"/>
      <c r="U1139" s="17"/>
      <c r="AI1139" s="17"/>
      <c r="AJ1139" s="17"/>
      <c r="AK1139" s="17"/>
      <c r="AY1139" s="17"/>
      <c r="AZ1139" s="17"/>
      <c r="BA1139" s="17"/>
    </row>
    <row r="1140" spans="19:53" x14ac:dyDescent="0.25">
      <c r="S1140" s="17"/>
      <c r="T1140" s="17"/>
      <c r="U1140" s="17"/>
      <c r="AI1140" s="17"/>
      <c r="AJ1140" s="17"/>
      <c r="AK1140" s="17"/>
      <c r="AY1140" s="17"/>
      <c r="AZ1140" s="17"/>
      <c r="BA1140" s="17"/>
    </row>
    <row r="1141" spans="19:53" x14ac:dyDescent="0.25">
      <c r="S1141" s="17"/>
      <c r="T1141" s="17"/>
      <c r="U1141" s="17"/>
      <c r="AI1141" s="17"/>
      <c r="AJ1141" s="17"/>
      <c r="AK1141" s="17"/>
      <c r="AY1141" s="17"/>
      <c r="AZ1141" s="17"/>
      <c r="BA1141" s="17"/>
    </row>
    <row r="1142" spans="19:53" x14ac:dyDescent="0.25">
      <c r="S1142" s="17"/>
      <c r="T1142" s="17"/>
      <c r="U1142" s="17"/>
      <c r="AI1142" s="17"/>
      <c r="AJ1142" s="17"/>
      <c r="AK1142" s="17"/>
      <c r="AY1142" s="17"/>
      <c r="AZ1142" s="17"/>
      <c r="BA1142" s="17"/>
    </row>
    <row r="1143" spans="19:53" x14ac:dyDescent="0.25">
      <c r="S1143" s="17"/>
      <c r="T1143" s="17"/>
      <c r="U1143" s="17"/>
      <c r="AI1143" s="17"/>
      <c r="AJ1143" s="17"/>
      <c r="AK1143" s="17"/>
      <c r="AY1143" s="17"/>
      <c r="AZ1143" s="17"/>
      <c r="BA1143" s="17"/>
    </row>
    <row r="1144" spans="19:53" x14ac:dyDescent="0.25">
      <c r="S1144" s="17"/>
      <c r="T1144" s="17"/>
      <c r="U1144" s="17"/>
      <c r="AI1144" s="17"/>
      <c r="AJ1144" s="17"/>
      <c r="AK1144" s="17"/>
      <c r="AY1144" s="17"/>
      <c r="AZ1144" s="17"/>
      <c r="BA1144" s="17"/>
    </row>
    <row r="1145" spans="19:53" x14ac:dyDescent="0.25">
      <c r="S1145" s="17"/>
      <c r="T1145" s="17"/>
      <c r="U1145" s="17"/>
      <c r="AI1145" s="17"/>
      <c r="AJ1145" s="17"/>
      <c r="AK1145" s="17"/>
      <c r="AY1145" s="17"/>
      <c r="AZ1145" s="17"/>
      <c r="BA1145" s="17"/>
    </row>
    <row r="1146" spans="19:53" x14ac:dyDescent="0.25">
      <c r="S1146" s="17"/>
      <c r="T1146" s="17"/>
      <c r="U1146" s="17"/>
      <c r="AI1146" s="17"/>
      <c r="AJ1146" s="17"/>
      <c r="AK1146" s="17"/>
      <c r="AY1146" s="17"/>
      <c r="AZ1146" s="17"/>
      <c r="BA1146" s="17"/>
    </row>
    <row r="1147" spans="19:53" x14ac:dyDescent="0.25">
      <c r="S1147" s="17"/>
      <c r="T1147" s="17"/>
      <c r="U1147" s="17"/>
      <c r="AI1147" s="17"/>
      <c r="AJ1147" s="17"/>
      <c r="AK1147" s="17"/>
      <c r="AY1147" s="17"/>
      <c r="AZ1147" s="17"/>
      <c r="BA1147" s="17"/>
    </row>
    <row r="1148" spans="19:53" x14ac:dyDescent="0.25">
      <c r="S1148" s="17"/>
      <c r="T1148" s="17"/>
      <c r="U1148" s="17"/>
      <c r="AI1148" s="17"/>
      <c r="AJ1148" s="17"/>
      <c r="AK1148" s="17"/>
      <c r="AY1148" s="17"/>
      <c r="AZ1148" s="17"/>
      <c r="BA1148" s="17"/>
    </row>
    <row r="1149" spans="19:53" x14ac:dyDescent="0.25">
      <c r="S1149" s="17"/>
      <c r="T1149" s="17"/>
      <c r="U1149" s="17"/>
      <c r="AI1149" s="17"/>
      <c r="AJ1149" s="17"/>
      <c r="AK1149" s="17"/>
      <c r="AY1149" s="17"/>
      <c r="AZ1149" s="17"/>
      <c r="BA1149" s="17"/>
    </row>
    <row r="1150" spans="19:53" x14ac:dyDescent="0.25">
      <c r="S1150" s="17"/>
      <c r="T1150" s="17"/>
      <c r="U1150" s="17"/>
      <c r="AI1150" s="17"/>
      <c r="AJ1150" s="17"/>
      <c r="AK1150" s="17"/>
      <c r="AY1150" s="17"/>
      <c r="AZ1150" s="17"/>
      <c r="BA1150" s="17"/>
    </row>
    <row r="1151" spans="19:53" x14ac:dyDescent="0.25">
      <c r="S1151" s="17"/>
      <c r="T1151" s="17"/>
      <c r="U1151" s="17"/>
      <c r="AI1151" s="17"/>
      <c r="AJ1151" s="17"/>
      <c r="AK1151" s="17"/>
      <c r="AY1151" s="17"/>
      <c r="AZ1151" s="17"/>
      <c r="BA1151" s="17"/>
    </row>
    <row r="1152" spans="19:53" x14ac:dyDescent="0.25">
      <c r="S1152" s="17"/>
      <c r="T1152" s="17"/>
      <c r="U1152" s="17"/>
      <c r="AI1152" s="17"/>
      <c r="AJ1152" s="17"/>
      <c r="AK1152" s="17"/>
      <c r="AY1152" s="17"/>
      <c r="AZ1152" s="17"/>
      <c r="BA1152" s="17"/>
    </row>
    <row r="1153" spans="19:53" x14ac:dyDescent="0.25">
      <c r="S1153" s="17"/>
      <c r="T1153" s="17"/>
      <c r="U1153" s="17"/>
      <c r="AI1153" s="17"/>
      <c r="AJ1153" s="17"/>
      <c r="AK1153" s="17"/>
      <c r="AY1153" s="17"/>
      <c r="AZ1153" s="17"/>
      <c r="BA1153" s="17"/>
    </row>
    <row r="1154" spans="19:53" x14ac:dyDescent="0.25">
      <c r="S1154" s="17"/>
      <c r="T1154" s="17"/>
      <c r="U1154" s="17"/>
      <c r="AI1154" s="17"/>
      <c r="AJ1154" s="17"/>
      <c r="AK1154" s="17"/>
      <c r="AY1154" s="17"/>
      <c r="AZ1154" s="17"/>
      <c r="BA1154" s="17"/>
    </row>
    <row r="1155" spans="19:53" x14ac:dyDescent="0.25">
      <c r="S1155" s="17"/>
      <c r="T1155" s="17"/>
      <c r="U1155" s="17"/>
      <c r="AI1155" s="17"/>
      <c r="AJ1155" s="17"/>
      <c r="AK1155" s="17"/>
      <c r="AY1155" s="17"/>
      <c r="AZ1155" s="17"/>
      <c r="BA1155" s="17"/>
    </row>
    <row r="1156" spans="19:53" x14ac:dyDescent="0.25">
      <c r="S1156" s="17"/>
      <c r="T1156" s="17"/>
      <c r="U1156" s="17"/>
      <c r="AI1156" s="17"/>
      <c r="AJ1156" s="17"/>
      <c r="AK1156" s="17"/>
      <c r="AY1156" s="17"/>
      <c r="AZ1156" s="17"/>
      <c r="BA1156" s="17"/>
    </row>
    <row r="1157" spans="19:53" x14ac:dyDescent="0.25">
      <c r="S1157" s="17"/>
      <c r="T1157" s="17"/>
      <c r="U1157" s="17"/>
      <c r="AI1157" s="17"/>
      <c r="AJ1157" s="17"/>
      <c r="AK1157" s="17"/>
      <c r="AY1157" s="17"/>
      <c r="AZ1157" s="17"/>
      <c r="BA1157" s="17"/>
    </row>
    <row r="1158" spans="19:53" x14ac:dyDescent="0.25">
      <c r="S1158" s="17"/>
      <c r="T1158" s="17"/>
      <c r="U1158" s="17"/>
      <c r="AI1158" s="17"/>
      <c r="AJ1158" s="17"/>
      <c r="AK1158" s="17"/>
      <c r="AY1158" s="17"/>
      <c r="AZ1158" s="17"/>
      <c r="BA1158" s="17"/>
    </row>
    <row r="1159" spans="19:53" x14ac:dyDescent="0.25">
      <c r="S1159" s="17"/>
      <c r="T1159" s="17"/>
      <c r="U1159" s="17"/>
      <c r="AI1159" s="17"/>
      <c r="AJ1159" s="17"/>
      <c r="AK1159" s="17"/>
      <c r="AY1159" s="17"/>
      <c r="AZ1159" s="17"/>
      <c r="BA1159" s="17"/>
    </row>
    <row r="1160" spans="19:53" x14ac:dyDescent="0.25">
      <c r="S1160" s="17"/>
      <c r="T1160" s="17"/>
      <c r="U1160" s="17"/>
      <c r="AI1160" s="17"/>
      <c r="AJ1160" s="17"/>
      <c r="AK1160" s="17"/>
      <c r="AY1160" s="17"/>
      <c r="AZ1160" s="17"/>
      <c r="BA1160" s="17"/>
    </row>
    <row r="1161" spans="19:53" x14ac:dyDescent="0.25">
      <c r="S1161" s="17"/>
      <c r="T1161" s="17"/>
      <c r="U1161" s="17"/>
      <c r="AI1161" s="17"/>
      <c r="AJ1161" s="17"/>
      <c r="AK1161" s="17"/>
      <c r="AY1161" s="17"/>
      <c r="AZ1161" s="17"/>
      <c r="BA1161" s="17"/>
    </row>
    <row r="1162" spans="19:53" x14ac:dyDescent="0.25">
      <c r="S1162" s="17"/>
      <c r="T1162" s="17"/>
      <c r="U1162" s="17"/>
      <c r="AI1162" s="17"/>
      <c r="AJ1162" s="17"/>
      <c r="AK1162" s="17"/>
      <c r="AY1162" s="17"/>
      <c r="AZ1162" s="17"/>
      <c r="BA1162" s="17"/>
    </row>
    <row r="1163" spans="19:53" x14ac:dyDescent="0.25">
      <c r="S1163" s="17"/>
      <c r="T1163" s="17"/>
      <c r="U1163" s="17"/>
      <c r="AI1163" s="17"/>
      <c r="AJ1163" s="17"/>
      <c r="AK1163" s="17"/>
      <c r="AY1163" s="17"/>
      <c r="AZ1163" s="17"/>
      <c r="BA1163" s="17"/>
    </row>
    <row r="1164" spans="19:53" x14ac:dyDescent="0.25">
      <c r="S1164" s="17"/>
      <c r="T1164" s="17"/>
      <c r="U1164" s="17"/>
      <c r="AI1164" s="17"/>
      <c r="AJ1164" s="17"/>
      <c r="AK1164" s="17"/>
      <c r="AY1164" s="17"/>
      <c r="AZ1164" s="17"/>
      <c r="BA1164" s="17"/>
    </row>
    <row r="1165" spans="19:53" x14ac:dyDescent="0.25">
      <c r="S1165" s="17"/>
      <c r="T1165" s="17"/>
      <c r="U1165" s="17"/>
      <c r="AI1165" s="17"/>
      <c r="AJ1165" s="17"/>
      <c r="AK1165" s="17"/>
      <c r="AY1165" s="17"/>
      <c r="AZ1165" s="17"/>
      <c r="BA1165" s="17"/>
    </row>
    <row r="1166" spans="19:53" x14ac:dyDescent="0.25">
      <c r="S1166" s="17"/>
      <c r="T1166" s="17"/>
      <c r="U1166" s="17"/>
      <c r="AI1166" s="17"/>
      <c r="AJ1166" s="17"/>
      <c r="AK1166" s="17"/>
      <c r="AY1166" s="17"/>
      <c r="AZ1166" s="17"/>
      <c r="BA1166" s="17"/>
    </row>
    <row r="1167" spans="19:53" x14ac:dyDescent="0.25">
      <c r="S1167" s="17"/>
      <c r="T1167" s="17"/>
      <c r="U1167" s="17"/>
      <c r="AI1167" s="17"/>
      <c r="AJ1167" s="17"/>
      <c r="AK1167" s="17"/>
      <c r="AY1167" s="17"/>
      <c r="AZ1167" s="17"/>
      <c r="BA1167" s="17"/>
    </row>
    <row r="1168" spans="19:53" x14ac:dyDescent="0.25">
      <c r="S1168" s="17"/>
      <c r="T1168" s="17"/>
      <c r="U1168" s="17"/>
      <c r="AI1168" s="17"/>
      <c r="AJ1168" s="17"/>
      <c r="AK1168" s="17"/>
      <c r="AY1168" s="17"/>
      <c r="AZ1168" s="17"/>
      <c r="BA1168" s="17"/>
    </row>
    <row r="1169" spans="19:53" x14ac:dyDescent="0.25">
      <c r="S1169" s="17"/>
      <c r="T1169" s="17"/>
      <c r="U1169" s="17"/>
      <c r="AI1169" s="17"/>
      <c r="AJ1169" s="17"/>
      <c r="AK1169" s="17"/>
      <c r="AY1169" s="17"/>
      <c r="AZ1169" s="17"/>
      <c r="BA1169" s="17"/>
    </row>
    <row r="1170" spans="19:53" x14ac:dyDescent="0.25">
      <c r="S1170" s="17"/>
      <c r="T1170" s="17"/>
      <c r="U1170" s="17"/>
      <c r="AI1170" s="17"/>
      <c r="AJ1170" s="17"/>
      <c r="AK1170" s="17"/>
      <c r="AY1170" s="17"/>
      <c r="AZ1170" s="17"/>
      <c r="BA1170" s="17"/>
    </row>
    <row r="1171" spans="19:53" x14ac:dyDescent="0.25">
      <c r="S1171" s="17"/>
      <c r="T1171" s="17"/>
      <c r="U1171" s="17"/>
      <c r="AI1171" s="17"/>
      <c r="AJ1171" s="17"/>
      <c r="AK1171" s="17"/>
      <c r="AY1171" s="17"/>
      <c r="AZ1171" s="17"/>
      <c r="BA1171" s="17"/>
    </row>
    <row r="1172" spans="19:53" x14ac:dyDescent="0.25">
      <c r="S1172" s="17"/>
      <c r="T1172" s="17"/>
      <c r="U1172" s="17"/>
      <c r="AI1172" s="17"/>
      <c r="AJ1172" s="17"/>
      <c r="AK1172" s="17"/>
      <c r="AY1172" s="17"/>
      <c r="AZ1172" s="17"/>
      <c r="BA1172" s="17"/>
    </row>
    <row r="1173" spans="19:53" x14ac:dyDescent="0.25">
      <c r="S1173" s="17"/>
      <c r="T1173" s="17"/>
      <c r="U1173" s="17"/>
      <c r="AI1173" s="17"/>
      <c r="AJ1173" s="17"/>
      <c r="AK1173" s="17"/>
      <c r="AY1173" s="17"/>
      <c r="AZ1173" s="17"/>
      <c r="BA1173" s="17"/>
    </row>
    <row r="1174" spans="19:53" x14ac:dyDescent="0.25">
      <c r="S1174" s="17"/>
      <c r="T1174" s="17"/>
      <c r="U1174" s="17"/>
      <c r="AI1174" s="17"/>
      <c r="AJ1174" s="17"/>
      <c r="AK1174" s="17"/>
      <c r="AY1174" s="17"/>
      <c r="AZ1174" s="17"/>
      <c r="BA1174" s="17"/>
    </row>
    <row r="1175" spans="19:53" x14ac:dyDescent="0.25">
      <c r="S1175" s="17"/>
      <c r="T1175" s="17"/>
      <c r="U1175" s="17"/>
      <c r="AI1175" s="17"/>
      <c r="AJ1175" s="17"/>
      <c r="AK1175" s="17"/>
      <c r="AY1175" s="17"/>
      <c r="AZ1175" s="17"/>
      <c r="BA1175" s="17"/>
    </row>
    <row r="1176" spans="19:53" x14ac:dyDescent="0.25">
      <c r="S1176" s="17"/>
      <c r="T1176" s="17"/>
      <c r="U1176" s="17"/>
      <c r="AI1176" s="17"/>
      <c r="AJ1176" s="17"/>
      <c r="AK1176" s="17"/>
      <c r="AY1176" s="17"/>
      <c r="AZ1176" s="17"/>
      <c r="BA1176" s="17"/>
    </row>
    <row r="1177" spans="19:53" x14ac:dyDescent="0.25">
      <c r="S1177" s="17"/>
      <c r="T1177" s="17"/>
      <c r="U1177" s="17"/>
      <c r="AI1177" s="17"/>
      <c r="AJ1177" s="17"/>
      <c r="AK1177" s="17"/>
      <c r="AY1177" s="17"/>
      <c r="AZ1177" s="17"/>
      <c r="BA1177" s="17"/>
    </row>
    <row r="1178" spans="19:53" x14ac:dyDescent="0.25">
      <c r="S1178" s="17"/>
      <c r="T1178" s="17"/>
      <c r="U1178" s="17"/>
      <c r="AI1178" s="17"/>
      <c r="AJ1178" s="17"/>
      <c r="AK1178" s="17"/>
      <c r="AY1178" s="17"/>
      <c r="AZ1178" s="17"/>
      <c r="BA1178" s="17"/>
    </row>
    <row r="1179" spans="19:53" x14ac:dyDescent="0.25">
      <c r="S1179" s="17"/>
      <c r="T1179" s="17"/>
      <c r="U1179" s="17"/>
      <c r="AI1179" s="17"/>
      <c r="AJ1179" s="17"/>
      <c r="AK1179" s="17"/>
      <c r="AY1179" s="17"/>
      <c r="AZ1179" s="17"/>
      <c r="BA1179" s="17"/>
    </row>
    <row r="1180" spans="19:53" x14ac:dyDescent="0.25">
      <c r="S1180" s="17"/>
      <c r="T1180" s="17"/>
      <c r="U1180" s="17"/>
      <c r="AI1180" s="17"/>
      <c r="AJ1180" s="17"/>
      <c r="AK1180" s="17"/>
      <c r="AY1180" s="17"/>
      <c r="AZ1180" s="17"/>
      <c r="BA1180" s="17"/>
    </row>
    <row r="1181" spans="19:53" x14ac:dyDescent="0.25">
      <c r="S1181" s="17"/>
      <c r="T1181" s="17"/>
      <c r="U1181" s="17"/>
      <c r="AI1181" s="17"/>
      <c r="AJ1181" s="17"/>
      <c r="AK1181" s="17"/>
      <c r="AY1181" s="17"/>
      <c r="AZ1181" s="17"/>
      <c r="BA1181" s="17"/>
    </row>
    <row r="1182" spans="19:53" x14ac:dyDescent="0.25">
      <c r="S1182" s="17"/>
      <c r="T1182" s="17"/>
      <c r="U1182" s="17"/>
      <c r="AI1182" s="17"/>
      <c r="AJ1182" s="17"/>
      <c r="AK1182" s="17"/>
      <c r="AY1182" s="17"/>
      <c r="AZ1182" s="17"/>
      <c r="BA1182" s="17"/>
    </row>
    <row r="1183" spans="19:53" x14ac:dyDescent="0.25">
      <c r="S1183" s="17"/>
      <c r="T1183" s="17"/>
      <c r="U1183" s="17"/>
      <c r="AI1183" s="17"/>
      <c r="AJ1183" s="17"/>
      <c r="AK1183" s="17"/>
      <c r="AY1183" s="17"/>
      <c r="AZ1183" s="17"/>
      <c r="BA1183" s="17"/>
    </row>
    <row r="1184" spans="19:53" x14ac:dyDescent="0.25">
      <c r="S1184" s="17"/>
      <c r="T1184" s="17"/>
      <c r="U1184" s="17"/>
      <c r="AI1184" s="17"/>
      <c r="AJ1184" s="17"/>
      <c r="AK1184" s="17"/>
      <c r="AY1184" s="17"/>
      <c r="AZ1184" s="17"/>
      <c r="BA1184" s="17"/>
    </row>
    <row r="1185" spans="19:53" x14ac:dyDescent="0.25">
      <c r="S1185" s="17"/>
      <c r="T1185" s="17"/>
      <c r="U1185" s="17"/>
      <c r="AI1185" s="17"/>
      <c r="AJ1185" s="17"/>
      <c r="AK1185" s="17"/>
      <c r="AY1185" s="17"/>
      <c r="AZ1185" s="17"/>
      <c r="BA1185" s="17"/>
    </row>
    <row r="1186" spans="19:53" x14ac:dyDescent="0.25">
      <c r="S1186" s="17"/>
      <c r="T1186" s="17"/>
      <c r="U1186" s="17"/>
      <c r="AI1186" s="17"/>
      <c r="AJ1186" s="17"/>
      <c r="AK1186" s="17"/>
      <c r="AY1186" s="17"/>
      <c r="AZ1186" s="17"/>
      <c r="BA1186" s="17"/>
    </row>
    <row r="1187" spans="19:53" x14ac:dyDescent="0.25">
      <c r="S1187" s="17"/>
      <c r="T1187" s="17"/>
      <c r="U1187" s="17"/>
      <c r="AI1187" s="17"/>
      <c r="AJ1187" s="17"/>
      <c r="AK1187" s="17"/>
      <c r="AY1187" s="17"/>
      <c r="AZ1187" s="17"/>
      <c r="BA1187" s="17"/>
    </row>
    <row r="1188" spans="19:53" x14ac:dyDescent="0.25">
      <c r="S1188" s="17"/>
      <c r="T1188" s="17"/>
      <c r="U1188" s="17"/>
      <c r="AI1188" s="17"/>
      <c r="AJ1188" s="17"/>
      <c r="AK1188" s="17"/>
      <c r="AY1188" s="17"/>
      <c r="AZ1188" s="17"/>
      <c r="BA1188" s="17"/>
    </row>
    <row r="1189" spans="19:53" x14ac:dyDescent="0.25">
      <c r="S1189" s="17"/>
      <c r="T1189" s="17"/>
      <c r="U1189" s="17"/>
      <c r="AI1189" s="17"/>
      <c r="AJ1189" s="17"/>
      <c r="AK1189" s="17"/>
      <c r="AY1189" s="17"/>
      <c r="AZ1189" s="17"/>
      <c r="BA1189" s="17"/>
    </row>
    <row r="1190" spans="19:53" x14ac:dyDescent="0.25">
      <c r="S1190" s="17"/>
      <c r="T1190" s="17"/>
      <c r="U1190" s="17"/>
      <c r="AI1190" s="17"/>
      <c r="AJ1190" s="17"/>
      <c r="AK1190" s="17"/>
      <c r="AY1190" s="17"/>
      <c r="AZ1190" s="17"/>
      <c r="BA1190" s="17"/>
    </row>
    <row r="1191" spans="19:53" x14ac:dyDescent="0.25">
      <c r="S1191" s="17"/>
      <c r="T1191" s="17"/>
      <c r="U1191" s="17"/>
      <c r="AI1191" s="17"/>
      <c r="AJ1191" s="17"/>
      <c r="AK1191" s="17"/>
      <c r="AY1191" s="17"/>
      <c r="AZ1191" s="17"/>
      <c r="BA1191" s="17"/>
    </row>
    <row r="1192" spans="19:53" x14ac:dyDescent="0.25">
      <c r="S1192" s="17"/>
      <c r="T1192" s="17"/>
      <c r="U1192" s="17"/>
      <c r="AI1192" s="17"/>
      <c r="AJ1192" s="17"/>
      <c r="AK1192" s="17"/>
      <c r="AY1192" s="17"/>
      <c r="AZ1192" s="17"/>
      <c r="BA1192" s="17"/>
    </row>
    <row r="1193" spans="19:53" x14ac:dyDescent="0.25">
      <c r="S1193" s="17"/>
      <c r="T1193" s="17"/>
      <c r="U1193" s="17"/>
      <c r="AI1193" s="17"/>
      <c r="AJ1193" s="17"/>
      <c r="AK1193" s="17"/>
      <c r="AY1193" s="17"/>
      <c r="AZ1193" s="17"/>
      <c r="BA1193" s="17"/>
    </row>
    <row r="1194" spans="19:53" x14ac:dyDescent="0.25">
      <c r="S1194" s="17"/>
      <c r="T1194" s="17"/>
      <c r="U1194" s="17"/>
      <c r="AI1194" s="17"/>
      <c r="AJ1194" s="17"/>
      <c r="AK1194" s="17"/>
      <c r="AY1194" s="17"/>
      <c r="AZ1194" s="17"/>
      <c r="BA1194" s="17"/>
    </row>
    <row r="1195" spans="19:53" x14ac:dyDescent="0.25">
      <c r="S1195" s="17"/>
      <c r="T1195" s="17"/>
      <c r="U1195" s="17"/>
      <c r="AI1195" s="17"/>
      <c r="AJ1195" s="17"/>
      <c r="AK1195" s="17"/>
      <c r="AY1195" s="17"/>
      <c r="AZ1195" s="17"/>
      <c r="BA1195" s="17"/>
    </row>
    <row r="1196" spans="19:53" x14ac:dyDescent="0.25">
      <c r="S1196" s="17"/>
      <c r="T1196" s="17"/>
      <c r="U1196" s="17"/>
      <c r="AI1196" s="17"/>
      <c r="AJ1196" s="17"/>
      <c r="AK1196" s="17"/>
      <c r="AY1196" s="17"/>
      <c r="AZ1196" s="17"/>
      <c r="BA1196" s="17"/>
    </row>
    <row r="1197" spans="19:53" x14ac:dyDescent="0.25">
      <c r="S1197" s="17"/>
      <c r="T1197" s="17"/>
      <c r="U1197" s="17"/>
      <c r="AI1197" s="17"/>
      <c r="AJ1197" s="17"/>
      <c r="AK1197" s="17"/>
      <c r="AY1197" s="17"/>
      <c r="AZ1197" s="17"/>
      <c r="BA1197" s="17"/>
    </row>
    <row r="1198" spans="19:53" x14ac:dyDescent="0.25">
      <c r="S1198" s="17"/>
      <c r="T1198" s="17"/>
      <c r="U1198" s="17"/>
      <c r="AI1198" s="17"/>
      <c r="AJ1198" s="17"/>
      <c r="AK1198" s="17"/>
      <c r="AY1198" s="17"/>
      <c r="AZ1198" s="17"/>
      <c r="BA1198" s="17"/>
    </row>
    <row r="1199" spans="19:53" x14ac:dyDescent="0.25">
      <c r="S1199" s="17"/>
      <c r="T1199" s="17"/>
      <c r="U1199" s="17"/>
      <c r="AI1199" s="17"/>
      <c r="AJ1199" s="17"/>
      <c r="AK1199" s="17"/>
      <c r="AY1199" s="17"/>
      <c r="AZ1199" s="17"/>
      <c r="BA1199" s="17"/>
    </row>
    <row r="1200" spans="19:53" x14ac:dyDescent="0.25">
      <c r="S1200" s="17"/>
      <c r="T1200" s="17"/>
      <c r="U1200" s="17"/>
      <c r="AI1200" s="17"/>
      <c r="AJ1200" s="17"/>
      <c r="AK1200" s="17"/>
      <c r="AY1200" s="17"/>
      <c r="AZ1200" s="17"/>
      <c r="BA1200" s="17"/>
    </row>
    <row r="1201" spans="19:53" x14ac:dyDescent="0.25">
      <c r="S1201" s="17"/>
      <c r="T1201" s="17"/>
      <c r="U1201" s="17"/>
      <c r="AI1201" s="17"/>
      <c r="AJ1201" s="17"/>
      <c r="AK1201" s="17"/>
      <c r="AY1201" s="17"/>
      <c r="AZ1201" s="17"/>
      <c r="BA1201" s="17"/>
    </row>
    <row r="1202" spans="19:53" x14ac:dyDescent="0.25">
      <c r="S1202" s="17"/>
      <c r="T1202" s="17"/>
      <c r="U1202" s="17"/>
      <c r="AI1202" s="17"/>
      <c r="AJ1202" s="17"/>
      <c r="AK1202" s="17"/>
      <c r="AY1202" s="17"/>
      <c r="AZ1202" s="17"/>
      <c r="BA1202" s="17"/>
    </row>
    <row r="1203" spans="19:53" x14ac:dyDescent="0.25">
      <c r="S1203" s="17"/>
      <c r="T1203" s="17"/>
      <c r="U1203" s="17"/>
      <c r="AI1203" s="17"/>
      <c r="AJ1203" s="17"/>
      <c r="AK1203" s="17"/>
      <c r="AY1203" s="17"/>
      <c r="AZ1203" s="17"/>
      <c r="BA1203" s="17"/>
    </row>
    <row r="1204" spans="19:53" x14ac:dyDescent="0.25">
      <c r="S1204" s="17"/>
      <c r="T1204" s="17"/>
      <c r="U1204" s="17"/>
      <c r="AI1204" s="17"/>
      <c r="AJ1204" s="17"/>
      <c r="AK1204" s="17"/>
      <c r="AY1204" s="17"/>
      <c r="AZ1204" s="17"/>
      <c r="BA1204" s="17"/>
    </row>
    <row r="1205" spans="19:53" x14ac:dyDescent="0.25">
      <c r="S1205" s="17"/>
      <c r="T1205" s="17"/>
      <c r="U1205" s="17"/>
      <c r="AI1205" s="17"/>
      <c r="AJ1205" s="17"/>
      <c r="AK1205" s="17"/>
      <c r="AY1205" s="17"/>
      <c r="AZ1205" s="17"/>
      <c r="BA1205" s="17"/>
    </row>
    <row r="1206" spans="19:53" x14ac:dyDescent="0.25">
      <c r="S1206" s="17"/>
      <c r="T1206" s="17"/>
      <c r="U1206" s="17"/>
      <c r="AI1206" s="17"/>
      <c r="AJ1206" s="17"/>
      <c r="AK1206" s="17"/>
      <c r="AY1206" s="17"/>
      <c r="AZ1206" s="17"/>
      <c r="BA1206" s="17"/>
    </row>
    <row r="1207" spans="19:53" x14ac:dyDescent="0.25">
      <c r="S1207" s="17"/>
      <c r="T1207" s="17"/>
      <c r="U1207" s="17"/>
      <c r="AI1207" s="17"/>
      <c r="AJ1207" s="17"/>
      <c r="AK1207" s="17"/>
      <c r="AY1207" s="17"/>
      <c r="AZ1207" s="17"/>
      <c r="BA1207" s="17"/>
    </row>
    <row r="1208" spans="19:53" x14ac:dyDescent="0.25">
      <c r="S1208" s="17"/>
      <c r="T1208" s="17"/>
      <c r="U1208" s="17"/>
      <c r="AI1208" s="17"/>
      <c r="AJ1208" s="17"/>
      <c r="AK1208" s="17"/>
      <c r="AY1208" s="17"/>
      <c r="AZ1208" s="17"/>
      <c r="BA1208" s="17"/>
    </row>
    <row r="1209" spans="19:53" x14ac:dyDescent="0.25">
      <c r="S1209" s="17"/>
      <c r="T1209" s="17"/>
      <c r="U1209" s="17"/>
      <c r="AI1209" s="17"/>
      <c r="AJ1209" s="17"/>
      <c r="AK1209" s="17"/>
      <c r="AY1209" s="17"/>
      <c r="AZ1209" s="17"/>
      <c r="BA1209" s="17"/>
    </row>
    <row r="1210" spans="19:53" x14ac:dyDescent="0.25">
      <c r="S1210" s="17"/>
      <c r="T1210" s="17"/>
      <c r="U1210" s="17"/>
      <c r="AI1210" s="17"/>
      <c r="AJ1210" s="17"/>
      <c r="AK1210" s="17"/>
      <c r="AY1210" s="17"/>
      <c r="AZ1210" s="17"/>
      <c r="BA1210" s="17"/>
    </row>
    <row r="1211" spans="19:53" x14ac:dyDescent="0.25">
      <c r="S1211" s="17"/>
      <c r="T1211" s="17"/>
      <c r="U1211" s="17"/>
      <c r="AI1211" s="17"/>
      <c r="AJ1211" s="17"/>
      <c r="AK1211" s="17"/>
      <c r="AY1211" s="17"/>
      <c r="AZ1211" s="17"/>
      <c r="BA1211" s="17"/>
    </row>
    <row r="1212" spans="19:53" x14ac:dyDescent="0.25">
      <c r="S1212" s="17"/>
      <c r="T1212" s="17"/>
      <c r="U1212" s="17"/>
      <c r="AI1212" s="17"/>
      <c r="AJ1212" s="17"/>
      <c r="AK1212" s="17"/>
      <c r="AY1212" s="17"/>
      <c r="AZ1212" s="17"/>
      <c r="BA1212" s="17"/>
    </row>
    <row r="1213" spans="19:53" x14ac:dyDescent="0.25">
      <c r="S1213" s="17"/>
      <c r="T1213" s="17"/>
      <c r="U1213" s="17"/>
      <c r="AI1213" s="17"/>
      <c r="AJ1213" s="17"/>
      <c r="AK1213" s="17"/>
      <c r="AY1213" s="17"/>
      <c r="AZ1213" s="17"/>
      <c r="BA1213" s="17"/>
    </row>
    <row r="1214" spans="19:53" x14ac:dyDescent="0.25">
      <c r="S1214" s="17"/>
      <c r="T1214" s="17"/>
      <c r="U1214" s="17"/>
      <c r="AI1214" s="17"/>
      <c r="AJ1214" s="17"/>
      <c r="AK1214" s="17"/>
      <c r="AY1214" s="17"/>
      <c r="AZ1214" s="17"/>
      <c r="BA1214" s="17"/>
    </row>
    <row r="1215" spans="19:53" x14ac:dyDescent="0.25">
      <c r="S1215" s="17"/>
      <c r="T1215" s="17"/>
      <c r="U1215" s="17"/>
      <c r="AI1215" s="17"/>
      <c r="AJ1215" s="17"/>
      <c r="AK1215" s="17"/>
      <c r="AY1215" s="17"/>
      <c r="AZ1215" s="17"/>
      <c r="BA1215" s="17"/>
    </row>
    <row r="1216" spans="19:53" x14ac:dyDescent="0.25">
      <c r="S1216" s="17"/>
      <c r="T1216" s="17"/>
      <c r="U1216" s="17"/>
      <c r="AI1216" s="17"/>
      <c r="AJ1216" s="17"/>
      <c r="AK1216" s="17"/>
      <c r="AY1216" s="17"/>
      <c r="AZ1216" s="17"/>
      <c r="BA1216" s="17"/>
    </row>
    <row r="1217" spans="19:53" x14ac:dyDescent="0.25">
      <c r="S1217" s="17"/>
      <c r="T1217" s="17"/>
      <c r="U1217" s="17"/>
      <c r="AI1217" s="17"/>
      <c r="AJ1217" s="17"/>
      <c r="AK1217" s="17"/>
      <c r="AY1217" s="17"/>
      <c r="AZ1217" s="17"/>
      <c r="BA1217" s="17"/>
    </row>
    <row r="1218" spans="19:53" x14ac:dyDescent="0.25">
      <c r="S1218" s="17"/>
      <c r="T1218" s="17"/>
      <c r="U1218" s="17"/>
      <c r="AI1218" s="17"/>
      <c r="AJ1218" s="17"/>
      <c r="AK1218" s="17"/>
      <c r="AY1218" s="17"/>
      <c r="AZ1218" s="17"/>
      <c r="BA1218" s="17"/>
    </row>
    <row r="1219" spans="19:53" x14ac:dyDescent="0.25">
      <c r="S1219" s="17"/>
      <c r="T1219" s="17"/>
      <c r="U1219" s="17"/>
      <c r="AI1219" s="17"/>
      <c r="AJ1219" s="17"/>
      <c r="AK1219" s="17"/>
      <c r="AY1219" s="17"/>
      <c r="AZ1219" s="17"/>
      <c r="BA1219" s="17"/>
    </row>
    <row r="1220" spans="19:53" x14ac:dyDescent="0.25">
      <c r="S1220" s="17"/>
      <c r="T1220" s="17"/>
      <c r="U1220" s="17"/>
      <c r="AI1220" s="17"/>
      <c r="AJ1220" s="17"/>
      <c r="AK1220" s="17"/>
      <c r="AY1220" s="17"/>
      <c r="AZ1220" s="17"/>
      <c r="BA1220" s="17"/>
    </row>
    <row r="1221" spans="19:53" x14ac:dyDescent="0.25">
      <c r="S1221" s="17"/>
      <c r="T1221" s="17"/>
      <c r="U1221" s="17"/>
      <c r="AI1221" s="17"/>
      <c r="AJ1221" s="17"/>
      <c r="AK1221" s="17"/>
      <c r="AY1221" s="17"/>
      <c r="AZ1221" s="17"/>
      <c r="BA1221" s="17"/>
    </row>
    <row r="1222" spans="19:53" x14ac:dyDescent="0.25">
      <c r="S1222" s="17"/>
      <c r="T1222" s="17"/>
      <c r="U1222" s="17"/>
      <c r="AI1222" s="17"/>
      <c r="AJ1222" s="17"/>
      <c r="AK1222" s="17"/>
      <c r="AY1222" s="17"/>
      <c r="AZ1222" s="17"/>
      <c r="BA1222" s="17"/>
    </row>
    <row r="1223" spans="19:53" x14ac:dyDescent="0.25">
      <c r="S1223" s="17"/>
      <c r="T1223" s="17"/>
      <c r="U1223" s="17"/>
      <c r="AI1223" s="17"/>
      <c r="AJ1223" s="17"/>
      <c r="AK1223" s="17"/>
      <c r="AY1223" s="17"/>
      <c r="AZ1223" s="17"/>
      <c r="BA1223" s="17"/>
    </row>
    <row r="1224" spans="19:53" x14ac:dyDescent="0.25">
      <c r="S1224" s="17"/>
      <c r="T1224" s="17"/>
      <c r="U1224" s="17"/>
      <c r="AI1224" s="17"/>
      <c r="AJ1224" s="17"/>
      <c r="AK1224" s="17"/>
      <c r="AY1224" s="17"/>
      <c r="AZ1224" s="17"/>
      <c r="BA1224" s="17"/>
    </row>
    <row r="1225" spans="19:53" x14ac:dyDescent="0.25">
      <c r="S1225" s="17"/>
      <c r="T1225" s="17"/>
      <c r="U1225" s="17"/>
      <c r="AI1225" s="17"/>
      <c r="AJ1225" s="17"/>
      <c r="AK1225" s="17"/>
      <c r="AY1225" s="17"/>
      <c r="AZ1225" s="17"/>
      <c r="BA1225" s="17"/>
    </row>
    <row r="1226" spans="19:53" x14ac:dyDescent="0.25">
      <c r="S1226" s="17"/>
      <c r="T1226" s="17"/>
      <c r="U1226" s="17"/>
      <c r="AI1226" s="17"/>
      <c r="AJ1226" s="17"/>
      <c r="AK1226" s="17"/>
      <c r="AY1226" s="17"/>
      <c r="AZ1226" s="17"/>
      <c r="BA1226" s="17"/>
    </row>
    <row r="1227" spans="19:53" x14ac:dyDescent="0.25">
      <c r="S1227" s="17"/>
      <c r="T1227" s="17"/>
      <c r="U1227" s="17"/>
      <c r="AI1227" s="17"/>
      <c r="AJ1227" s="17"/>
      <c r="AK1227" s="17"/>
      <c r="AY1227" s="17"/>
      <c r="AZ1227" s="17"/>
      <c r="BA1227" s="17"/>
    </row>
    <row r="1228" spans="19:53" x14ac:dyDescent="0.25">
      <c r="S1228" s="17"/>
      <c r="T1228" s="17"/>
      <c r="U1228" s="17"/>
      <c r="AI1228" s="17"/>
      <c r="AJ1228" s="17"/>
      <c r="AK1228" s="17"/>
      <c r="AY1228" s="17"/>
      <c r="AZ1228" s="17"/>
      <c r="BA1228" s="17"/>
    </row>
    <row r="1229" spans="19:53" x14ac:dyDescent="0.25">
      <c r="S1229" s="17"/>
      <c r="T1229" s="17"/>
      <c r="U1229" s="17"/>
      <c r="AI1229" s="17"/>
      <c r="AJ1229" s="17"/>
      <c r="AK1229" s="17"/>
      <c r="AY1229" s="17"/>
      <c r="AZ1229" s="17"/>
      <c r="BA1229" s="17"/>
    </row>
    <row r="1230" spans="19:53" x14ac:dyDescent="0.25">
      <c r="S1230" s="17"/>
      <c r="T1230" s="17"/>
      <c r="U1230" s="17"/>
      <c r="AI1230" s="17"/>
      <c r="AJ1230" s="17"/>
      <c r="AK1230" s="17"/>
      <c r="AY1230" s="17"/>
      <c r="AZ1230" s="17"/>
      <c r="BA1230" s="17"/>
    </row>
    <row r="1231" spans="19:53" x14ac:dyDescent="0.25">
      <c r="S1231" s="17"/>
      <c r="T1231" s="17"/>
      <c r="U1231" s="17"/>
      <c r="AI1231" s="17"/>
      <c r="AJ1231" s="17"/>
      <c r="AK1231" s="17"/>
      <c r="AY1231" s="17"/>
      <c r="AZ1231" s="17"/>
      <c r="BA1231" s="17"/>
    </row>
    <row r="1232" spans="19:53" x14ac:dyDescent="0.25">
      <c r="S1232" s="17"/>
      <c r="T1232" s="17"/>
      <c r="U1232" s="17"/>
      <c r="AI1232" s="17"/>
      <c r="AJ1232" s="17"/>
      <c r="AK1232" s="17"/>
      <c r="AY1232" s="17"/>
      <c r="AZ1232" s="17"/>
      <c r="BA1232" s="17"/>
    </row>
    <row r="1233" spans="19:53" x14ac:dyDescent="0.25">
      <c r="S1233" s="17"/>
      <c r="T1233" s="17"/>
      <c r="U1233" s="17"/>
      <c r="AI1233" s="17"/>
      <c r="AJ1233" s="17"/>
      <c r="AK1233" s="17"/>
      <c r="AY1233" s="17"/>
      <c r="AZ1233" s="17"/>
      <c r="BA1233" s="17"/>
    </row>
    <row r="1234" spans="19:53" x14ac:dyDescent="0.25">
      <c r="S1234" s="17"/>
      <c r="T1234" s="17"/>
      <c r="U1234" s="17"/>
      <c r="AI1234" s="17"/>
      <c r="AJ1234" s="17"/>
      <c r="AK1234" s="17"/>
      <c r="AY1234" s="17"/>
      <c r="AZ1234" s="17"/>
      <c r="BA1234" s="17"/>
    </row>
    <row r="1235" spans="19:53" x14ac:dyDescent="0.25">
      <c r="S1235" s="17"/>
      <c r="T1235" s="17"/>
      <c r="U1235" s="17"/>
      <c r="AI1235" s="17"/>
      <c r="AJ1235" s="17"/>
      <c r="AK1235" s="17"/>
      <c r="AY1235" s="17"/>
      <c r="AZ1235" s="17"/>
      <c r="BA1235" s="17"/>
    </row>
    <row r="1236" spans="19:53" x14ac:dyDescent="0.25">
      <c r="S1236" s="17"/>
      <c r="T1236" s="17"/>
      <c r="U1236" s="17"/>
      <c r="AI1236" s="17"/>
      <c r="AJ1236" s="17"/>
      <c r="AK1236" s="17"/>
      <c r="AY1236" s="17"/>
      <c r="AZ1236" s="17"/>
      <c r="BA1236" s="17"/>
    </row>
    <row r="1237" spans="19:53" x14ac:dyDescent="0.25">
      <c r="S1237" s="17"/>
      <c r="T1237" s="17"/>
      <c r="U1237" s="17"/>
      <c r="AI1237" s="17"/>
      <c r="AJ1237" s="17"/>
      <c r="AK1237" s="17"/>
      <c r="AY1237" s="17"/>
      <c r="AZ1237" s="17"/>
      <c r="BA1237" s="17"/>
    </row>
    <row r="1238" spans="19:53" x14ac:dyDescent="0.25">
      <c r="S1238" s="17"/>
      <c r="T1238" s="17"/>
      <c r="U1238" s="17"/>
      <c r="AI1238" s="17"/>
      <c r="AJ1238" s="17"/>
      <c r="AK1238" s="17"/>
      <c r="AY1238" s="17"/>
      <c r="AZ1238" s="17"/>
      <c r="BA1238" s="17"/>
    </row>
    <row r="1239" spans="19:53" x14ac:dyDescent="0.25">
      <c r="S1239" s="17"/>
      <c r="T1239" s="17"/>
      <c r="U1239" s="17"/>
      <c r="AI1239" s="17"/>
      <c r="AJ1239" s="17"/>
      <c r="AK1239" s="17"/>
      <c r="AY1239" s="17"/>
      <c r="AZ1239" s="17"/>
      <c r="BA1239" s="17"/>
    </row>
    <row r="1240" spans="19:53" x14ac:dyDescent="0.25">
      <c r="S1240" s="17"/>
      <c r="T1240" s="17"/>
      <c r="U1240" s="17"/>
      <c r="AI1240" s="17"/>
      <c r="AJ1240" s="17"/>
      <c r="AK1240" s="17"/>
      <c r="AY1240" s="17"/>
      <c r="AZ1240" s="17"/>
      <c r="BA1240" s="17"/>
    </row>
    <row r="1241" spans="19:53" x14ac:dyDescent="0.25">
      <c r="S1241" s="17"/>
      <c r="T1241" s="17"/>
      <c r="U1241" s="17"/>
      <c r="AI1241" s="17"/>
      <c r="AJ1241" s="17"/>
      <c r="AK1241" s="17"/>
      <c r="AY1241" s="17"/>
      <c r="AZ1241" s="17"/>
      <c r="BA1241" s="17"/>
    </row>
    <row r="1242" spans="19:53" x14ac:dyDescent="0.25">
      <c r="S1242" s="17"/>
      <c r="T1242" s="17"/>
      <c r="U1242" s="17"/>
      <c r="AI1242" s="17"/>
      <c r="AJ1242" s="17"/>
      <c r="AK1242" s="17"/>
      <c r="AY1242" s="17"/>
      <c r="AZ1242" s="17"/>
      <c r="BA1242" s="17"/>
    </row>
    <row r="1243" spans="19:53" x14ac:dyDescent="0.25">
      <c r="S1243" s="17"/>
      <c r="T1243" s="17"/>
      <c r="U1243" s="17"/>
      <c r="AI1243" s="17"/>
      <c r="AJ1243" s="17"/>
      <c r="AK1243" s="17"/>
      <c r="AY1243" s="17"/>
      <c r="AZ1243" s="17"/>
      <c r="BA1243" s="17"/>
    </row>
    <row r="1244" spans="19:53" x14ac:dyDescent="0.25">
      <c r="S1244" s="17"/>
      <c r="T1244" s="17"/>
      <c r="U1244" s="17"/>
      <c r="AI1244" s="17"/>
      <c r="AJ1244" s="17"/>
      <c r="AK1244" s="17"/>
      <c r="AY1244" s="17"/>
      <c r="AZ1244" s="17"/>
      <c r="BA1244" s="17"/>
    </row>
    <row r="1245" spans="19:53" x14ac:dyDescent="0.25">
      <c r="S1245" s="17"/>
      <c r="T1245" s="17"/>
      <c r="U1245" s="17"/>
      <c r="AI1245" s="17"/>
      <c r="AJ1245" s="17"/>
      <c r="AK1245" s="17"/>
      <c r="AY1245" s="17"/>
      <c r="AZ1245" s="17"/>
      <c r="BA1245" s="17"/>
    </row>
    <row r="1246" spans="19:53" x14ac:dyDescent="0.25">
      <c r="S1246" s="17"/>
      <c r="T1246" s="17"/>
      <c r="U1246" s="17"/>
      <c r="AI1246" s="17"/>
      <c r="AJ1246" s="17"/>
      <c r="AK1246" s="17"/>
      <c r="AY1246" s="17"/>
      <c r="AZ1246" s="17"/>
      <c r="BA1246" s="17"/>
    </row>
    <row r="1247" spans="19:53" x14ac:dyDescent="0.25">
      <c r="S1247" s="17"/>
      <c r="T1247" s="17"/>
      <c r="U1247" s="17"/>
      <c r="AI1247" s="17"/>
      <c r="AJ1247" s="17"/>
      <c r="AK1247" s="17"/>
      <c r="AY1247" s="17"/>
      <c r="AZ1247" s="17"/>
      <c r="BA1247" s="17"/>
    </row>
    <row r="1248" spans="19:53" x14ac:dyDescent="0.25">
      <c r="S1248" s="17"/>
      <c r="T1248" s="17"/>
      <c r="U1248" s="17"/>
      <c r="AI1248" s="17"/>
      <c r="AJ1248" s="17"/>
      <c r="AK1248" s="17"/>
      <c r="AY1248" s="17"/>
      <c r="AZ1248" s="17"/>
      <c r="BA1248" s="17"/>
    </row>
    <row r="1249" spans="19:53" x14ac:dyDescent="0.25">
      <c r="S1249" s="17"/>
      <c r="T1249" s="17"/>
      <c r="U1249" s="17"/>
      <c r="AI1249" s="17"/>
      <c r="AJ1249" s="17"/>
      <c r="AK1249" s="17"/>
      <c r="AY1249" s="17"/>
      <c r="AZ1249" s="17"/>
      <c r="BA1249" s="17"/>
    </row>
    <row r="1250" spans="19:53" x14ac:dyDescent="0.25">
      <c r="S1250" s="17"/>
      <c r="T1250" s="17"/>
      <c r="U1250" s="17"/>
      <c r="AI1250" s="17"/>
      <c r="AJ1250" s="17"/>
      <c r="AK1250" s="17"/>
      <c r="AY1250" s="17"/>
      <c r="AZ1250" s="17"/>
      <c r="BA1250" s="17"/>
    </row>
    <row r="1251" spans="19:53" x14ac:dyDescent="0.25">
      <c r="S1251" s="17"/>
      <c r="T1251" s="17"/>
      <c r="U1251" s="17"/>
      <c r="AI1251" s="17"/>
      <c r="AJ1251" s="17"/>
      <c r="AK1251" s="17"/>
      <c r="AY1251" s="17"/>
      <c r="AZ1251" s="17"/>
      <c r="BA1251" s="17"/>
    </row>
    <row r="1252" spans="19:53" x14ac:dyDescent="0.25">
      <c r="S1252" s="17"/>
      <c r="T1252" s="17"/>
      <c r="U1252" s="17"/>
      <c r="AI1252" s="17"/>
      <c r="AJ1252" s="17"/>
      <c r="AK1252" s="17"/>
      <c r="AY1252" s="17"/>
      <c r="AZ1252" s="17"/>
      <c r="BA1252" s="17"/>
    </row>
    <row r="1253" spans="19:53" x14ac:dyDescent="0.25">
      <c r="S1253" s="17"/>
      <c r="T1253" s="17"/>
      <c r="U1253" s="17"/>
      <c r="AI1253" s="17"/>
      <c r="AJ1253" s="17"/>
      <c r="AK1253" s="17"/>
      <c r="AY1253" s="17"/>
      <c r="AZ1253" s="17"/>
      <c r="BA1253" s="17"/>
    </row>
    <row r="1254" spans="19:53" x14ac:dyDescent="0.25">
      <c r="S1254" s="17"/>
      <c r="T1254" s="17"/>
      <c r="U1254" s="17"/>
      <c r="AI1254" s="17"/>
      <c r="AJ1254" s="17"/>
      <c r="AK1254" s="17"/>
      <c r="AY1254" s="17"/>
      <c r="AZ1254" s="17"/>
      <c r="BA1254" s="17"/>
    </row>
    <row r="1255" spans="19:53" x14ac:dyDescent="0.25">
      <c r="S1255" s="17"/>
      <c r="T1255" s="17"/>
      <c r="U1255" s="17"/>
      <c r="AI1255" s="17"/>
      <c r="AJ1255" s="17"/>
      <c r="AK1255" s="17"/>
      <c r="AY1255" s="17"/>
      <c r="AZ1255" s="17"/>
      <c r="BA1255" s="17"/>
    </row>
    <row r="1256" spans="19:53" x14ac:dyDescent="0.25">
      <c r="S1256" s="17"/>
      <c r="T1256" s="17"/>
      <c r="U1256" s="17"/>
      <c r="AI1256" s="17"/>
      <c r="AJ1256" s="17"/>
      <c r="AK1256" s="17"/>
      <c r="AY1256" s="17"/>
      <c r="AZ1256" s="17"/>
      <c r="BA1256" s="17"/>
    </row>
    <row r="1257" spans="19:53" x14ac:dyDescent="0.25">
      <c r="S1257" s="17"/>
      <c r="T1257" s="17"/>
      <c r="U1257" s="17"/>
      <c r="AI1257" s="17"/>
      <c r="AJ1257" s="17"/>
      <c r="AK1257" s="17"/>
      <c r="AY1257" s="17"/>
      <c r="AZ1257" s="17"/>
      <c r="BA1257" s="17"/>
    </row>
    <row r="1258" spans="19:53" x14ac:dyDescent="0.25">
      <c r="S1258" s="17"/>
      <c r="T1258" s="17"/>
      <c r="U1258" s="17"/>
      <c r="AI1258" s="17"/>
      <c r="AJ1258" s="17"/>
      <c r="AK1258" s="17"/>
      <c r="AY1258" s="17"/>
      <c r="AZ1258" s="17"/>
      <c r="BA1258" s="17"/>
    </row>
    <row r="1259" spans="19:53" x14ac:dyDescent="0.25">
      <c r="S1259" s="17"/>
      <c r="T1259" s="17"/>
      <c r="U1259" s="17"/>
      <c r="AI1259" s="17"/>
      <c r="AJ1259" s="17"/>
      <c r="AK1259" s="17"/>
      <c r="AY1259" s="17"/>
      <c r="AZ1259" s="17"/>
      <c r="BA1259" s="17"/>
    </row>
    <row r="1260" spans="19:53" x14ac:dyDescent="0.25">
      <c r="S1260" s="17"/>
      <c r="T1260" s="17"/>
      <c r="U1260" s="17"/>
      <c r="AI1260" s="17"/>
      <c r="AJ1260" s="17"/>
      <c r="AK1260" s="17"/>
      <c r="AY1260" s="17"/>
      <c r="AZ1260" s="17"/>
      <c r="BA1260" s="17"/>
    </row>
    <row r="1261" spans="19:53" x14ac:dyDescent="0.25">
      <c r="S1261" s="17"/>
      <c r="T1261" s="17"/>
      <c r="U1261" s="17"/>
      <c r="AI1261" s="17"/>
      <c r="AJ1261" s="17"/>
      <c r="AK1261" s="17"/>
      <c r="AY1261" s="17"/>
      <c r="AZ1261" s="17"/>
      <c r="BA1261" s="17"/>
    </row>
    <row r="1262" spans="19:53" x14ac:dyDescent="0.25">
      <c r="S1262" s="17"/>
      <c r="T1262" s="17"/>
      <c r="U1262" s="17"/>
      <c r="AI1262" s="17"/>
      <c r="AJ1262" s="17"/>
      <c r="AK1262" s="17"/>
      <c r="AY1262" s="17"/>
      <c r="AZ1262" s="17"/>
      <c r="BA1262" s="17"/>
    </row>
    <row r="1263" spans="19:53" x14ac:dyDescent="0.25">
      <c r="S1263" s="17"/>
      <c r="T1263" s="17"/>
      <c r="U1263" s="17"/>
      <c r="AI1263" s="17"/>
      <c r="AJ1263" s="17"/>
      <c r="AK1263" s="17"/>
      <c r="AY1263" s="17"/>
      <c r="AZ1263" s="17"/>
      <c r="BA1263" s="17"/>
    </row>
    <row r="1264" spans="19:53" x14ac:dyDescent="0.25">
      <c r="S1264" s="17"/>
      <c r="T1264" s="17"/>
      <c r="U1264" s="17"/>
      <c r="AI1264" s="17"/>
      <c r="AJ1264" s="17"/>
      <c r="AK1264" s="17"/>
      <c r="AY1264" s="17"/>
      <c r="AZ1264" s="17"/>
      <c r="BA1264" s="17"/>
    </row>
    <row r="1265" spans="19:53" x14ac:dyDescent="0.25">
      <c r="S1265" s="17"/>
      <c r="T1265" s="17"/>
      <c r="U1265" s="17"/>
      <c r="AI1265" s="17"/>
      <c r="AJ1265" s="17"/>
      <c r="AK1265" s="17"/>
      <c r="AY1265" s="17"/>
      <c r="AZ1265" s="17"/>
      <c r="BA1265" s="17"/>
    </row>
    <row r="1266" spans="19:53" x14ac:dyDescent="0.25">
      <c r="S1266" s="17"/>
      <c r="T1266" s="17"/>
      <c r="U1266" s="17"/>
      <c r="AI1266" s="17"/>
      <c r="AJ1266" s="17"/>
      <c r="AK1266" s="17"/>
      <c r="AY1266" s="17"/>
      <c r="AZ1266" s="17"/>
      <c r="BA1266" s="17"/>
    </row>
    <row r="1267" spans="19:53" x14ac:dyDescent="0.25">
      <c r="S1267" s="17"/>
      <c r="T1267" s="17"/>
      <c r="U1267" s="17"/>
      <c r="AI1267" s="17"/>
      <c r="AJ1267" s="17"/>
      <c r="AK1267" s="17"/>
      <c r="AY1267" s="17"/>
      <c r="AZ1267" s="17"/>
      <c r="BA1267" s="17"/>
    </row>
    <row r="1268" spans="19:53" x14ac:dyDescent="0.25">
      <c r="S1268" s="17"/>
      <c r="T1268" s="17"/>
      <c r="U1268" s="17"/>
      <c r="AI1268" s="17"/>
      <c r="AJ1268" s="17"/>
      <c r="AK1268" s="17"/>
      <c r="AY1268" s="17"/>
      <c r="AZ1268" s="17"/>
      <c r="BA1268" s="17"/>
    </row>
    <row r="1269" spans="19:53" x14ac:dyDescent="0.25">
      <c r="S1269" s="17"/>
      <c r="T1269" s="17"/>
      <c r="U1269" s="17"/>
      <c r="AI1269" s="17"/>
      <c r="AJ1269" s="17"/>
      <c r="AK1269" s="17"/>
      <c r="AY1269" s="17"/>
      <c r="AZ1269" s="17"/>
      <c r="BA1269" s="17"/>
    </row>
    <row r="1270" spans="19:53" x14ac:dyDescent="0.25">
      <c r="S1270" s="17"/>
      <c r="T1270" s="17"/>
      <c r="U1270" s="17"/>
      <c r="AI1270" s="17"/>
      <c r="AJ1270" s="17"/>
      <c r="AK1270" s="17"/>
      <c r="AY1270" s="17"/>
      <c r="AZ1270" s="17"/>
      <c r="BA1270" s="17"/>
    </row>
    <row r="1271" spans="19:53" x14ac:dyDescent="0.25">
      <c r="S1271" s="17"/>
      <c r="T1271" s="17"/>
      <c r="U1271" s="17"/>
      <c r="AI1271" s="17"/>
      <c r="AJ1271" s="17"/>
      <c r="AK1271" s="17"/>
      <c r="AY1271" s="17"/>
      <c r="AZ1271" s="17"/>
      <c r="BA1271" s="17"/>
    </row>
    <row r="1272" spans="19:53" x14ac:dyDescent="0.25">
      <c r="S1272" s="17"/>
      <c r="T1272" s="17"/>
      <c r="U1272" s="17"/>
      <c r="AI1272" s="17"/>
      <c r="AJ1272" s="17"/>
      <c r="AK1272" s="17"/>
      <c r="AY1272" s="17"/>
      <c r="AZ1272" s="17"/>
      <c r="BA1272" s="17"/>
    </row>
    <row r="1273" spans="19:53" x14ac:dyDescent="0.25">
      <c r="S1273" s="17"/>
      <c r="T1273" s="17"/>
      <c r="U1273" s="17"/>
      <c r="AI1273" s="17"/>
      <c r="AJ1273" s="17"/>
      <c r="AK1273" s="17"/>
      <c r="AY1273" s="17"/>
      <c r="AZ1273" s="17"/>
      <c r="BA1273" s="17"/>
    </row>
    <row r="1274" spans="19:53" x14ac:dyDescent="0.25">
      <c r="S1274" s="17"/>
      <c r="T1274" s="17"/>
      <c r="U1274" s="17"/>
      <c r="AI1274" s="17"/>
      <c r="AJ1274" s="17"/>
      <c r="AK1274" s="17"/>
      <c r="AY1274" s="17"/>
      <c r="AZ1274" s="17"/>
      <c r="BA1274" s="17"/>
    </row>
    <row r="1275" spans="19:53" x14ac:dyDescent="0.25">
      <c r="S1275" s="17"/>
      <c r="T1275" s="17"/>
      <c r="U1275" s="17"/>
      <c r="AI1275" s="17"/>
      <c r="AJ1275" s="17"/>
      <c r="AK1275" s="17"/>
      <c r="AY1275" s="17"/>
      <c r="AZ1275" s="17"/>
      <c r="BA1275" s="17"/>
    </row>
    <row r="1276" spans="19:53" x14ac:dyDescent="0.25">
      <c r="S1276" s="17"/>
      <c r="T1276" s="17"/>
      <c r="U1276" s="17"/>
      <c r="AI1276" s="17"/>
      <c r="AJ1276" s="17"/>
      <c r="AK1276" s="17"/>
      <c r="AY1276" s="17"/>
      <c r="AZ1276" s="17"/>
      <c r="BA1276" s="17"/>
    </row>
    <row r="1277" spans="19:53" x14ac:dyDescent="0.25">
      <c r="S1277" s="17"/>
      <c r="T1277" s="17"/>
      <c r="U1277" s="17"/>
      <c r="AI1277" s="17"/>
      <c r="AJ1277" s="17"/>
      <c r="AK1277" s="17"/>
      <c r="AY1277" s="17"/>
      <c r="AZ1277" s="17"/>
      <c r="BA1277" s="17"/>
    </row>
    <row r="1278" spans="19:53" x14ac:dyDescent="0.25">
      <c r="S1278" s="17"/>
      <c r="T1278" s="17"/>
      <c r="U1278" s="17"/>
      <c r="AI1278" s="17"/>
      <c r="AJ1278" s="17"/>
      <c r="AK1278" s="17"/>
      <c r="AY1278" s="17"/>
      <c r="AZ1278" s="17"/>
      <c r="BA1278" s="17"/>
    </row>
    <row r="1279" spans="19:53" x14ac:dyDescent="0.25">
      <c r="S1279" s="17"/>
      <c r="T1279" s="17"/>
      <c r="U1279" s="17"/>
      <c r="AI1279" s="17"/>
      <c r="AJ1279" s="17"/>
      <c r="AK1279" s="17"/>
      <c r="AY1279" s="17"/>
      <c r="AZ1279" s="17"/>
      <c r="BA1279" s="17"/>
    </row>
    <row r="1280" spans="19:53" x14ac:dyDescent="0.25">
      <c r="S1280" s="17"/>
      <c r="T1280" s="17"/>
      <c r="U1280" s="17"/>
      <c r="AI1280" s="17"/>
      <c r="AJ1280" s="17"/>
      <c r="AK1280" s="17"/>
      <c r="AY1280" s="17"/>
      <c r="AZ1280" s="17"/>
      <c r="BA1280" s="17"/>
    </row>
    <row r="1281" spans="19:53" x14ac:dyDescent="0.25">
      <c r="S1281" s="17"/>
      <c r="T1281" s="17"/>
      <c r="U1281" s="17"/>
      <c r="AI1281" s="17"/>
      <c r="AJ1281" s="17"/>
      <c r="AK1281" s="17"/>
      <c r="AY1281" s="17"/>
      <c r="AZ1281" s="17"/>
      <c r="BA1281" s="17"/>
    </row>
    <row r="1282" spans="19:53" x14ac:dyDescent="0.25">
      <c r="S1282" s="17"/>
      <c r="T1282" s="17"/>
      <c r="U1282" s="17"/>
      <c r="AI1282" s="17"/>
      <c r="AJ1282" s="17"/>
      <c r="AK1282" s="17"/>
      <c r="AY1282" s="17"/>
      <c r="AZ1282" s="17"/>
      <c r="BA1282" s="17"/>
    </row>
    <row r="1283" spans="19:53" x14ac:dyDescent="0.25">
      <c r="S1283" s="17"/>
      <c r="T1283" s="17"/>
      <c r="U1283" s="17"/>
      <c r="AI1283" s="17"/>
      <c r="AJ1283" s="17"/>
      <c r="AK1283" s="17"/>
      <c r="AY1283" s="17"/>
      <c r="AZ1283" s="17"/>
      <c r="BA1283" s="17"/>
    </row>
    <row r="1284" spans="19:53" x14ac:dyDescent="0.25">
      <c r="S1284" s="17"/>
      <c r="T1284" s="17"/>
      <c r="U1284" s="17"/>
      <c r="AI1284" s="17"/>
      <c r="AJ1284" s="17"/>
      <c r="AK1284" s="17"/>
      <c r="AY1284" s="17"/>
      <c r="AZ1284" s="17"/>
      <c r="BA1284" s="17"/>
    </row>
    <row r="1285" spans="19:53" x14ac:dyDescent="0.25">
      <c r="S1285" s="17"/>
      <c r="T1285" s="17"/>
      <c r="U1285" s="17"/>
      <c r="AI1285" s="17"/>
      <c r="AJ1285" s="17"/>
      <c r="AK1285" s="17"/>
      <c r="AY1285" s="17"/>
      <c r="AZ1285" s="17"/>
      <c r="BA1285" s="17"/>
    </row>
    <row r="1286" spans="19:53" x14ac:dyDescent="0.25">
      <c r="S1286" s="17"/>
      <c r="T1286" s="17"/>
      <c r="U1286" s="17"/>
      <c r="AI1286" s="17"/>
      <c r="AJ1286" s="17"/>
      <c r="AK1286" s="17"/>
      <c r="AY1286" s="17"/>
      <c r="AZ1286" s="17"/>
      <c r="BA1286" s="17"/>
    </row>
    <row r="1287" spans="19:53" x14ac:dyDescent="0.25">
      <c r="S1287" s="17"/>
      <c r="T1287" s="17"/>
      <c r="U1287" s="17"/>
      <c r="AI1287" s="17"/>
      <c r="AJ1287" s="17"/>
      <c r="AK1287" s="17"/>
      <c r="AY1287" s="17"/>
      <c r="AZ1287" s="17"/>
      <c r="BA1287" s="17"/>
    </row>
    <row r="1288" spans="19:53" x14ac:dyDescent="0.25">
      <c r="S1288" s="17"/>
      <c r="T1288" s="17"/>
      <c r="U1288" s="17"/>
      <c r="AI1288" s="17"/>
      <c r="AJ1288" s="17"/>
      <c r="AK1288" s="17"/>
      <c r="AY1288" s="17"/>
      <c r="AZ1288" s="17"/>
      <c r="BA1288" s="17"/>
    </row>
    <row r="1289" spans="19:53" x14ac:dyDescent="0.25">
      <c r="S1289" s="17"/>
      <c r="T1289" s="17"/>
      <c r="U1289" s="17"/>
      <c r="AI1289" s="17"/>
      <c r="AJ1289" s="17"/>
      <c r="AK1289" s="17"/>
      <c r="AY1289" s="17"/>
      <c r="AZ1289" s="17"/>
      <c r="BA1289" s="17"/>
    </row>
    <row r="1290" spans="19:53" x14ac:dyDescent="0.25">
      <c r="S1290" s="17"/>
      <c r="T1290" s="17"/>
      <c r="U1290" s="17"/>
      <c r="AI1290" s="17"/>
      <c r="AJ1290" s="17"/>
      <c r="AK1290" s="17"/>
      <c r="AY1290" s="17"/>
      <c r="AZ1290" s="17"/>
      <c r="BA1290" s="17"/>
    </row>
    <row r="1291" spans="19:53" x14ac:dyDescent="0.25">
      <c r="S1291" s="17"/>
      <c r="T1291" s="17"/>
      <c r="U1291" s="17"/>
      <c r="AI1291" s="17"/>
      <c r="AJ1291" s="17"/>
      <c r="AK1291" s="17"/>
      <c r="AY1291" s="17"/>
      <c r="AZ1291" s="17"/>
      <c r="BA1291" s="17"/>
    </row>
    <row r="1292" spans="19:53" x14ac:dyDescent="0.25">
      <c r="S1292" s="17"/>
      <c r="T1292" s="17"/>
      <c r="U1292" s="17"/>
      <c r="AI1292" s="17"/>
      <c r="AJ1292" s="17"/>
      <c r="AK1292" s="17"/>
      <c r="AY1292" s="17"/>
      <c r="AZ1292" s="17"/>
      <c r="BA1292" s="17"/>
    </row>
    <row r="1293" spans="19:53" x14ac:dyDescent="0.25">
      <c r="S1293" s="17"/>
      <c r="T1293" s="17"/>
      <c r="U1293" s="17"/>
      <c r="AI1293" s="17"/>
      <c r="AJ1293" s="17"/>
      <c r="AK1293" s="17"/>
      <c r="AY1293" s="17"/>
      <c r="AZ1293" s="17"/>
      <c r="BA1293" s="17"/>
    </row>
    <row r="1294" spans="19:53" x14ac:dyDescent="0.25">
      <c r="S1294" s="17"/>
      <c r="T1294" s="17"/>
      <c r="U1294" s="17"/>
      <c r="AI1294" s="17"/>
      <c r="AJ1294" s="17"/>
      <c r="AK1294" s="17"/>
      <c r="AY1294" s="17"/>
      <c r="AZ1294" s="17"/>
      <c r="BA1294" s="17"/>
    </row>
    <row r="1295" spans="19:53" x14ac:dyDescent="0.25">
      <c r="S1295" s="17"/>
      <c r="T1295" s="17"/>
      <c r="U1295" s="17"/>
      <c r="AI1295" s="17"/>
      <c r="AJ1295" s="17"/>
      <c r="AK1295" s="17"/>
      <c r="AY1295" s="17"/>
      <c r="AZ1295" s="17"/>
      <c r="BA1295" s="17"/>
    </row>
    <row r="1296" spans="19:53" x14ac:dyDescent="0.25">
      <c r="S1296" s="17"/>
      <c r="T1296" s="17"/>
      <c r="U1296" s="17"/>
      <c r="AI1296" s="17"/>
      <c r="AJ1296" s="17"/>
      <c r="AK1296" s="17"/>
      <c r="AY1296" s="17"/>
      <c r="AZ1296" s="17"/>
      <c r="BA1296" s="17"/>
    </row>
    <row r="1297" spans="19:53" x14ac:dyDescent="0.25">
      <c r="S1297" s="17"/>
      <c r="T1297" s="17"/>
      <c r="U1297" s="17"/>
      <c r="AI1297" s="17"/>
      <c r="AJ1297" s="17"/>
      <c r="AK1297" s="17"/>
      <c r="AY1297" s="17"/>
      <c r="AZ1297" s="17"/>
      <c r="BA1297" s="17"/>
    </row>
    <row r="1298" spans="19:53" x14ac:dyDescent="0.25">
      <c r="S1298" s="17"/>
      <c r="T1298" s="17"/>
      <c r="U1298" s="17"/>
      <c r="AI1298" s="17"/>
      <c r="AJ1298" s="17"/>
      <c r="AK1298" s="17"/>
      <c r="AY1298" s="17"/>
      <c r="AZ1298" s="17"/>
      <c r="BA1298" s="17"/>
    </row>
    <row r="1299" spans="19:53" x14ac:dyDescent="0.25">
      <c r="S1299" s="17"/>
      <c r="T1299" s="17"/>
      <c r="U1299" s="17"/>
      <c r="AI1299" s="17"/>
      <c r="AJ1299" s="17"/>
      <c r="AK1299" s="17"/>
      <c r="AY1299" s="17"/>
      <c r="AZ1299" s="17"/>
      <c r="BA1299" s="17"/>
    </row>
    <row r="1300" spans="19:53" x14ac:dyDescent="0.25">
      <c r="S1300" s="17"/>
      <c r="T1300" s="17"/>
      <c r="U1300" s="17"/>
      <c r="AI1300" s="17"/>
      <c r="AJ1300" s="17"/>
      <c r="AK1300" s="17"/>
      <c r="AY1300" s="17"/>
      <c r="AZ1300" s="17"/>
      <c r="BA1300" s="17"/>
    </row>
    <row r="1301" spans="19:53" x14ac:dyDescent="0.25">
      <c r="S1301" s="17"/>
      <c r="T1301" s="17"/>
      <c r="U1301" s="17"/>
      <c r="AI1301" s="17"/>
      <c r="AJ1301" s="17"/>
      <c r="AK1301" s="17"/>
      <c r="AY1301" s="17"/>
      <c r="AZ1301" s="17"/>
      <c r="BA1301" s="17"/>
    </row>
    <row r="1302" spans="19:53" x14ac:dyDescent="0.25">
      <c r="S1302" s="17"/>
      <c r="T1302" s="17"/>
      <c r="U1302" s="17"/>
      <c r="AI1302" s="17"/>
      <c r="AJ1302" s="17"/>
      <c r="AK1302" s="17"/>
      <c r="AY1302" s="17"/>
      <c r="AZ1302" s="17"/>
      <c r="BA1302" s="17"/>
    </row>
    <row r="1303" spans="19:53" x14ac:dyDescent="0.25">
      <c r="S1303" s="17"/>
      <c r="T1303" s="17"/>
      <c r="U1303" s="17"/>
      <c r="AI1303" s="17"/>
      <c r="AJ1303" s="17"/>
      <c r="AK1303" s="17"/>
      <c r="AY1303" s="17"/>
      <c r="AZ1303" s="17"/>
      <c r="BA1303" s="17"/>
    </row>
    <row r="1304" spans="19:53" x14ac:dyDescent="0.25">
      <c r="S1304" s="17"/>
      <c r="T1304" s="17"/>
      <c r="U1304" s="17"/>
      <c r="AI1304" s="17"/>
      <c r="AJ1304" s="17"/>
      <c r="AK1304" s="17"/>
      <c r="AY1304" s="17"/>
      <c r="AZ1304" s="17"/>
      <c r="BA1304" s="17"/>
    </row>
    <row r="1305" spans="19:53" x14ac:dyDescent="0.25">
      <c r="S1305" s="17"/>
      <c r="T1305" s="17"/>
      <c r="U1305" s="17"/>
      <c r="AI1305" s="17"/>
      <c r="AJ1305" s="17"/>
      <c r="AK1305" s="17"/>
      <c r="AY1305" s="17"/>
      <c r="AZ1305" s="17"/>
      <c r="BA1305" s="17"/>
    </row>
    <row r="1306" spans="19:53" x14ac:dyDescent="0.25">
      <c r="S1306" s="17"/>
      <c r="T1306" s="17"/>
      <c r="U1306" s="17"/>
      <c r="AI1306" s="17"/>
      <c r="AJ1306" s="17"/>
      <c r="AK1306" s="17"/>
      <c r="AY1306" s="17"/>
      <c r="AZ1306" s="17"/>
      <c r="BA1306" s="17"/>
    </row>
    <row r="1307" spans="19:53" x14ac:dyDescent="0.25">
      <c r="S1307" s="17"/>
      <c r="T1307" s="17"/>
      <c r="U1307" s="17"/>
      <c r="AI1307" s="17"/>
      <c r="AJ1307" s="17"/>
      <c r="AK1307" s="17"/>
      <c r="AY1307" s="17"/>
      <c r="AZ1307" s="17"/>
      <c r="BA1307" s="17"/>
    </row>
    <row r="1308" spans="19:53" x14ac:dyDescent="0.25">
      <c r="S1308" s="17"/>
      <c r="T1308" s="17"/>
      <c r="U1308" s="17"/>
      <c r="AI1308" s="17"/>
      <c r="AJ1308" s="17"/>
      <c r="AK1308" s="17"/>
      <c r="AY1308" s="17"/>
      <c r="AZ1308" s="17"/>
      <c r="BA1308" s="17"/>
    </row>
    <row r="1309" spans="19:53" x14ac:dyDescent="0.25">
      <c r="S1309" s="17"/>
      <c r="T1309" s="17"/>
      <c r="U1309" s="17"/>
      <c r="AI1309" s="17"/>
      <c r="AJ1309" s="17"/>
      <c r="AK1309" s="17"/>
      <c r="AY1309" s="17"/>
      <c r="AZ1309" s="17"/>
      <c r="BA1309" s="17"/>
    </row>
    <row r="1310" spans="19:53" x14ac:dyDescent="0.25">
      <c r="S1310" s="17"/>
      <c r="T1310" s="17"/>
      <c r="U1310" s="17"/>
      <c r="AI1310" s="17"/>
      <c r="AJ1310" s="17"/>
      <c r="AK1310" s="17"/>
      <c r="AY1310" s="17"/>
      <c r="AZ1310" s="17"/>
      <c r="BA1310" s="17"/>
    </row>
    <row r="1311" spans="19:53" x14ac:dyDescent="0.25">
      <c r="S1311" s="17"/>
      <c r="T1311" s="17"/>
      <c r="U1311" s="17"/>
      <c r="AI1311" s="17"/>
      <c r="AJ1311" s="17"/>
      <c r="AK1311" s="17"/>
      <c r="AY1311" s="17"/>
      <c r="AZ1311" s="17"/>
      <c r="BA1311" s="17"/>
    </row>
    <row r="1312" spans="19:53" x14ac:dyDescent="0.25">
      <c r="S1312" s="17"/>
      <c r="T1312" s="17"/>
      <c r="U1312" s="17"/>
      <c r="AI1312" s="17"/>
      <c r="AJ1312" s="17"/>
      <c r="AK1312" s="17"/>
      <c r="AY1312" s="17"/>
      <c r="AZ1312" s="17"/>
      <c r="BA1312" s="17"/>
    </row>
    <row r="1313" spans="19:53" x14ac:dyDescent="0.25">
      <c r="S1313" s="17"/>
      <c r="T1313" s="17"/>
      <c r="U1313" s="17"/>
      <c r="AI1313" s="17"/>
      <c r="AJ1313" s="17"/>
      <c r="AK1313" s="17"/>
      <c r="AY1313" s="17"/>
      <c r="AZ1313" s="17"/>
      <c r="BA1313" s="17"/>
    </row>
    <row r="1314" spans="19:53" x14ac:dyDescent="0.25">
      <c r="S1314" s="17"/>
      <c r="T1314" s="17"/>
      <c r="U1314" s="17"/>
      <c r="AI1314" s="17"/>
      <c r="AJ1314" s="17"/>
      <c r="AK1314" s="17"/>
      <c r="AY1314" s="17"/>
      <c r="AZ1314" s="17"/>
      <c r="BA1314" s="17"/>
    </row>
    <row r="1315" spans="19:53" x14ac:dyDescent="0.25">
      <c r="S1315" s="17"/>
      <c r="T1315" s="17"/>
      <c r="U1315" s="17"/>
      <c r="AI1315" s="17"/>
      <c r="AJ1315" s="17"/>
      <c r="AK1315" s="17"/>
      <c r="AY1315" s="17"/>
      <c r="AZ1315" s="17"/>
      <c r="BA1315" s="17"/>
    </row>
    <row r="1316" spans="19:53" x14ac:dyDescent="0.25">
      <c r="S1316" s="17"/>
      <c r="T1316" s="17"/>
      <c r="U1316" s="17"/>
      <c r="AI1316" s="17"/>
      <c r="AJ1316" s="17"/>
      <c r="AK1316" s="17"/>
      <c r="AY1316" s="17"/>
      <c r="AZ1316" s="17"/>
      <c r="BA1316" s="17"/>
    </row>
    <row r="1317" spans="19:53" x14ac:dyDescent="0.25">
      <c r="S1317" s="17"/>
      <c r="T1317" s="17"/>
      <c r="U1317" s="17"/>
      <c r="AI1317" s="17"/>
      <c r="AJ1317" s="17"/>
      <c r="AK1317" s="17"/>
      <c r="AY1317" s="17"/>
      <c r="AZ1317" s="17"/>
      <c r="BA1317" s="17"/>
    </row>
    <row r="1318" spans="19:53" x14ac:dyDescent="0.25">
      <c r="S1318" s="17"/>
      <c r="T1318" s="17"/>
      <c r="U1318" s="17"/>
      <c r="AI1318" s="17"/>
      <c r="AJ1318" s="17"/>
      <c r="AK1318" s="17"/>
      <c r="AY1318" s="17"/>
      <c r="AZ1318" s="17"/>
      <c r="BA1318" s="17"/>
    </row>
    <row r="1319" spans="19:53" x14ac:dyDescent="0.25">
      <c r="S1319" s="17"/>
      <c r="T1319" s="17"/>
      <c r="U1319" s="17"/>
      <c r="AI1319" s="17"/>
      <c r="AJ1319" s="17"/>
      <c r="AK1319" s="17"/>
      <c r="AY1319" s="17"/>
      <c r="AZ1319" s="17"/>
      <c r="BA1319" s="17"/>
    </row>
    <row r="1320" spans="19:53" x14ac:dyDescent="0.25">
      <c r="S1320" s="17"/>
      <c r="T1320" s="17"/>
      <c r="U1320" s="17"/>
      <c r="AI1320" s="17"/>
      <c r="AJ1320" s="17"/>
      <c r="AK1320" s="17"/>
      <c r="AY1320" s="17"/>
      <c r="AZ1320" s="17"/>
      <c r="BA1320" s="17"/>
    </row>
    <row r="1321" spans="19:53" x14ac:dyDescent="0.25">
      <c r="S1321" s="17"/>
      <c r="T1321" s="17"/>
      <c r="U1321" s="17"/>
      <c r="AI1321" s="17"/>
      <c r="AJ1321" s="17"/>
      <c r="AK1321" s="17"/>
      <c r="AY1321" s="17"/>
      <c r="AZ1321" s="17"/>
      <c r="BA1321" s="17"/>
    </row>
    <row r="1322" spans="19:53" x14ac:dyDescent="0.25">
      <c r="S1322" s="17"/>
      <c r="T1322" s="17"/>
      <c r="U1322" s="17"/>
      <c r="AI1322" s="17"/>
      <c r="AJ1322" s="17"/>
      <c r="AK1322" s="17"/>
      <c r="AY1322" s="17"/>
      <c r="AZ1322" s="17"/>
      <c r="BA1322" s="17"/>
    </row>
    <row r="1323" spans="19:53" x14ac:dyDescent="0.25">
      <c r="S1323" s="17"/>
      <c r="T1323" s="17"/>
      <c r="U1323" s="17"/>
      <c r="AI1323" s="17"/>
      <c r="AJ1323" s="17"/>
      <c r="AK1323" s="17"/>
      <c r="AY1323" s="17"/>
      <c r="AZ1323" s="17"/>
      <c r="BA1323" s="17"/>
    </row>
    <row r="1324" spans="19:53" x14ac:dyDescent="0.25">
      <c r="S1324" s="17"/>
      <c r="T1324" s="17"/>
      <c r="U1324" s="17"/>
      <c r="AI1324" s="17"/>
      <c r="AJ1324" s="17"/>
      <c r="AK1324" s="17"/>
      <c r="AY1324" s="17"/>
      <c r="AZ1324" s="17"/>
      <c r="BA1324" s="17"/>
    </row>
    <row r="1325" spans="19:53" x14ac:dyDescent="0.25">
      <c r="S1325" s="17"/>
      <c r="T1325" s="17"/>
      <c r="U1325" s="17"/>
      <c r="AI1325" s="17"/>
      <c r="AJ1325" s="17"/>
      <c r="AK1325" s="17"/>
      <c r="AY1325" s="17"/>
      <c r="AZ1325" s="17"/>
      <c r="BA1325" s="17"/>
    </row>
    <row r="1326" spans="19:53" x14ac:dyDescent="0.25">
      <c r="S1326" s="17"/>
      <c r="T1326" s="17"/>
      <c r="U1326" s="17"/>
      <c r="AI1326" s="17"/>
      <c r="AJ1326" s="17"/>
      <c r="AK1326" s="17"/>
      <c r="AY1326" s="17"/>
      <c r="AZ1326" s="17"/>
      <c r="BA1326" s="17"/>
    </row>
    <row r="1327" spans="19:53" x14ac:dyDescent="0.25">
      <c r="S1327" s="17"/>
      <c r="T1327" s="17"/>
      <c r="U1327" s="17"/>
      <c r="AI1327" s="17"/>
      <c r="AJ1327" s="17"/>
      <c r="AK1327" s="17"/>
      <c r="AY1327" s="17"/>
      <c r="AZ1327" s="17"/>
      <c r="BA1327" s="17"/>
    </row>
    <row r="1328" spans="19:53" x14ac:dyDescent="0.25">
      <c r="S1328" s="17"/>
      <c r="T1328" s="17"/>
      <c r="U1328" s="17"/>
      <c r="AI1328" s="17"/>
      <c r="AJ1328" s="17"/>
      <c r="AK1328" s="17"/>
      <c r="AY1328" s="17"/>
      <c r="AZ1328" s="17"/>
      <c r="BA1328" s="17"/>
    </row>
    <row r="1329" spans="19:53" x14ac:dyDescent="0.25">
      <c r="S1329" s="17"/>
      <c r="T1329" s="17"/>
      <c r="U1329" s="17"/>
      <c r="AI1329" s="17"/>
      <c r="AJ1329" s="17"/>
      <c r="AK1329" s="17"/>
      <c r="AY1329" s="17"/>
      <c r="AZ1329" s="17"/>
      <c r="BA1329" s="17"/>
    </row>
    <row r="1330" spans="19:53" x14ac:dyDescent="0.25">
      <c r="S1330" s="17"/>
      <c r="T1330" s="17"/>
      <c r="U1330" s="17"/>
      <c r="AI1330" s="17"/>
      <c r="AJ1330" s="17"/>
      <c r="AK1330" s="17"/>
      <c r="AY1330" s="17"/>
      <c r="AZ1330" s="17"/>
      <c r="BA1330" s="17"/>
    </row>
    <row r="1331" spans="19:53" x14ac:dyDescent="0.25">
      <c r="S1331" s="17"/>
      <c r="T1331" s="17"/>
      <c r="U1331" s="17"/>
      <c r="AI1331" s="17"/>
      <c r="AJ1331" s="17"/>
      <c r="AK1331" s="17"/>
      <c r="AY1331" s="17"/>
      <c r="AZ1331" s="17"/>
      <c r="BA1331" s="17"/>
    </row>
    <row r="1332" spans="19:53" x14ac:dyDescent="0.25">
      <c r="S1332" s="17"/>
      <c r="T1332" s="17"/>
      <c r="U1332" s="17"/>
      <c r="AI1332" s="17"/>
      <c r="AJ1332" s="17"/>
      <c r="AK1332" s="17"/>
      <c r="AY1332" s="17"/>
      <c r="AZ1332" s="17"/>
      <c r="BA1332" s="17"/>
    </row>
    <row r="1333" spans="19:53" x14ac:dyDescent="0.25">
      <c r="S1333" s="17"/>
      <c r="T1333" s="17"/>
      <c r="U1333" s="17"/>
      <c r="AI1333" s="17"/>
      <c r="AJ1333" s="17"/>
      <c r="AK1333" s="17"/>
      <c r="AY1333" s="17"/>
      <c r="AZ1333" s="17"/>
      <c r="BA1333" s="17"/>
    </row>
    <row r="1334" spans="19:53" x14ac:dyDescent="0.25">
      <c r="S1334" s="17"/>
      <c r="T1334" s="17"/>
      <c r="U1334" s="17"/>
      <c r="AI1334" s="17"/>
      <c r="AJ1334" s="17"/>
      <c r="AK1334" s="17"/>
      <c r="AY1334" s="17"/>
      <c r="AZ1334" s="17"/>
      <c r="BA1334" s="17"/>
    </row>
    <row r="1335" spans="19:53" x14ac:dyDescent="0.25">
      <c r="S1335" s="17"/>
      <c r="T1335" s="17"/>
      <c r="U1335" s="17"/>
      <c r="AI1335" s="17"/>
      <c r="AJ1335" s="17"/>
      <c r="AK1335" s="17"/>
      <c r="AY1335" s="17"/>
      <c r="AZ1335" s="17"/>
      <c r="BA1335" s="17"/>
    </row>
    <row r="1336" spans="19:53" x14ac:dyDescent="0.25">
      <c r="S1336" s="17"/>
      <c r="T1336" s="17"/>
      <c r="U1336" s="17"/>
      <c r="AI1336" s="17"/>
      <c r="AJ1336" s="17"/>
      <c r="AK1336" s="17"/>
      <c r="AY1336" s="17"/>
      <c r="AZ1336" s="17"/>
      <c r="BA1336" s="17"/>
    </row>
    <row r="1337" spans="19:53" x14ac:dyDescent="0.25">
      <c r="S1337" s="17"/>
      <c r="T1337" s="17"/>
      <c r="U1337" s="17"/>
      <c r="AI1337" s="17"/>
      <c r="AJ1337" s="17"/>
      <c r="AK1337" s="17"/>
      <c r="AY1337" s="17"/>
      <c r="AZ1337" s="17"/>
      <c r="BA1337" s="17"/>
    </row>
    <row r="1338" spans="19:53" x14ac:dyDescent="0.25">
      <c r="S1338" s="17"/>
      <c r="T1338" s="17"/>
      <c r="U1338" s="17"/>
      <c r="AI1338" s="17"/>
      <c r="AJ1338" s="17"/>
      <c r="AK1338" s="17"/>
      <c r="AY1338" s="17"/>
      <c r="AZ1338" s="17"/>
      <c r="BA1338" s="17"/>
    </row>
    <row r="1339" spans="19:53" x14ac:dyDescent="0.25">
      <c r="S1339" s="17"/>
      <c r="T1339" s="17"/>
      <c r="U1339" s="17"/>
      <c r="AI1339" s="17"/>
      <c r="AJ1339" s="17"/>
      <c r="AK1339" s="17"/>
      <c r="AY1339" s="17"/>
      <c r="AZ1339" s="17"/>
      <c r="BA1339" s="17"/>
    </row>
    <row r="1340" spans="19:53" x14ac:dyDescent="0.25">
      <c r="S1340" s="17"/>
      <c r="T1340" s="17"/>
      <c r="U1340" s="17"/>
      <c r="AI1340" s="17"/>
      <c r="AJ1340" s="17"/>
      <c r="AK1340" s="17"/>
      <c r="AY1340" s="17"/>
      <c r="AZ1340" s="17"/>
      <c r="BA1340" s="17"/>
    </row>
    <row r="1341" spans="19:53" x14ac:dyDescent="0.25">
      <c r="S1341" s="17"/>
      <c r="T1341" s="17"/>
      <c r="U1341" s="17"/>
      <c r="AI1341" s="17"/>
      <c r="AJ1341" s="17"/>
      <c r="AK1341" s="17"/>
      <c r="AY1341" s="17"/>
      <c r="AZ1341" s="17"/>
      <c r="BA1341" s="17"/>
    </row>
    <row r="1342" spans="19:53" x14ac:dyDescent="0.25">
      <c r="S1342" s="17"/>
      <c r="T1342" s="17"/>
      <c r="U1342" s="17"/>
      <c r="AI1342" s="17"/>
      <c r="AJ1342" s="17"/>
      <c r="AK1342" s="17"/>
      <c r="AY1342" s="17"/>
      <c r="AZ1342" s="17"/>
      <c r="BA1342" s="17"/>
    </row>
    <row r="1343" spans="19:53" x14ac:dyDescent="0.25">
      <c r="S1343" s="17"/>
      <c r="T1343" s="17"/>
      <c r="U1343" s="17"/>
      <c r="AI1343" s="17"/>
      <c r="AJ1343" s="17"/>
      <c r="AK1343" s="17"/>
      <c r="AY1343" s="17"/>
      <c r="AZ1343" s="17"/>
      <c r="BA1343" s="17"/>
    </row>
    <row r="1344" spans="19:53" x14ac:dyDescent="0.25">
      <c r="S1344" s="17"/>
      <c r="T1344" s="17"/>
      <c r="U1344" s="17"/>
      <c r="AI1344" s="17"/>
      <c r="AJ1344" s="17"/>
      <c r="AK1344" s="17"/>
      <c r="AY1344" s="17"/>
      <c r="AZ1344" s="17"/>
      <c r="BA1344" s="17"/>
    </row>
    <row r="1345" spans="19:53" x14ac:dyDescent="0.25">
      <c r="S1345" s="17"/>
      <c r="T1345" s="17"/>
      <c r="U1345" s="17"/>
      <c r="AI1345" s="17"/>
      <c r="AJ1345" s="17"/>
      <c r="AK1345" s="17"/>
      <c r="AY1345" s="17"/>
      <c r="AZ1345" s="17"/>
      <c r="BA1345" s="17"/>
    </row>
    <row r="1346" spans="19:53" x14ac:dyDescent="0.25">
      <c r="S1346" s="17"/>
      <c r="T1346" s="17"/>
      <c r="U1346" s="17"/>
      <c r="AI1346" s="17"/>
      <c r="AJ1346" s="17"/>
      <c r="AK1346" s="17"/>
      <c r="AY1346" s="17"/>
      <c r="AZ1346" s="17"/>
      <c r="BA1346" s="17"/>
    </row>
    <row r="1347" spans="19:53" x14ac:dyDescent="0.25">
      <c r="S1347" s="17"/>
      <c r="T1347" s="17"/>
      <c r="U1347" s="17"/>
      <c r="AI1347" s="17"/>
      <c r="AJ1347" s="17"/>
      <c r="AK1347" s="17"/>
      <c r="AY1347" s="17"/>
      <c r="AZ1347" s="17"/>
      <c r="BA1347" s="17"/>
    </row>
    <row r="1348" spans="19:53" x14ac:dyDescent="0.25">
      <c r="S1348" s="17"/>
      <c r="T1348" s="17"/>
      <c r="U1348" s="17"/>
      <c r="AI1348" s="17"/>
      <c r="AJ1348" s="17"/>
      <c r="AK1348" s="17"/>
      <c r="AY1348" s="17"/>
      <c r="AZ1348" s="17"/>
      <c r="BA1348" s="17"/>
    </row>
    <row r="1349" spans="19:53" x14ac:dyDescent="0.25">
      <c r="S1349" s="17"/>
      <c r="T1349" s="17"/>
      <c r="U1349" s="17"/>
      <c r="AI1349" s="17"/>
      <c r="AJ1349" s="17"/>
      <c r="AK1349" s="17"/>
      <c r="AY1349" s="17"/>
      <c r="AZ1349" s="17"/>
      <c r="BA1349" s="17"/>
    </row>
    <row r="1350" spans="19:53" x14ac:dyDescent="0.25">
      <c r="S1350" s="17"/>
      <c r="T1350" s="17"/>
      <c r="U1350" s="17"/>
      <c r="AI1350" s="17"/>
      <c r="AJ1350" s="17"/>
      <c r="AK1350" s="17"/>
      <c r="AY1350" s="17"/>
      <c r="AZ1350" s="17"/>
      <c r="BA1350" s="17"/>
    </row>
    <row r="1351" spans="19:53" x14ac:dyDescent="0.25">
      <c r="S1351" s="17"/>
      <c r="T1351" s="17"/>
      <c r="U1351" s="17"/>
      <c r="AI1351" s="17"/>
      <c r="AJ1351" s="17"/>
      <c r="AK1351" s="17"/>
      <c r="AY1351" s="17"/>
      <c r="AZ1351" s="17"/>
      <c r="BA1351" s="17"/>
    </row>
    <row r="1352" spans="19:53" x14ac:dyDescent="0.25">
      <c r="S1352" s="17"/>
      <c r="T1352" s="17"/>
      <c r="U1352" s="17"/>
      <c r="AI1352" s="17"/>
      <c r="AJ1352" s="17"/>
      <c r="AK1352" s="17"/>
      <c r="AY1352" s="17"/>
      <c r="AZ1352" s="17"/>
      <c r="BA1352" s="17"/>
    </row>
    <row r="1353" spans="19:53" x14ac:dyDescent="0.25">
      <c r="S1353" s="17"/>
      <c r="T1353" s="17"/>
      <c r="U1353" s="17"/>
      <c r="AI1353" s="17"/>
      <c r="AJ1353" s="17"/>
      <c r="AK1353" s="17"/>
      <c r="AY1353" s="17"/>
      <c r="AZ1353" s="17"/>
      <c r="BA1353" s="17"/>
    </row>
    <row r="1354" spans="19:53" x14ac:dyDescent="0.25">
      <c r="S1354" s="17"/>
      <c r="T1354" s="17"/>
      <c r="U1354" s="17"/>
      <c r="AI1354" s="17"/>
      <c r="AJ1354" s="17"/>
      <c r="AK1354" s="17"/>
      <c r="AY1354" s="17"/>
      <c r="AZ1354" s="17"/>
      <c r="BA1354" s="17"/>
    </row>
    <row r="1355" spans="19:53" x14ac:dyDescent="0.25">
      <c r="S1355" s="17"/>
      <c r="T1355" s="17"/>
      <c r="U1355" s="17"/>
      <c r="AI1355" s="17"/>
      <c r="AJ1355" s="17"/>
      <c r="AK1355" s="17"/>
      <c r="AY1355" s="17"/>
      <c r="AZ1355" s="17"/>
      <c r="BA1355" s="17"/>
    </row>
    <row r="1356" spans="19:53" x14ac:dyDescent="0.25">
      <c r="S1356" s="17"/>
      <c r="T1356" s="17"/>
      <c r="U1356" s="17"/>
      <c r="AI1356" s="17"/>
      <c r="AJ1356" s="17"/>
      <c r="AK1356" s="17"/>
      <c r="AY1356" s="17"/>
      <c r="AZ1356" s="17"/>
      <c r="BA1356" s="17"/>
    </row>
    <row r="1357" spans="19:53" x14ac:dyDescent="0.25">
      <c r="S1357" s="17"/>
      <c r="T1357" s="17"/>
      <c r="U1357" s="17"/>
      <c r="AI1357" s="17"/>
      <c r="AJ1357" s="17"/>
      <c r="AK1357" s="17"/>
      <c r="AY1357" s="17"/>
      <c r="AZ1357" s="17"/>
      <c r="BA1357" s="17"/>
    </row>
    <row r="1358" spans="19:53" x14ac:dyDescent="0.25">
      <c r="S1358" s="17"/>
      <c r="T1358" s="17"/>
      <c r="U1358" s="17"/>
      <c r="AI1358" s="17"/>
      <c r="AJ1358" s="17"/>
      <c r="AK1358" s="17"/>
      <c r="AY1358" s="17"/>
      <c r="AZ1358" s="17"/>
      <c r="BA1358" s="17"/>
    </row>
    <row r="1359" spans="19:53" x14ac:dyDescent="0.25">
      <c r="S1359" s="17"/>
      <c r="T1359" s="17"/>
      <c r="U1359" s="17"/>
      <c r="AI1359" s="17"/>
      <c r="AJ1359" s="17"/>
      <c r="AK1359" s="17"/>
      <c r="AY1359" s="17"/>
      <c r="AZ1359" s="17"/>
      <c r="BA1359" s="17"/>
    </row>
    <row r="1360" spans="19:53" x14ac:dyDescent="0.25">
      <c r="S1360" s="17"/>
      <c r="T1360" s="17"/>
      <c r="U1360" s="17"/>
      <c r="AI1360" s="17"/>
      <c r="AJ1360" s="17"/>
      <c r="AK1360" s="17"/>
      <c r="AY1360" s="17"/>
      <c r="AZ1360" s="17"/>
      <c r="BA1360" s="17"/>
    </row>
    <row r="1361" spans="19:53" x14ac:dyDescent="0.25">
      <c r="S1361" s="17"/>
      <c r="T1361" s="17"/>
      <c r="U1361" s="17"/>
      <c r="AI1361" s="17"/>
      <c r="AJ1361" s="17"/>
      <c r="AK1361" s="17"/>
      <c r="AY1361" s="17"/>
      <c r="AZ1361" s="17"/>
      <c r="BA1361" s="17"/>
    </row>
    <row r="1362" spans="19:53" x14ac:dyDescent="0.25">
      <c r="S1362" s="17"/>
      <c r="T1362" s="17"/>
      <c r="U1362" s="17"/>
      <c r="AI1362" s="17"/>
      <c r="AJ1362" s="17"/>
      <c r="AK1362" s="17"/>
      <c r="AY1362" s="17"/>
      <c r="AZ1362" s="17"/>
      <c r="BA1362" s="17"/>
    </row>
    <row r="1363" spans="19:53" x14ac:dyDescent="0.25">
      <c r="S1363" s="17"/>
      <c r="T1363" s="17"/>
      <c r="U1363" s="17"/>
      <c r="AI1363" s="17"/>
      <c r="AJ1363" s="17"/>
      <c r="AK1363" s="17"/>
      <c r="AY1363" s="17"/>
      <c r="AZ1363" s="17"/>
      <c r="BA1363" s="17"/>
    </row>
    <row r="1364" spans="19:53" x14ac:dyDescent="0.25">
      <c r="S1364" s="17"/>
      <c r="T1364" s="17"/>
      <c r="U1364" s="17"/>
      <c r="AI1364" s="17"/>
      <c r="AJ1364" s="17"/>
      <c r="AK1364" s="17"/>
      <c r="AY1364" s="17"/>
      <c r="AZ1364" s="17"/>
      <c r="BA1364" s="17"/>
    </row>
    <row r="1365" spans="19:53" x14ac:dyDescent="0.25">
      <c r="S1365" s="17"/>
      <c r="T1365" s="17"/>
      <c r="U1365" s="17"/>
      <c r="AI1365" s="17"/>
      <c r="AJ1365" s="17"/>
      <c r="AK1365" s="17"/>
      <c r="AY1365" s="17"/>
      <c r="AZ1365" s="17"/>
      <c r="BA1365" s="17"/>
    </row>
    <row r="1366" spans="19:53" x14ac:dyDescent="0.25">
      <c r="S1366" s="17"/>
      <c r="T1366" s="17"/>
      <c r="U1366" s="17"/>
      <c r="AI1366" s="17"/>
      <c r="AJ1366" s="17"/>
      <c r="AK1366" s="17"/>
      <c r="AY1366" s="17"/>
      <c r="AZ1366" s="17"/>
      <c r="BA1366" s="17"/>
    </row>
    <row r="1367" spans="19:53" x14ac:dyDescent="0.25">
      <c r="S1367" s="17"/>
      <c r="T1367" s="17"/>
      <c r="U1367" s="17"/>
      <c r="AI1367" s="17"/>
      <c r="AJ1367" s="17"/>
      <c r="AK1367" s="17"/>
      <c r="AY1367" s="17"/>
      <c r="AZ1367" s="17"/>
      <c r="BA1367" s="17"/>
    </row>
    <row r="1368" spans="19:53" x14ac:dyDescent="0.25">
      <c r="S1368" s="17"/>
      <c r="T1368" s="17"/>
      <c r="U1368" s="17"/>
      <c r="AI1368" s="17"/>
      <c r="AJ1368" s="17"/>
      <c r="AK1368" s="17"/>
      <c r="AY1368" s="17"/>
      <c r="AZ1368" s="17"/>
      <c r="BA1368" s="17"/>
    </row>
    <row r="1369" spans="19:53" x14ac:dyDescent="0.25">
      <c r="S1369" s="17"/>
      <c r="T1369" s="17"/>
      <c r="U1369" s="17"/>
      <c r="AI1369" s="17"/>
      <c r="AJ1369" s="17"/>
      <c r="AK1369" s="17"/>
      <c r="AY1369" s="17"/>
      <c r="AZ1369" s="17"/>
      <c r="BA1369" s="17"/>
    </row>
    <row r="1370" spans="19:53" x14ac:dyDescent="0.25">
      <c r="S1370" s="17"/>
      <c r="T1370" s="17"/>
      <c r="U1370" s="17"/>
      <c r="AI1370" s="17"/>
      <c r="AJ1370" s="17"/>
      <c r="AK1370" s="17"/>
      <c r="AY1370" s="17"/>
      <c r="AZ1370" s="17"/>
      <c r="BA1370" s="17"/>
    </row>
    <row r="1371" spans="19:53" x14ac:dyDescent="0.25">
      <c r="S1371" s="17"/>
      <c r="T1371" s="17"/>
      <c r="U1371" s="17"/>
      <c r="AI1371" s="17"/>
      <c r="AJ1371" s="17"/>
      <c r="AK1371" s="17"/>
      <c r="AY1371" s="17"/>
      <c r="AZ1371" s="17"/>
      <c r="BA1371" s="17"/>
    </row>
    <row r="1372" spans="19:53" x14ac:dyDescent="0.25">
      <c r="S1372" s="17"/>
      <c r="T1372" s="17"/>
      <c r="U1372" s="17"/>
      <c r="AI1372" s="17"/>
      <c r="AJ1372" s="17"/>
      <c r="AK1372" s="17"/>
      <c r="AY1372" s="17"/>
      <c r="AZ1372" s="17"/>
      <c r="BA1372" s="17"/>
    </row>
    <row r="1373" spans="19:53" x14ac:dyDescent="0.25">
      <c r="S1373" s="17"/>
      <c r="T1373" s="17"/>
      <c r="U1373" s="17"/>
      <c r="AI1373" s="17"/>
      <c r="AJ1373" s="17"/>
      <c r="AK1373" s="17"/>
      <c r="AY1373" s="17"/>
      <c r="AZ1373" s="17"/>
      <c r="BA1373" s="17"/>
    </row>
    <row r="1374" spans="19:53" x14ac:dyDescent="0.25">
      <c r="S1374" s="17"/>
      <c r="T1374" s="17"/>
      <c r="U1374" s="17"/>
      <c r="AI1374" s="17"/>
      <c r="AJ1374" s="17"/>
      <c r="AK1374" s="17"/>
      <c r="AY1374" s="17"/>
      <c r="AZ1374" s="17"/>
      <c r="BA1374" s="17"/>
    </row>
    <row r="1375" spans="19:53" x14ac:dyDescent="0.25">
      <c r="S1375" s="17"/>
      <c r="T1375" s="17"/>
      <c r="U1375" s="17"/>
      <c r="AI1375" s="17"/>
      <c r="AJ1375" s="17"/>
      <c r="AK1375" s="17"/>
      <c r="AY1375" s="17"/>
      <c r="AZ1375" s="17"/>
      <c r="BA1375" s="17"/>
    </row>
    <row r="1376" spans="19:53" x14ac:dyDescent="0.25">
      <c r="S1376" s="17"/>
      <c r="T1376" s="17"/>
      <c r="U1376" s="17"/>
      <c r="AI1376" s="17"/>
      <c r="AJ1376" s="17"/>
      <c r="AK1376" s="17"/>
      <c r="AY1376" s="17"/>
      <c r="AZ1376" s="17"/>
      <c r="BA1376" s="17"/>
    </row>
    <row r="1377" spans="19:53" x14ac:dyDescent="0.25">
      <c r="S1377" s="17"/>
      <c r="T1377" s="17"/>
      <c r="U1377" s="17"/>
      <c r="AI1377" s="17"/>
      <c r="AJ1377" s="17"/>
      <c r="AK1377" s="17"/>
      <c r="AY1377" s="17"/>
      <c r="AZ1377" s="17"/>
      <c r="BA1377" s="17"/>
    </row>
    <row r="1378" spans="19:53" x14ac:dyDescent="0.25">
      <c r="S1378" s="17"/>
      <c r="T1378" s="17"/>
      <c r="U1378" s="17"/>
      <c r="AI1378" s="17"/>
      <c r="AJ1378" s="17"/>
      <c r="AK1378" s="17"/>
      <c r="AY1378" s="17"/>
      <c r="AZ1378" s="17"/>
      <c r="BA1378" s="17"/>
    </row>
    <row r="1379" spans="19:53" x14ac:dyDescent="0.25">
      <c r="S1379" s="17"/>
      <c r="T1379" s="17"/>
      <c r="U1379" s="17"/>
      <c r="AI1379" s="17"/>
      <c r="AJ1379" s="17"/>
      <c r="AK1379" s="17"/>
      <c r="AY1379" s="17"/>
      <c r="AZ1379" s="17"/>
      <c r="BA1379" s="17"/>
    </row>
    <row r="1380" spans="19:53" x14ac:dyDescent="0.25">
      <c r="S1380" s="17"/>
      <c r="T1380" s="17"/>
      <c r="U1380" s="17"/>
      <c r="AI1380" s="17"/>
      <c r="AJ1380" s="17"/>
      <c r="AK1380" s="17"/>
      <c r="AY1380" s="17"/>
      <c r="AZ1380" s="17"/>
      <c r="BA1380" s="17"/>
    </row>
    <row r="1381" spans="19:53" x14ac:dyDescent="0.25">
      <c r="S1381" s="17"/>
      <c r="T1381" s="17"/>
      <c r="U1381" s="17"/>
      <c r="AI1381" s="17"/>
      <c r="AJ1381" s="17"/>
      <c r="AK1381" s="17"/>
      <c r="AY1381" s="17"/>
      <c r="AZ1381" s="17"/>
      <c r="BA1381" s="17"/>
    </row>
    <row r="1382" spans="19:53" x14ac:dyDescent="0.25">
      <c r="S1382" s="17"/>
      <c r="T1382" s="17"/>
      <c r="U1382" s="17"/>
      <c r="AI1382" s="17"/>
      <c r="AJ1382" s="17"/>
      <c r="AK1382" s="17"/>
      <c r="AY1382" s="17"/>
      <c r="AZ1382" s="17"/>
      <c r="BA1382" s="17"/>
    </row>
    <row r="1383" spans="19:53" x14ac:dyDescent="0.25">
      <c r="S1383" s="17"/>
      <c r="T1383" s="17"/>
      <c r="U1383" s="17"/>
      <c r="AI1383" s="17"/>
      <c r="AJ1383" s="17"/>
      <c r="AK1383" s="17"/>
      <c r="AY1383" s="17"/>
      <c r="AZ1383" s="17"/>
      <c r="BA1383" s="17"/>
    </row>
    <row r="1384" spans="19:53" x14ac:dyDescent="0.25">
      <c r="S1384" s="17"/>
      <c r="T1384" s="17"/>
      <c r="U1384" s="17"/>
      <c r="AI1384" s="17"/>
      <c r="AJ1384" s="17"/>
      <c r="AK1384" s="17"/>
      <c r="AY1384" s="17"/>
      <c r="AZ1384" s="17"/>
      <c r="BA1384" s="17"/>
    </row>
    <row r="1385" spans="19:53" x14ac:dyDescent="0.25">
      <c r="S1385" s="17"/>
      <c r="T1385" s="17"/>
      <c r="U1385" s="17"/>
      <c r="AI1385" s="17"/>
      <c r="AJ1385" s="17"/>
      <c r="AK1385" s="17"/>
      <c r="AY1385" s="17"/>
      <c r="AZ1385" s="17"/>
      <c r="BA1385" s="17"/>
    </row>
    <row r="1386" spans="19:53" x14ac:dyDescent="0.25">
      <c r="S1386" s="17"/>
      <c r="T1386" s="17"/>
      <c r="U1386" s="17"/>
      <c r="AI1386" s="17"/>
      <c r="AJ1386" s="17"/>
      <c r="AK1386" s="17"/>
      <c r="AY1386" s="17"/>
      <c r="AZ1386" s="17"/>
      <c r="BA1386" s="17"/>
    </row>
    <row r="1387" spans="19:53" x14ac:dyDescent="0.25">
      <c r="S1387" s="17"/>
      <c r="T1387" s="17"/>
      <c r="U1387" s="17"/>
      <c r="AI1387" s="17"/>
      <c r="AJ1387" s="17"/>
      <c r="AK1387" s="17"/>
      <c r="AY1387" s="17"/>
      <c r="AZ1387" s="17"/>
      <c r="BA1387" s="17"/>
    </row>
    <row r="1388" spans="19:53" x14ac:dyDescent="0.25">
      <c r="S1388" s="17"/>
      <c r="T1388" s="17"/>
      <c r="U1388" s="17"/>
      <c r="AI1388" s="17"/>
      <c r="AJ1388" s="17"/>
      <c r="AK1388" s="17"/>
      <c r="AY1388" s="17"/>
      <c r="AZ1388" s="17"/>
      <c r="BA1388" s="17"/>
    </row>
    <row r="1389" spans="19:53" x14ac:dyDescent="0.25">
      <c r="S1389" s="17"/>
      <c r="T1389" s="17"/>
      <c r="U1389" s="17"/>
      <c r="AI1389" s="17"/>
      <c r="AJ1389" s="17"/>
      <c r="AK1389" s="17"/>
      <c r="AY1389" s="17"/>
      <c r="AZ1389" s="17"/>
      <c r="BA1389" s="17"/>
    </row>
    <row r="1390" spans="19:53" x14ac:dyDescent="0.25">
      <c r="S1390" s="17"/>
      <c r="T1390" s="17"/>
      <c r="U1390" s="17"/>
      <c r="AI1390" s="17"/>
      <c r="AJ1390" s="17"/>
      <c r="AK1390" s="17"/>
      <c r="AY1390" s="17"/>
      <c r="AZ1390" s="17"/>
      <c r="BA1390" s="17"/>
    </row>
    <row r="1391" spans="19:53" x14ac:dyDescent="0.25">
      <c r="S1391" s="17"/>
      <c r="T1391" s="17"/>
      <c r="U1391" s="17"/>
      <c r="AI1391" s="17"/>
      <c r="AJ1391" s="17"/>
      <c r="AK1391" s="17"/>
      <c r="AY1391" s="17"/>
      <c r="AZ1391" s="17"/>
      <c r="BA1391" s="17"/>
    </row>
    <row r="1392" spans="19:53" x14ac:dyDescent="0.25">
      <c r="S1392" s="17"/>
      <c r="T1392" s="17"/>
      <c r="U1392" s="17"/>
      <c r="AI1392" s="17"/>
      <c r="AJ1392" s="17"/>
      <c r="AK1392" s="17"/>
      <c r="AY1392" s="17"/>
      <c r="AZ1392" s="17"/>
      <c r="BA1392" s="17"/>
    </row>
    <row r="1393" spans="19:53" x14ac:dyDescent="0.25">
      <c r="S1393" s="17"/>
      <c r="T1393" s="17"/>
      <c r="U1393" s="17"/>
      <c r="AI1393" s="17"/>
      <c r="AJ1393" s="17"/>
      <c r="AK1393" s="17"/>
      <c r="AY1393" s="17"/>
      <c r="AZ1393" s="17"/>
      <c r="BA1393" s="17"/>
    </row>
    <row r="1394" spans="19:53" x14ac:dyDescent="0.25">
      <c r="S1394" s="17"/>
      <c r="T1394" s="17"/>
      <c r="U1394" s="17"/>
      <c r="AI1394" s="17"/>
      <c r="AJ1394" s="17"/>
      <c r="AK1394" s="17"/>
      <c r="AY1394" s="17"/>
      <c r="AZ1394" s="17"/>
      <c r="BA1394" s="17"/>
    </row>
    <row r="1395" spans="19:53" x14ac:dyDescent="0.25">
      <c r="S1395" s="17"/>
      <c r="T1395" s="17"/>
      <c r="U1395" s="17"/>
      <c r="AI1395" s="17"/>
      <c r="AJ1395" s="17"/>
      <c r="AK1395" s="17"/>
      <c r="AY1395" s="17"/>
      <c r="AZ1395" s="17"/>
      <c r="BA1395" s="17"/>
    </row>
    <row r="1396" spans="19:53" x14ac:dyDescent="0.25">
      <c r="S1396" s="17"/>
      <c r="T1396" s="17"/>
      <c r="U1396" s="17"/>
      <c r="AI1396" s="17"/>
      <c r="AJ1396" s="17"/>
      <c r="AK1396" s="17"/>
      <c r="AY1396" s="17"/>
      <c r="AZ1396" s="17"/>
      <c r="BA1396" s="17"/>
    </row>
    <row r="1397" spans="19:53" x14ac:dyDescent="0.25">
      <c r="S1397" s="17"/>
      <c r="T1397" s="17"/>
      <c r="U1397" s="17"/>
      <c r="AI1397" s="17"/>
      <c r="AJ1397" s="17"/>
      <c r="AK1397" s="17"/>
      <c r="AY1397" s="17"/>
      <c r="AZ1397" s="17"/>
      <c r="BA1397" s="17"/>
    </row>
    <row r="1398" spans="19:53" x14ac:dyDescent="0.25">
      <c r="S1398" s="17"/>
      <c r="T1398" s="17"/>
      <c r="U1398" s="17"/>
      <c r="AI1398" s="17"/>
      <c r="AJ1398" s="17"/>
      <c r="AK1398" s="17"/>
      <c r="AY1398" s="17"/>
      <c r="AZ1398" s="17"/>
      <c r="BA1398" s="17"/>
    </row>
    <row r="1399" spans="19:53" x14ac:dyDescent="0.25">
      <c r="S1399" s="17"/>
      <c r="T1399" s="17"/>
      <c r="U1399" s="17"/>
      <c r="AI1399" s="17"/>
      <c r="AJ1399" s="17"/>
      <c r="AK1399" s="17"/>
      <c r="AY1399" s="17"/>
      <c r="AZ1399" s="17"/>
      <c r="BA1399" s="17"/>
    </row>
    <row r="1400" spans="19:53" x14ac:dyDescent="0.25">
      <c r="S1400" s="17"/>
      <c r="T1400" s="17"/>
      <c r="U1400" s="17"/>
      <c r="AI1400" s="17"/>
      <c r="AJ1400" s="17"/>
      <c r="AK1400" s="17"/>
      <c r="AY1400" s="17"/>
      <c r="AZ1400" s="17"/>
      <c r="BA1400" s="17"/>
    </row>
    <row r="1401" spans="19:53" x14ac:dyDescent="0.25">
      <c r="S1401" s="17"/>
      <c r="T1401" s="17"/>
      <c r="U1401" s="17"/>
      <c r="AI1401" s="17"/>
      <c r="AJ1401" s="17"/>
      <c r="AK1401" s="17"/>
      <c r="AY1401" s="17"/>
      <c r="AZ1401" s="17"/>
      <c r="BA1401" s="17"/>
    </row>
    <row r="1402" spans="19:53" x14ac:dyDescent="0.25">
      <c r="S1402" s="17"/>
      <c r="T1402" s="17"/>
      <c r="U1402" s="17"/>
      <c r="AI1402" s="17"/>
      <c r="AJ1402" s="17"/>
      <c r="AK1402" s="17"/>
      <c r="AY1402" s="17"/>
      <c r="AZ1402" s="17"/>
      <c r="BA1402" s="17"/>
    </row>
    <row r="1403" spans="19:53" x14ac:dyDescent="0.25">
      <c r="S1403" s="17"/>
      <c r="T1403" s="17"/>
      <c r="U1403" s="17"/>
      <c r="AI1403" s="17"/>
      <c r="AJ1403" s="17"/>
      <c r="AK1403" s="17"/>
      <c r="AY1403" s="17"/>
      <c r="AZ1403" s="17"/>
      <c r="BA1403" s="17"/>
    </row>
    <row r="1404" spans="19:53" x14ac:dyDescent="0.25">
      <c r="S1404" s="17"/>
      <c r="T1404" s="17"/>
      <c r="U1404" s="17"/>
      <c r="AI1404" s="17"/>
      <c r="AJ1404" s="17"/>
      <c r="AK1404" s="17"/>
      <c r="AY1404" s="17"/>
      <c r="AZ1404" s="17"/>
      <c r="BA1404" s="17"/>
    </row>
    <row r="1405" spans="19:53" x14ac:dyDescent="0.25">
      <c r="S1405" s="17"/>
      <c r="T1405" s="17"/>
      <c r="U1405" s="17"/>
      <c r="AI1405" s="17"/>
      <c r="AJ1405" s="17"/>
      <c r="AK1405" s="17"/>
      <c r="AY1405" s="17"/>
      <c r="AZ1405" s="17"/>
      <c r="BA1405" s="17"/>
    </row>
    <row r="1406" spans="19:53" x14ac:dyDescent="0.25">
      <c r="S1406" s="17"/>
      <c r="T1406" s="17"/>
      <c r="U1406" s="17"/>
      <c r="AI1406" s="17"/>
      <c r="AJ1406" s="17"/>
      <c r="AK1406" s="17"/>
      <c r="AY1406" s="17"/>
      <c r="AZ1406" s="17"/>
      <c r="BA1406" s="17"/>
    </row>
    <row r="1407" spans="19:53" x14ac:dyDescent="0.25">
      <c r="S1407" s="17"/>
      <c r="T1407" s="17"/>
      <c r="U1407" s="17"/>
      <c r="AI1407" s="17"/>
      <c r="AJ1407" s="17"/>
      <c r="AK1407" s="17"/>
      <c r="AY1407" s="17"/>
      <c r="AZ1407" s="17"/>
      <c r="BA1407" s="17"/>
    </row>
    <row r="1408" spans="19:53" x14ac:dyDescent="0.25">
      <c r="S1408" s="17"/>
      <c r="T1408" s="17"/>
      <c r="U1408" s="17"/>
      <c r="AI1408" s="17"/>
      <c r="AJ1408" s="17"/>
      <c r="AK1408" s="17"/>
      <c r="AY1408" s="17"/>
      <c r="AZ1408" s="17"/>
      <c r="BA1408" s="17"/>
    </row>
    <row r="1409" spans="19:53" x14ac:dyDescent="0.25">
      <c r="S1409" s="17"/>
      <c r="T1409" s="17"/>
      <c r="U1409" s="17"/>
      <c r="AI1409" s="17"/>
      <c r="AJ1409" s="17"/>
      <c r="AK1409" s="17"/>
      <c r="AY1409" s="17"/>
      <c r="AZ1409" s="17"/>
      <c r="BA1409" s="17"/>
    </row>
    <row r="1410" spans="19:53" x14ac:dyDescent="0.25">
      <c r="S1410" s="17"/>
      <c r="T1410" s="17"/>
      <c r="U1410" s="17"/>
      <c r="AI1410" s="17"/>
      <c r="AJ1410" s="17"/>
      <c r="AK1410" s="17"/>
      <c r="AY1410" s="17"/>
      <c r="AZ1410" s="17"/>
      <c r="BA1410" s="17"/>
    </row>
    <row r="1411" spans="19:53" x14ac:dyDescent="0.25">
      <c r="S1411" s="17"/>
      <c r="T1411" s="17"/>
      <c r="U1411" s="17"/>
      <c r="AI1411" s="17"/>
      <c r="AJ1411" s="17"/>
      <c r="AK1411" s="17"/>
      <c r="AY1411" s="17"/>
      <c r="AZ1411" s="17"/>
      <c r="BA1411" s="17"/>
    </row>
    <row r="1412" spans="19:53" x14ac:dyDescent="0.25">
      <c r="S1412" s="17"/>
      <c r="T1412" s="17"/>
      <c r="U1412" s="17"/>
      <c r="AI1412" s="17"/>
      <c r="AJ1412" s="17"/>
      <c r="AK1412" s="17"/>
      <c r="AY1412" s="17"/>
      <c r="AZ1412" s="17"/>
      <c r="BA1412" s="17"/>
    </row>
    <row r="1413" spans="19:53" x14ac:dyDescent="0.25">
      <c r="S1413" s="17"/>
      <c r="T1413" s="17"/>
      <c r="U1413" s="17"/>
      <c r="AI1413" s="17"/>
      <c r="AJ1413" s="17"/>
      <c r="AK1413" s="17"/>
      <c r="AY1413" s="17"/>
      <c r="AZ1413" s="17"/>
      <c r="BA1413" s="17"/>
    </row>
    <row r="1414" spans="19:53" x14ac:dyDescent="0.25">
      <c r="S1414" s="17"/>
      <c r="T1414" s="17"/>
      <c r="U1414" s="17"/>
      <c r="AI1414" s="17"/>
      <c r="AJ1414" s="17"/>
      <c r="AK1414" s="17"/>
      <c r="AY1414" s="17"/>
      <c r="AZ1414" s="17"/>
      <c r="BA1414" s="17"/>
    </row>
    <row r="1415" spans="19:53" x14ac:dyDescent="0.25">
      <c r="S1415" s="17"/>
      <c r="T1415" s="17"/>
      <c r="U1415" s="17"/>
      <c r="AI1415" s="17"/>
      <c r="AJ1415" s="17"/>
      <c r="AK1415" s="17"/>
      <c r="AY1415" s="17"/>
      <c r="AZ1415" s="17"/>
      <c r="BA1415" s="17"/>
    </row>
    <row r="1416" spans="19:53" x14ac:dyDescent="0.25">
      <c r="S1416" s="17"/>
      <c r="T1416" s="17"/>
      <c r="U1416" s="17"/>
      <c r="AI1416" s="17"/>
      <c r="AJ1416" s="17"/>
      <c r="AK1416" s="17"/>
      <c r="AY1416" s="17"/>
      <c r="AZ1416" s="17"/>
      <c r="BA1416" s="17"/>
    </row>
    <row r="1417" spans="19:53" x14ac:dyDescent="0.25">
      <c r="S1417" s="17"/>
      <c r="T1417" s="17"/>
      <c r="U1417" s="17"/>
      <c r="AI1417" s="17"/>
      <c r="AJ1417" s="17"/>
      <c r="AK1417" s="17"/>
      <c r="AY1417" s="17"/>
      <c r="AZ1417" s="17"/>
      <c r="BA1417" s="17"/>
    </row>
    <row r="1418" spans="19:53" x14ac:dyDescent="0.25">
      <c r="S1418" s="17"/>
      <c r="T1418" s="17"/>
      <c r="U1418" s="17"/>
      <c r="AI1418" s="17"/>
      <c r="AJ1418" s="17"/>
      <c r="AK1418" s="17"/>
      <c r="AY1418" s="17"/>
      <c r="AZ1418" s="17"/>
      <c r="BA1418" s="17"/>
    </row>
    <row r="1419" spans="19:53" x14ac:dyDescent="0.25">
      <c r="S1419" s="17"/>
      <c r="T1419" s="17"/>
      <c r="U1419" s="17"/>
      <c r="AI1419" s="17"/>
      <c r="AJ1419" s="17"/>
      <c r="AK1419" s="17"/>
      <c r="AY1419" s="17"/>
      <c r="AZ1419" s="17"/>
      <c r="BA1419" s="17"/>
    </row>
    <row r="1420" spans="19:53" x14ac:dyDescent="0.25">
      <c r="S1420" s="17"/>
      <c r="T1420" s="17"/>
      <c r="U1420" s="17"/>
      <c r="AI1420" s="17"/>
      <c r="AJ1420" s="17"/>
      <c r="AK1420" s="17"/>
      <c r="AY1420" s="17"/>
      <c r="AZ1420" s="17"/>
      <c r="BA1420" s="17"/>
    </row>
    <row r="1421" spans="19:53" x14ac:dyDescent="0.25">
      <c r="S1421" s="17"/>
      <c r="T1421" s="17"/>
      <c r="U1421" s="17"/>
      <c r="AI1421" s="17"/>
      <c r="AJ1421" s="17"/>
      <c r="AK1421" s="17"/>
      <c r="AY1421" s="17"/>
      <c r="AZ1421" s="17"/>
      <c r="BA1421" s="17"/>
    </row>
    <row r="1422" spans="19:53" x14ac:dyDescent="0.25">
      <c r="S1422" s="17"/>
      <c r="T1422" s="17"/>
      <c r="U1422" s="17"/>
      <c r="AI1422" s="17"/>
      <c r="AJ1422" s="17"/>
      <c r="AK1422" s="17"/>
      <c r="AY1422" s="17"/>
      <c r="AZ1422" s="17"/>
      <c r="BA1422" s="17"/>
    </row>
    <row r="1423" spans="19:53" x14ac:dyDescent="0.25">
      <c r="S1423" s="17"/>
      <c r="T1423" s="17"/>
      <c r="U1423" s="17"/>
      <c r="AI1423" s="17"/>
      <c r="AJ1423" s="17"/>
      <c r="AK1423" s="17"/>
      <c r="AY1423" s="17"/>
      <c r="AZ1423" s="17"/>
      <c r="BA1423" s="17"/>
    </row>
    <row r="1424" spans="19:53" x14ac:dyDescent="0.25">
      <c r="S1424" s="17"/>
      <c r="T1424" s="17"/>
      <c r="U1424" s="17"/>
      <c r="AI1424" s="17"/>
      <c r="AJ1424" s="17"/>
      <c r="AK1424" s="17"/>
      <c r="AY1424" s="17"/>
      <c r="AZ1424" s="17"/>
      <c r="BA1424" s="17"/>
    </row>
    <row r="1425" spans="19:53" x14ac:dyDescent="0.25">
      <c r="S1425" s="17"/>
      <c r="T1425" s="17"/>
      <c r="U1425" s="17"/>
      <c r="AI1425" s="17"/>
      <c r="AJ1425" s="17"/>
      <c r="AK1425" s="17"/>
      <c r="AY1425" s="17"/>
      <c r="AZ1425" s="17"/>
      <c r="BA1425" s="17"/>
    </row>
  </sheetData>
  <sortState xmlns:xlrd2="http://schemas.microsoft.com/office/spreadsheetml/2017/richdata2" ref="BE15:BE31">
    <sortCondition ref="BE15"/>
  </sortState>
  <mergeCells count="137">
    <mergeCell ref="A1:C1"/>
    <mergeCell ref="B4:D4"/>
    <mergeCell ref="I4:K4"/>
    <mergeCell ref="T4:V4"/>
    <mergeCell ref="AA4:AC4"/>
    <mergeCell ref="AJ4:AL4"/>
    <mergeCell ref="K28:L28"/>
    <mergeCell ref="K29:L29"/>
    <mergeCell ref="AB28:AC28"/>
    <mergeCell ref="AB29:AC29"/>
    <mergeCell ref="AP4:AR4"/>
    <mergeCell ref="AZ4:BB4"/>
    <mergeCell ref="BG4:BI4"/>
    <mergeCell ref="A5:C5"/>
    <mergeCell ref="H5:I5"/>
    <mergeCell ref="S5:U5"/>
    <mergeCell ref="Z5:AA5"/>
    <mergeCell ref="AI5:AK5"/>
    <mergeCell ref="AO5:AP5"/>
    <mergeCell ref="AY5:BA5"/>
    <mergeCell ref="BF5:BG5"/>
    <mergeCell ref="A6:C6"/>
    <mergeCell ref="H6:I6"/>
    <mergeCell ref="S6:U6"/>
    <mergeCell ref="Z6:AA6"/>
    <mergeCell ref="AI6:AK6"/>
    <mergeCell ref="AO6:AP6"/>
    <mergeCell ref="AY6:BA6"/>
    <mergeCell ref="BF6:BG6"/>
    <mergeCell ref="H9:I9"/>
    <mergeCell ref="Z9:AA9"/>
    <mergeCell ref="AO9:AP9"/>
    <mergeCell ref="BF9:BG9"/>
    <mergeCell ref="B10:C10"/>
    <mergeCell ref="T10:U10"/>
    <mergeCell ref="AJ10:AK10"/>
    <mergeCell ref="AZ10:BA10"/>
    <mergeCell ref="H7:I7"/>
    <mergeCell ref="Z7:AA7"/>
    <mergeCell ref="AO7:AP7"/>
    <mergeCell ref="BF7:BG7"/>
    <mergeCell ref="H8:I8"/>
    <mergeCell ref="Z8:AA8"/>
    <mergeCell ref="AO8:AP8"/>
    <mergeCell ref="BF8:BG8"/>
    <mergeCell ref="BE13:BI13"/>
    <mergeCell ref="BJ13:BL13"/>
    <mergeCell ref="K14:L14"/>
    <mergeCell ref="AB14:AC14"/>
    <mergeCell ref="AR14:AS14"/>
    <mergeCell ref="BH14:BI14"/>
    <mergeCell ref="H13:L13"/>
    <mergeCell ref="M13:O13"/>
    <mergeCell ref="Y13:AC13"/>
    <mergeCell ref="AD13:AF13"/>
    <mergeCell ref="AO13:AS13"/>
    <mergeCell ref="AT13:AV13"/>
    <mergeCell ref="K17:L17"/>
    <mergeCell ref="AB17:AC17"/>
    <mergeCell ref="AR17:AS17"/>
    <mergeCell ref="BH17:BI17"/>
    <mergeCell ref="K18:L18"/>
    <mergeCell ref="AB18:AC18"/>
    <mergeCell ref="AR18:AS18"/>
    <mergeCell ref="BH18:BI18"/>
    <mergeCell ref="K15:L15"/>
    <mergeCell ref="AB15:AC15"/>
    <mergeCell ref="AR15:AS15"/>
    <mergeCell ref="BH15:BI15"/>
    <mergeCell ref="K16:L16"/>
    <mergeCell ref="AB16:AC16"/>
    <mergeCell ref="AR16:AS16"/>
    <mergeCell ref="BH16:BI16"/>
    <mergeCell ref="K21:L21"/>
    <mergeCell ref="AB21:AC21"/>
    <mergeCell ref="AR21:AS21"/>
    <mergeCell ref="BH21:BI21"/>
    <mergeCell ref="K22:L22"/>
    <mergeCell ref="AB22:AC22"/>
    <mergeCell ref="AR22:AS22"/>
    <mergeCell ref="BH22:BI22"/>
    <mergeCell ref="K19:L19"/>
    <mergeCell ref="AB19:AC19"/>
    <mergeCell ref="AR19:AS19"/>
    <mergeCell ref="BH19:BI19"/>
    <mergeCell ref="K20:L20"/>
    <mergeCell ref="AB20:AC20"/>
    <mergeCell ref="AR20:AS20"/>
    <mergeCell ref="BH20:BI20"/>
    <mergeCell ref="K25:L25"/>
    <mergeCell ref="AB25:AC25"/>
    <mergeCell ref="AR25:AS25"/>
    <mergeCell ref="BH25:BI25"/>
    <mergeCell ref="K26:L26"/>
    <mergeCell ref="AB26:AC26"/>
    <mergeCell ref="AR26:AS26"/>
    <mergeCell ref="BH26:BI26"/>
    <mergeCell ref="K23:L23"/>
    <mergeCell ref="AB23:AC23"/>
    <mergeCell ref="AR23:AS23"/>
    <mergeCell ref="BH23:BI23"/>
    <mergeCell ref="K24:L24"/>
    <mergeCell ref="AB24:AC24"/>
    <mergeCell ref="AR24:AS24"/>
    <mergeCell ref="BH24:BI24"/>
    <mergeCell ref="X97:AB97"/>
    <mergeCell ref="X98:AB98"/>
    <mergeCell ref="X99:AB99"/>
    <mergeCell ref="AN99:AR99"/>
    <mergeCell ref="BE99:BI99"/>
    <mergeCell ref="AN100:AR100"/>
    <mergeCell ref="BE100:BI100"/>
    <mergeCell ref="K27:L27"/>
    <mergeCell ref="AB27:AC27"/>
    <mergeCell ref="AR27:AS27"/>
    <mergeCell ref="BH27:BI27"/>
    <mergeCell ref="X95:AB95"/>
    <mergeCell ref="X96:AB96"/>
    <mergeCell ref="AB30:AC30"/>
    <mergeCell ref="AR28:AS28"/>
    <mergeCell ref="AR29:AS29"/>
    <mergeCell ref="AR30:AS30"/>
    <mergeCell ref="BH28:BI28"/>
    <mergeCell ref="BH29:BI29"/>
    <mergeCell ref="BH30:BI30"/>
    <mergeCell ref="BH31:BI31"/>
    <mergeCell ref="G103:K103"/>
    <mergeCell ref="AN103:AR103"/>
    <mergeCell ref="BE103:BI103"/>
    <mergeCell ref="G104:K104"/>
    <mergeCell ref="G105:K105"/>
    <mergeCell ref="G101:K101"/>
    <mergeCell ref="AN101:AR101"/>
    <mergeCell ref="BE101:BI101"/>
    <mergeCell ref="G102:K102"/>
    <mergeCell ref="AN102:AR102"/>
    <mergeCell ref="BE102:BI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1.2.1 Равномерное</vt:lpstr>
      <vt:lpstr>1.2.2 Нормальное</vt:lpstr>
      <vt:lpstr>1.2.3 Гамма-распределение</vt:lpstr>
      <vt:lpstr>1.2.4 Бета-распределение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 ouda</dc:creator>
  <cp:lastModifiedBy>Sos ouda</cp:lastModifiedBy>
  <dcterms:created xsi:type="dcterms:W3CDTF">2025-09-22T10:09:16Z</dcterms:created>
  <dcterms:modified xsi:type="dcterms:W3CDTF">2025-09-29T16:33:52Z</dcterms:modified>
</cp:coreProperties>
</file>