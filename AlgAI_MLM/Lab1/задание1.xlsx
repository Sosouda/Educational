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ran\Downloads\Вилисов\Zadanie1\"/>
    </mc:Choice>
  </mc:AlternateContent>
  <xr:revisionPtr revIDLastSave="0" documentId="13_ncr:1_{AFE049E1-EC58-4F7B-A419-7A6BAF71AF1E}" xr6:coauthVersionLast="47" xr6:coauthVersionMax="47" xr10:uidLastSave="{00000000-0000-0000-0000-000000000000}"/>
  <bookViews>
    <workbookView xWindow="-120" yWindow="-120" windowWidth="29040" windowHeight="15840" xr2:uid="{EE1AAD57-A1DF-4551-9DB7-50FC0659E0DA}"/>
  </bookViews>
  <sheets>
    <sheet name="1.1.1 Бернулли" sheetId="1" r:id="rId1"/>
    <sheet name="1.1.2 Биномиальное" sheetId="2" r:id="rId2"/>
    <sheet name="1.1.3 Пуассона" sheetId="3" r:id="rId3"/>
    <sheet name="1.1.4 Дискретное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0" i="1" s="1"/>
  <c r="I53" i="5"/>
  <c r="I52" i="5"/>
  <c r="I51" i="5"/>
  <c r="I50" i="5"/>
  <c r="I49" i="5"/>
  <c r="L38" i="5"/>
  <c r="L31" i="5"/>
  <c r="L29" i="5"/>
  <c r="L39" i="3"/>
  <c r="L31" i="3"/>
  <c r="L32" i="3" s="1"/>
  <c r="L33" i="3" s="1"/>
  <c r="L34" i="3" s="1"/>
  <c r="L35" i="3" s="1"/>
  <c r="L36" i="3" s="1"/>
  <c r="L37" i="3" s="1"/>
  <c r="L38" i="3" s="1"/>
  <c r="L30" i="3"/>
  <c r="L29" i="3"/>
  <c r="L31" i="2"/>
  <c r="L32" i="2" s="1"/>
  <c r="L33" i="2" s="1"/>
  <c r="L34" i="2" s="1"/>
  <c r="L35" i="2" s="1"/>
  <c r="L30" i="2"/>
  <c r="L29" i="2"/>
  <c r="L32" i="5"/>
  <c r="L33" i="5" s="1"/>
  <c r="L34" i="5" s="1"/>
  <c r="L35" i="5" s="1"/>
  <c r="L36" i="5" s="1"/>
  <c r="L37" i="5" s="1"/>
  <c r="L30" i="5"/>
  <c r="J40" i="5"/>
  <c r="K40" i="5"/>
  <c r="J29" i="3"/>
  <c r="J29" i="5"/>
  <c r="J30" i="5"/>
  <c r="J31" i="5"/>
  <c r="J32" i="5"/>
  <c r="J33" i="5"/>
  <c r="J34" i="5"/>
  <c r="J35" i="5"/>
  <c r="J36" i="5"/>
  <c r="J37" i="5"/>
  <c r="J38" i="5"/>
  <c r="H40" i="5"/>
  <c r="C17" i="5"/>
  <c r="B17" i="5"/>
  <c r="I56" i="3"/>
  <c r="I55" i="3"/>
  <c r="I54" i="3"/>
  <c r="I53" i="3"/>
  <c r="I52" i="3"/>
  <c r="K29" i="3"/>
  <c r="K30" i="3"/>
  <c r="K31" i="3"/>
  <c r="K32" i="3"/>
  <c r="K33" i="3"/>
  <c r="K34" i="3"/>
  <c r="K35" i="3"/>
  <c r="K36" i="3"/>
  <c r="K37" i="3"/>
  <c r="K38" i="3"/>
  <c r="K39" i="3"/>
  <c r="J41" i="3"/>
  <c r="J30" i="3"/>
  <c r="J31" i="3"/>
  <c r="J32" i="3"/>
  <c r="J33" i="3"/>
  <c r="J34" i="3"/>
  <c r="J35" i="3"/>
  <c r="J36" i="3"/>
  <c r="J37" i="3"/>
  <c r="J38" i="3"/>
  <c r="J39" i="3"/>
  <c r="H41" i="3"/>
  <c r="I56" i="2"/>
  <c r="I55" i="2"/>
  <c r="I54" i="2"/>
  <c r="I53" i="2"/>
  <c r="I52" i="2"/>
  <c r="K37" i="2"/>
  <c r="J37" i="2"/>
  <c r="K30" i="2"/>
  <c r="K31" i="2"/>
  <c r="K32" i="2"/>
  <c r="K33" i="2"/>
  <c r="K34" i="2"/>
  <c r="K35" i="2"/>
  <c r="K29" i="2"/>
  <c r="J30" i="2"/>
  <c r="J31" i="2"/>
  <c r="J32" i="2"/>
  <c r="J33" i="2"/>
  <c r="J34" i="2"/>
  <c r="J35" i="2"/>
  <c r="J29" i="2"/>
  <c r="H37" i="2"/>
  <c r="I42" i="1"/>
  <c r="I41" i="1"/>
  <c r="I39" i="1"/>
  <c r="I40" i="1"/>
  <c r="I38" i="1"/>
  <c r="K29" i="1"/>
  <c r="J30" i="1"/>
  <c r="J29" i="1"/>
  <c r="K32" i="1"/>
  <c r="J32" i="1"/>
  <c r="H32" i="1"/>
  <c r="K30" i="1"/>
  <c r="K41" i="3" l="1"/>
</calcChain>
</file>

<file path=xl/sharedStrings.xml><?xml version="1.0" encoding="utf-8"?>
<sst xmlns="http://schemas.openxmlformats.org/spreadsheetml/2006/main" count="97" uniqueCount="36">
  <si>
    <r>
      <t>Задание 1.1 (Бернулли).</t>
    </r>
    <r>
      <rPr>
        <sz val="11"/>
        <color rgb="FFFF0000"/>
        <rFont val="Aptos Narrow"/>
        <family val="2"/>
        <scheme val="minor"/>
      </rPr>
      <t xml:space="preserve"> Вариант 2176</t>
    </r>
  </si>
  <si>
    <t>Параметры распределения</t>
  </si>
  <si>
    <r>
      <t>Вероятность события(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), </t>
    </r>
    <r>
      <rPr>
        <b/>
        <sz val="11"/>
        <color theme="1"/>
        <rFont val="Aptos Narrow"/>
        <family val="2"/>
        <scheme val="minor"/>
      </rPr>
      <t xml:space="preserve">p </t>
    </r>
    <r>
      <rPr>
        <sz val="11"/>
        <color theme="1"/>
        <rFont val="Aptos Narrow"/>
        <family val="2"/>
        <scheme val="minor"/>
      </rPr>
      <t>=</t>
    </r>
  </si>
  <si>
    <r>
      <t xml:space="preserve">Объем выборки </t>
    </r>
    <r>
      <rPr>
        <b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=</t>
    </r>
  </si>
  <si>
    <t>Выборка</t>
  </si>
  <si>
    <t>k</t>
  </si>
  <si>
    <t>x</t>
  </si>
  <si>
    <t>Гистограмма распределения вероятностей</t>
  </si>
  <si>
    <t>Карманы</t>
  </si>
  <si>
    <t>Карман</t>
  </si>
  <si>
    <t>Частота</t>
  </si>
  <si>
    <t>Еще</t>
  </si>
  <si>
    <t>Всего:</t>
  </si>
  <si>
    <t>Отн.частота</t>
  </si>
  <si>
    <t>Теор.</t>
  </si>
  <si>
    <t>F(x)</t>
  </si>
  <si>
    <t>Сумма:</t>
  </si>
  <si>
    <t>Выборочные оценки статистических характеристик</t>
  </si>
  <si>
    <t>Математическое ожидание (МО)</t>
  </si>
  <si>
    <t>Среднеквадратичное отклонение (СКО)</t>
  </si>
  <si>
    <t>Дисперсия</t>
  </si>
  <si>
    <t>Ассиметрия</t>
  </si>
  <si>
    <t>Эксцесс</t>
  </si>
  <si>
    <r>
      <t>Задание 1.1 (Биномиальное).</t>
    </r>
    <r>
      <rPr>
        <sz val="11"/>
        <color rgb="FFFF0000"/>
        <rFont val="Aptos Narrow"/>
        <family val="2"/>
        <scheme val="minor"/>
      </rPr>
      <t xml:space="preserve"> Вариант 2176</t>
    </r>
  </si>
  <si>
    <t xml:space="preserve">Число испытаний </t>
  </si>
  <si>
    <t>m</t>
  </si>
  <si>
    <t>p</t>
  </si>
  <si>
    <r>
      <t>Вероятность (Бернулли</t>
    </r>
    <r>
      <rPr>
        <sz val="11"/>
        <color theme="1"/>
        <rFont val="Aptos Narrow"/>
        <family val="2"/>
        <scheme val="minor"/>
      </rPr>
      <t>)</t>
    </r>
  </si>
  <si>
    <t>Всего</t>
  </si>
  <si>
    <r>
      <t>Задание 1.1 (Пуассона).</t>
    </r>
    <r>
      <rPr>
        <sz val="11"/>
        <color rgb="FFFF0000"/>
        <rFont val="Aptos Narrow"/>
        <family val="2"/>
        <scheme val="minor"/>
      </rPr>
      <t xml:space="preserve"> Вариант 2176</t>
    </r>
  </si>
  <si>
    <t>λ</t>
  </si>
  <si>
    <r>
      <t>Задание 1.1 (Дискретное).</t>
    </r>
    <r>
      <rPr>
        <sz val="11"/>
        <color rgb="FFFF0000"/>
        <rFont val="Aptos Narrow"/>
        <family val="2"/>
        <scheme val="minor"/>
      </rPr>
      <t xml:space="preserve"> Вариант 2176</t>
    </r>
  </si>
  <si>
    <t>Знач. Xi</t>
  </si>
  <si>
    <t>Вероятн. P(xi)</t>
  </si>
  <si>
    <t>Исх.ген.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</si>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</sst>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" fontId="0" fillId="0" borderId="0" xfId="0" applyNumberFormat="1"/>
    <xf numFmtId="1" fontId="0" fillId="4" borderId="0" xfId="0" applyNumberFormat="1" applyFill="1"/>
    <xf numFmtId="16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0" xfId="0" applyFont="1" applyFill="1" applyAlignmen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/>
    <xf numFmtId="164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Реализация СП, имеющего распределение Бернулли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Бернулли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'1.1.1 Бернулли'!$A$12:$A$196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'1.1.1 Бернулли'!$B$12:$B$196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D-4288-8930-DCCC58E90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393360"/>
        <c:axId val="431393840"/>
      </c:scatterChart>
      <c:valAx>
        <c:axId val="43139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393840"/>
        <c:crosses val="autoZero"/>
        <c:crossBetween val="midCat"/>
      </c:valAx>
      <c:valAx>
        <c:axId val="431393840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39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'1.1.1 Бернулли'!$G$29:$G$30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'1.1.1 Бернулли'!$H$29:$H$30</c:f>
              <c:numCache>
                <c:formatCode>General</c:formatCode>
                <c:ptCount val="2"/>
                <c:pt idx="0">
                  <c:v>127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C-4C36-908F-A2BC2693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6890411977854994"/>
          <c:h val="7.8792650918635174E-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7766584844910578"/>
          <c:y val="0.18332252586073799"/>
          <c:w val="0.56071748116505671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'1.1.1 Бернулли'!$G$29:$G$30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'1.1.1 Бернулли'!$J$29:$J$30</c:f>
              <c:numCache>
                <c:formatCode>0.00000</c:formatCode>
                <c:ptCount val="2"/>
                <c:pt idx="0">
                  <c:v>0.68648648648648647</c:v>
                </c:pt>
                <c:pt idx="1">
                  <c:v>0.31351351351351353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8-4CEB-8FC6-F7501E9C187A}"/>
            </c:ext>
          </c:extLst>
        </c:ser>
        <c:ser>
          <c:idx val="1"/>
          <c:order val="1"/>
          <c:tx>
            <c:v>Теор.</c:v>
          </c:tx>
          <c:invertIfNegative val="0"/>
          <c:val>
            <c:numRef>
              <c:f>'1.1.1 Бернулли'!$K$29:$K$30</c:f>
              <c:numCache>
                <c:formatCode>0.00000</c:formatCode>
                <c:ptCount val="2"/>
                <c:pt idx="0">
                  <c:v>0.66918546098208564</c:v>
                </c:pt>
                <c:pt idx="1">
                  <c:v>0.33081453901791436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8-4CEB-8FC6-F7501E9C1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8482339707536558"/>
          <c:h val="0.1146250836292522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'1.1.1 Бернулли'!$E$29:$E$30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'1.1.1 Бернулли'!$L$29:$L$30</c:f>
              <c:numCache>
                <c:formatCode>0</c:formatCode>
                <c:ptCount val="2"/>
                <c:pt idx="0" formatCode="0.00000">
                  <c:v>0.68648648648648647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8-4F79-8218-70B205400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914727325750947"/>
          <c:y val="0.18332252586073799"/>
          <c:w val="0.67923609548806396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'1.1.1 Бернулли'!$G$29:$G$30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'1.1.2 Биномиальное'!$J$29:$J$35</c:f>
              <c:numCache>
                <c:formatCode>0.00000</c:formatCode>
                <c:ptCount val="7"/>
                <c:pt idx="0">
                  <c:v>9.1743119266055051E-2</c:v>
                </c:pt>
                <c:pt idx="1">
                  <c:v>0.27522935779816515</c:v>
                </c:pt>
                <c:pt idx="2">
                  <c:v>0.28440366972477066</c:v>
                </c:pt>
                <c:pt idx="3">
                  <c:v>0.22935779816513763</c:v>
                </c:pt>
                <c:pt idx="4">
                  <c:v>0.11009174311926606</c:v>
                </c:pt>
                <c:pt idx="5">
                  <c:v>9.1743119266055051E-3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1-4FBF-913F-62AD680F3B94}"/>
            </c:ext>
          </c:extLst>
        </c:ser>
        <c:ser>
          <c:idx val="1"/>
          <c:order val="1"/>
          <c:tx>
            <c:v>Теор.</c:v>
          </c:tx>
          <c:invertIfNegative val="0"/>
          <c:val>
            <c:numRef>
              <c:f>'1.1.2 Биномиальное'!$K$29:$K$35</c:f>
              <c:numCache>
                <c:formatCode>0.00000</c:formatCode>
                <c:ptCount val="7"/>
                <c:pt idx="0">
                  <c:v>8.9800546635092529E-2</c:v>
                </c:pt>
                <c:pt idx="1">
                  <c:v>0.26635958045215335</c:v>
                </c:pt>
                <c:pt idx="2">
                  <c:v>0.32918983958111969</c:v>
                </c:pt>
                <c:pt idx="3">
                  <c:v>0.21698177138235736</c:v>
                </c:pt>
                <c:pt idx="4">
                  <c:v>8.044936216538634E-2</c:v>
                </c:pt>
                <c:pt idx="5">
                  <c:v>1.5908187018868883E-2</c:v>
                </c:pt>
                <c:pt idx="6">
                  <c:v>1.3107127650219437E-3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1-4FBF-913F-62AD680F3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8482339707536558"/>
          <c:h val="0.1146250836292522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'1.1.2 Биномиальное'!$E$29:$E$35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'1.1.2 Биномиальное'!$L$29:$L$35</c:f>
              <c:numCache>
                <c:formatCode>0.00000</c:formatCode>
                <c:ptCount val="7"/>
                <c:pt idx="0">
                  <c:v>9.1743119266055051E-2</c:v>
                </c:pt>
                <c:pt idx="1">
                  <c:v>0.3669724770642202</c:v>
                </c:pt>
                <c:pt idx="2">
                  <c:v>0.65137614678899092</c:v>
                </c:pt>
                <c:pt idx="3">
                  <c:v>0.88073394495412849</c:v>
                </c:pt>
                <c:pt idx="4">
                  <c:v>0.99082568807339455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7-4437-9B73-B38B2BEAC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</a:t>
            </a:r>
            <a:r>
              <a:rPr lang="ru-RU" baseline="0"/>
              <a:t> СП, имеющего распределение Биномиальное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'1.1.2 Биномиальное'!$B$12:$B$120</c:f>
              <c:numCache>
                <c:formatCode>General</c:formatCode>
                <c:ptCount val="10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1</c:v>
                </c:pt>
                <c:pt idx="38">
                  <c:v>5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1</c:v>
                </c:pt>
                <c:pt idx="70">
                  <c:v>4</c:v>
                </c:pt>
                <c:pt idx="71">
                  <c:v>3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0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4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9-44FC-9D9F-02213049E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32704"/>
        <c:axId val="804430784"/>
      </c:scatterChart>
      <c:valAx>
        <c:axId val="80443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30784"/>
        <c:crosses val="autoZero"/>
        <c:crossBetween val="midCat"/>
      </c:valAx>
      <c:valAx>
        <c:axId val="8044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3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649888259988721"/>
          <c:y val="0.19892451701365091"/>
          <c:w val="0.72814469809310967"/>
          <c:h val="0.58277715708090205"/>
        </c:manualLayout>
      </c:layout>
      <c:barChart>
        <c:barDir val="col"/>
        <c:grouping val="clustered"/>
        <c:varyColors val="0"/>
        <c:ser>
          <c:idx val="0"/>
          <c:order val="0"/>
          <c:tx>
            <c:v>Биномиальное</c:v>
          </c:tx>
          <c:invertIfNegative val="0"/>
          <c:cat>
            <c:numRef>
              <c:f>'1.1.2 Биномиальное'!$G$29:$G$35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'1.1.2 Биномиальное'!$H$29:$H$35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31</c:v>
                </c:pt>
                <c:pt idx="3">
                  <c:v>25</c:v>
                </c:pt>
                <c:pt idx="4">
                  <c:v>12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2-4E76-B3A5-2E212A8C2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432224"/>
        <c:axId val="804432704"/>
      </c:barChart>
      <c:catAx>
        <c:axId val="8044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4432704"/>
        <c:crosses val="autoZero"/>
        <c:auto val="1"/>
        <c:lblAlgn val="ctr"/>
        <c:lblOffset val="100"/>
        <c:noMultiLvlLbl val="0"/>
      </c:catAx>
      <c:valAx>
        <c:axId val="80443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443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8782443861184022E-2"/>
          <c:y val="0.88507581209426944"/>
          <c:w val="0.27865438570841772"/>
          <c:h val="8.5498440274172208E-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57245309614076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914727325750947"/>
          <c:y val="0.18332252586073799"/>
          <c:w val="0.67923609548806396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'1.1.1 Бернулли'!$G$29:$G$30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'1.1.3 Пуассона'!$J$29:$J$39</c:f>
              <c:numCache>
                <c:formatCode>0.00000</c:formatCode>
                <c:ptCount val="11"/>
                <c:pt idx="0">
                  <c:v>1.1904761904761904E-2</c:v>
                </c:pt>
                <c:pt idx="1">
                  <c:v>0.10119047619047619</c:v>
                </c:pt>
                <c:pt idx="2">
                  <c:v>0.16071428571428573</c:v>
                </c:pt>
                <c:pt idx="3">
                  <c:v>0.16071428571428573</c:v>
                </c:pt>
                <c:pt idx="4">
                  <c:v>0.20833333333333334</c:v>
                </c:pt>
                <c:pt idx="5">
                  <c:v>0.13690476190476192</c:v>
                </c:pt>
                <c:pt idx="6">
                  <c:v>0.125</c:v>
                </c:pt>
                <c:pt idx="7">
                  <c:v>4.1666666666666664E-2</c:v>
                </c:pt>
                <c:pt idx="8">
                  <c:v>1.1904761904761904E-2</c:v>
                </c:pt>
                <c:pt idx="9">
                  <c:v>2.976190476190476E-2</c:v>
                </c:pt>
                <c:pt idx="10">
                  <c:v>1.1904761904761904E-2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7-4116-875B-9DF9D4E1BCB5}"/>
            </c:ext>
          </c:extLst>
        </c:ser>
        <c:ser>
          <c:idx val="1"/>
          <c:order val="1"/>
          <c:tx>
            <c:v>Теор.</c:v>
          </c:tx>
          <c:invertIfNegative val="0"/>
          <c:val>
            <c:numRef>
              <c:f>'1.1.3 Пуассона'!$K$29:$K$39</c:f>
              <c:numCache>
                <c:formatCode>0.00000</c:formatCode>
                <c:ptCount val="11"/>
                <c:pt idx="0">
                  <c:v>2.3654690507735908E-2</c:v>
                </c:pt>
                <c:pt idx="1">
                  <c:v>8.8567746807217254E-2</c:v>
                </c:pt>
                <c:pt idx="2">
                  <c:v>0.1658074066101605</c:v>
                </c:pt>
                <c:pt idx="3">
                  <c:v>0.20693835756883605</c:v>
                </c:pt>
                <c:pt idx="4">
                  <c:v>0.1937043316193901</c:v>
                </c:pt>
                <c:pt idx="5">
                  <c:v>0.14505331357192597</c:v>
                </c:pt>
                <c:pt idx="6">
                  <c:v>9.0517954186047467E-2</c:v>
                </c:pt>
                <c:pt idx="7">
                  <c:v>4.8416681100189762E-2</c:v>
                </c:pt>
                <c:pt idx="8">
                  <c:v>2.266017997321192E-2</c:v>
                </c:pt>
                <c:pt idx="9">
                  <c:v>9.4271229529488687E-3</c:v>
                </c:pt>
                <c:pt idx="10">
                  <c:v>3.5296975817300461E-3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7-4116-875B-9DF9D4E1B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8482339707536558"/>
          <c:h val="0.1146250836292522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'1.1.3 Пуассона'!$E$29:$E$39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'1.1.3 Пуассона'!$L$29:$L$39</c:f>
              <c:numCache>
                <c:formatCode>0.00000</c:formatCode>
                <c:ptCount val="11"/>
                <c:pt idx="0">
                  <c:v>1.1904761904761904E-2</c:v>
                </c:pt>
                <c:pt idx="1">
                  <c:v>0.1130952380952381</c:v>
                </c:pt>
                <c:pt idx="2">
                  <c:v>0.27380952380952384</c:v>
                </c:pt>
                <c:pt idx="3">
                  <c:v>0.43452380952380953</c:v>
                </c:pt>
                <c:pt idx="4">
                  <c:v>0.6428571428571429</c:v>
                </c:pt>
                <c:pt idx="5">
                  <c:v>0.77976190476190488</c:v>
                </c:pt>
                <c:pt idx="6">
                  <c:v>0.90476190476190488</c:v>
                </c:pt>
                <c:pt idx="7">
                  <c:v>0.94642857142857151</c:v>
                </c:pt>
                <c:pt idx="8">
                  <c:v>0.95833333333333337</c:v>
                </c:pt>
                <c:pt idx="9">
                  <c:v>0.98809523809523814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E-4309-B0AB-8CC1D689E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</a:t>
            </a:r>
            <a:r>
              <a:rPr lang="ru-RU" baseline="0"/>
              <a:t> СП, имеющего распределение Пуассона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6749999999999998"/>
          <c:w val="0.88397462817147854"/>
          <c:h val="0.725470982793817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'1.1.3 Пуассона'!$B$12:$B$179</c:f>
              <c:numCache>
                <c:formatCode>General</c:formatCode>
                <c:ptCount val="16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5</c:v>
                </c:pt>
                <c:pt idx="16">
                  <c:v>9</c:v>
                </c:pt>
                <c:pt idx="17">
                  <c:v>3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7</c:v>
                </c:pt>
                <c:pt idx="27">
                  <c:v>4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5</c:v>
                </c:pt>
                <c:pt idx="32">
                  <c:v>8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4</c:v>
                </c:pt>
                <c:pt idx="37">
                  <c:v>1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9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2</c:v>
                </c:pt>
                <c:pt idx="55">
                  <c:v>5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5</c:v>
                </c:pt>
                <c:pt idx="62">
                  <c:v>4</c:v>
                </c:pt>
                <c:pt idx="63">
                  <c:v>2</c:v>
                </c:pt>
                <c:pt idx="64">
                  <c:v>4</c:v>
                </c:pt>
                <c:pt idx="65">
                  <c:v>3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2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1</c:v>
                </c:pt>
                <c:pt idx="79">
                  <c:v>1</c:v>
                </c:pt>
                <c:pt idx="80">
                  <c:v>4</c:v>
                </c:pt>
                <c:pt idx="81">
                  <c:v>4</c:v>
                </c:pt>
                <c:pt idx="82">
                  <c:v>1</c:v>
                </c:pt>
                <c:pt idx="83">
                  <c:v>8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6</c:v>
                </c:pt>
                <c:pt idx="90">
                  <c:v>3</c:v>
                </c:pt>
                <c:pt idx="91">
                  <c:v>3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9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3</c:v>
                </c:pt>
                <c:pt idx="102">
                  <c:v>3</c:v>
                </c:pt>
                <c:pt idx="103">
                  <c:v>1</c:v>
                </c:pt>
                <c:pt idx="104">
                  <c:v>5</c:v>
                </c:pt>
                <c:pt idx="105">
                  <c:v>2</c:v>
                </c:pt>
                <c:pt idx="106">
                  <c:v>4</c:v>
                </c:pt>
                <c:pt idx="107">
                  <c:v>9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3</c:v>
                </c:pt>
                <c:pt idx="118">
                  <c:v>3</c:v>
                </c:pt>
                <c:pt idx="119">
                  <c:v>1</c:v>
                </c:pt>
                <c:pt idx="120">
                  <c:v>10</c:v>
                </c:pt>
                <c:pt idx="121">
                  <c:v>0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4</c:v>
                </c:pt>
                <c:pt idx="126">
                  <c:v>2</c:v>
                </c:pt>
                <c:pt idx="127">
                  <c:v>5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2</c:v>
                </c:pt>
                <c:pt idx="132">
                  <c:v>7</c:v>
                </c:pt>
                <c:pt idx="133">
                  <c:v>4</c:v>
                </c:pt>
                <c:pt idx="134">
                  <c:v>4</c:v>
                </c:pt>
                <c:pt idx="135">
                  <c:v>9</c:v>
                </c:pt>
                <c:pt idx="136">
                  <c:v>6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4</c:v>
                </c:pt>
                <c:pt idx="142">
                  <c:v>1</c:v>
                </c:pt>
                <c:pt idx="143">
                  <c:v>7</c:v>
                </c:pt>
                <c:pt idx="144">
                  <c:v>2</c:v>
                </c:pt>
                <c:pt idx="145">
                  <c:v>2</c:v>
                </c:pt>
                <c:pt idx="146">
                  <c:v>5</c:v>
                </c:pt>
                <c:pt idx="147">
                  <c:v>4</c:v>
                </c:pt>
                <c:pt idx="148">
                  <c:v>6</c:v>
                </c:pt>
                <c:pt idx="149">
                  <c:v>4</c:v>
                </c:pt>
                <c:pt idx="150">
                  <c:v>10</c:v>
                </c:pt>
                <c:pt idx="151">
                  <c:v>6</c:v>
                </c:pt>
                <c:pt idx="152">
                  <c:v>1</c:v>
                </c:pt>
                <c:pt idx="153">
                  <c:v>6</c:v>
                </c:pt>
                <c:pt idx="154">
                  <c:v>5</c:v>
                </c:pt>
                <c:pt idx="155">
                  <c:v>7</c:v>
                </c:pt>
                <c:pt idx="156">
                  <c:v>2</c:v>
                </c:pt>
                <c:pt idx="157">
                  <c:v>7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2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5</c:v>
                </c:pt>
                <c:pt idx="16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2-4908-96C1-B4400169A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231936"/>
        <c:axId val="906234336"/>
      </c:scatterChart>
      <c:valAx>
        <c:axId val="9062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6234336"/>
        <c:crosses val="autoZero"/>
        <c:crossBetween val="midCat"/>
      </c:valAx>
      <c:valAx>
        <c:axId val="9062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62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533541547530024"/>
          <c:y val="0.18824393595095915"/>
          <c:w val="0.77693837153037426"/>
          <c:h val="0.60517853053603199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'1.1.3 Пуассона'!$G$29:$G$40</c15:sqref>
                  </c15:fullRef>
                </c:ext>
              </c:extLst>
              <c:f>'1.1.3 Пуассона'!$G$29:$G$39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'1.1.3 Пуассона'!$H$29:$H$40</c15:sqref>
                  </c15:fullRef>
                </c:ext>
              </c:extLst>
              <c:f>'1.1.3 Пуассона'!$H$29:$H$39</c:f>
              <c:numCache>
                <c:formatCode>General</c:formatCode>
                <c:ptCount val="11"/>
                <c:pt idx="0">
                  <c:v>2</c:v>
                </c:pt>
                <c:pt idx="1">
                  <c:v>17</c:v>
                </c:pt>
                <c:pt idx="2">
                  <c:v>27</c:v>
                </c:pt>
                <c:pt idx="3">
                  <c:v>27</c:v>
                </c:pt>
                <c:pt idx="4">
                  <c:v>35</c:v>
                </c:pt>
                <c:pt idx="5">
                  <c:v>23</c:v>
                </c:pt>
                <c:pt idx="6">
                  <c:v>21</c:v>
                </c:pt>
                <c:pt idx="7">
                  <c:v>7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6-4C61-A162-BA87F426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215264"/>
        <c:axId val="534212384"/>
      </c:barChart>
      <c:catAx>
        <c:axId val="53421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212384"/>
        <c:crosses val="autoZero"/>
        <c:auto val="1"/>
        <c:lblAlgn val="ctr"/>
        <c:lblOffset val="100"/>
        <c:noMultiLvlLbl val="0"/>
      </c:catAx>
      <c:valAx>
        <c:axId val="534212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21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1436764848838325E-2"/>
          <c:y val="0.86985537152683479"/>
          <c:w val="0.18552882007067553"/>
          <c:h val="8.090788986947102E-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Реализация СП, имеющего распределение Бернулли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Бернулли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'1.1.1 Бернулли'!$A$12:$A$196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'1.1.1 Бернулли'!$B$12:$B$196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6-4619-9BCB-B3683C5EE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393360"/>
        <c:axId val="431393840"/>
      </c:scatterChart>
      <c:valAx>
        <c:axId val="43139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393840"/>
        <c:crosses val="autoZero"/>
        <c:crossBetween val="midCat"/>
      </c:valAx>
      <c:valAx>
        <c:axId val="431393840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39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4031396075490564"/>
          <c:y val="1.74291938997821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514336383627723"/>
          <c:y val="0.18332252586073799"/>
          <c:w val="0.68324012201177553"/>
          <c:h val="0.61550066045665863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Отн.частота</c:v>
          </c:tx>
          <c:invertIfNegative val="0"/>
          <c:cat>
            <c:numRef>
              <c:f>'1.1.1 Бернулли'!$G$29:$G$30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'1.1.4 Дискретное'!$J$29:$J$38</c:f>
              <c:numCache>
                <c:formatCode>0.00000</c:formatCode>
                <c:ptCount val="10"/>
                <c:pt idx="0">
                  <c:v>6.1855670103092786E-2</c:v>
                </c:pt>
                <c:pt idx="1">
                  <c:v>0.18556701030927836</c:v>
                </c:pt>
                <c:pt idx="2">
                  <c:v>5.1546391752577317E-2</c:v>
                </c:pt>
                <c:pt idx="3">
                  <c:v>4.1237113402061855E-2</c:v>
                </c:pt>
                <c:pt idx="4">
                  <c:v>0.11855670103092783</c:v>
                </c:pt>
                <c:pt idx="5">
                  <c:v>0.27319587628865977</c:v>
                </c:pt>
                <c:pt idx="6">
                  <c:v>0.1134020618556701</c:v>
                </c:pt>
                <c:pt idx="7">
                  <c:v>4.6391752577319589E-2</c:v>
                </c:pt>
                <c:pt idx="8">
                  <c:v>4.6391752577319589E-2</c:v>
                </c:pt>
                <c:pt idx="9">
                  <c:v>6.1855670103092786E-2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C-48BB-862D-5D77FD59677B}"/>
            </c:ext>
          </c:extLst>
        </c:ser>
        <c:ser>
          <c:idx val="1"/>
          <c:order val="1"/>
          <c:tx>
            <c:v>Теор.</c:v>
          </c:tx>
          <c:invertIfNegative val="0"/>
          <c:val>
            <c:numRef>
              <c:f>'1.1.4 Дискретное'!$K$29:$K$38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0.1</c:v>
                </c:pt>
                <c:pt idx="3">
                  <c:v>0.05</c:v>
                </c:pt>
                <c:pt idx="4">
                  <c:v>0.1</c:v>
                </c:pt>
                <c:pt idx="5">
                  <c:v>0.25</c:v>
                </c:pt>
                <c:pt idx="6">
                  <c:v>0.15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C-48BB-862D-5D77FD596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78768"/>
        <c:axId val="438380688"/>
      </c:barChart>
      <c:catAx>
        <c:axId val="4383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8380688"/>
        <c:crosses val="autoZero"/>
        <c:auto val="1"/>
        <c:lblAlgn val="ctr"/>
        <c:lblOffset val="100"/>
        <c:noMultiLvlLbl val="0"/>
      </c:catAx>
      <c:valAx>
        <c:axId val="4383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43837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5920844052909207E-2"/>
          <c:y val="0.88537491637074772"/>
          <c:w val="0.28482339707536558"/>
          <c:h val="0.1146250836292522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'1.1.4 Дискретное'!$G$29:$G$38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27</c:v>
                </c:pt>
                <c:pt idx="8">
                  <c:v>30</c:v>
                </c:pt>
                <c:pt idx="9">
                  <c:v>35</c:v>
                </c:pt>
              </c:numCache>
            </c:numRef>
          </c:xVal>
          <c:yVal>
            <c:numRef>
              <c:f>'1.1.4 Дискретное'!$L$29:$L$38</c:f>
              <c:numCache>
                <c:formatCode>0.00000</c:formatCode>
                <c:ptCount val="10"/>
                <c:pt idx="0">
                  <c:v>6.1855670103092786E-2</c:v>
                </c:pt>
                <c:pt idx="1">
                  <c:v>0.24742268041237114</c:v>
                </c:pt>
                <c:pt idx="2">
                  <c:v>0.29896907216494845</c:v>
                </c:pt>
                <c:pt idx="3">
                  <c:v>0.34020618556701032</c:v>
                </c:pt>
                <c:pt idx="4">
                  <c:v>0.45876288659793818</c:v>
                </c:pt>
                <c:pt idx="5">
                  <c:v>0.731958762886598</c:v>
                </c:pt>
                <c:pt idx="6">
                  <c:v>0.84536082474226815</c:v>
                </c:pt>
                <c:pt idx="7">
                  <c:v>0.89175257731958779</c:v>
                </c:pt>
                <c:pt idx="8">
                  <c:v>0.93814432989690744</c:v>
                </c:pt>
                <c:pt idx="9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9-4E6D-8386-8435CEDFA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574944"/>
        <c:axId val="910575904"/>
      </c:scatterChart>
      <c:valAx>
        <c:axId val="91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5904"/>
        <c:crosses val="autoZero"/>
        <c:crossBetween val="midCat"/>
      </c:valAx>
      <c:valAx>
        <c:axId val="9105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'1.1.4 Дискретное'!$G$29:$G$39</c15:sqref>
                  </c15:fullRef>
                </c:ext>
              </c:extLst>
              <c:f>'1.1.4 Дискретное'!$G$29:$G$38</c:f>
              <c:strCache>
                <c:ptCount val="10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22</c:v>
                </c:pt>
                <c:pt idx="7">
                  <c:v>27</c:v>
                </c:pt>
                <c:pt idx="8">
                  <c:v>30</c:v>
                </c:pt>
                <c:pt idx="9">
                  <c:v>35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'1.1.4 Дискретное'!$H$29:$H$39</c15:sqref>
                  </c15:fullRef>
                </c:ext>
              </c:extLst>
              <c:f>'1.1.4 Дискретное'!$H$29:$H$38</c:f>
              <c:numCache>
                <c:formatCode>General</c:formatCode>
                <c:ptCount val="10"/>
                <c:pt idx="0">
                  <c:v>12</c:v>
                </c:pt>
                <c:pt idx="1">
                  <c:v>36</c:v>
                </c:pt>
                <c:pt idx="2">
                  <c:v>10</c:v>
                </c:pt>
                <c:pt idx="3">
                  <c:v>8</c:v>
                </c:pt>
                <c:pt idx="4">
                  <c:v>23</c:v>
                </c:pt>
                <c:pt idx="5">
                  <c:v>53</c:v>
                </c:pt>
                <c:pt idx="6">
                  <c:v>22</c:v>
                </c:pt>
                <c:pt idx="7">
                  <c:v>9</c:v>
                </c:pt>
                <c:pt idx="8">
                  <c:v>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F-49C1-B35A-01BD3B366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905312"/>
        <c:axId val="434905792"/>
      </c:barChart>
      <c:catAx>
        <c:axId val="4349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905792"/>
        <c:crosses val="autoZero"/>
        <c:auto val="1"/>
        <c:lblAlgn val="ctr"/>
        <c:lblOffset val="100"/>
        <c:noMultiLvlLbl val="0"/>
      </c:catAx>
      <c:valAx>
        <c:axId val="434905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490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3782443861184017E-2"/>
          <c:y val="0.89026323165914945"/>
          <c:w val="0.15374842033634684"/>
          <c:h val="7.8027673725250365E-2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8</xdr:row>
      <xdr:rowOff>85724</xdr:rowOff>
    </xdr:from>
    <xdr:to>
      <xdr:col>9</xdr:col>
      <xdr:colOff>361950</xdr:colOff>
      <xdr:row>24</xdr:row>
      <xdr:rowOff>104774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441BEB-1801-4DFB-2DB9-B102AA4C0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409574</xdr:colOff>
      <xdr:row>8</xdr:row>
      <xdr:rowOff>66676</xdr:rowOff>
    </xdr:from>
    <xdr:to>
      <xdr:col>13</xdr:col>
      <xdr:colOff>19049</xdr:colOff>
      <xdr:row>24</xdr:row>
      <xdr:rowOff>76201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F5FF622-20B3-886E-C9AA-61E157971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8</xdr:row>
      <xdr:rowOff>19050</xdr:rowOff>
    </xdr:from>
    <xdr:to>
      <xdr:col>18</xdr:col>
      <xdr:colOff>590550</xdr:colOff>
      <xdr:row>24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8F1CEB4-E2E8-4719-B4D1-655288C21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95250</xdr:colOff>
      <xdr:row>25</xdr:row>
      <xdr:rowOff>0</xdr:rowOff>
    </xdr:from>
    <xdr:to>
      <xdr:col>19</xdr:col>
      <xdr:colOff>552450</xdr:colOff>
      <xdr:row>40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653A02B-6C61-75F8-2AC1-A11F5101C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8</xdr:row>
      <xdr:rowOff>9525</xdr:rowOff>
    </xdr:from>
    <xdr:to>
      <xdr:col>19</xdr:col>
      <xdr:colOff>657225</xdr:colOff>
      <xdr:row>24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59AC62-0185-4DF8-9FD0-2B230825B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25</xdr:row>
      <xdr:rowOff>0</xdr:rowOff>
    </xdr:from>
    <xdr:to>
      <xdr:col>19</xdr:col>
      <xdr:colOff>552450</xdr:colOff>
      <xdr:row>40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466EEB-B86D-43E0-9FF8-5EF6679DD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600075</xdr:colOff>
      <xdr:row>8</xdr:row>
      <xdr:rowOff>95250</xdr:rowOff>
    </xdr:from>
    <xdr:to>
      <xdr:col>9</xdr:col>
      <xdr:colOff>371475</xdr:colOff>
      <xdr:row>23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C102BA7-5E3A-A8DC-67CD-4A884C704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400049</xdr:colOff>
      <xdr:row>8</xdr:row>
      <xdr:rowOff>114300</xdr:rowOff>
    </xdr:from>
    <xdr:to>
      <xdr:col>14</xdr:col>
      <xdr:colOff>561974</xdr:colOff>
      <xdr:row>23</xdr:row>
      <xdr:rowOff>76199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FD7835C-1495-4F86-6522-52C76834D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8</xdr:row>
      <xdr:rowOff>9525</xdr:rowOff>
    </xdr:from>
    <xdr:to>
      <xdr:col>19</xdr:col>
      <xdr:colOff>657225</xdr:colOff>
      <xdr:row>24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1615DB-C210-4C69-A1BB-15C37D11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25</xdr:row>
      <xdr:rowOff>0</xdr:rowOff>
    </xdr:from>
    <xdr:to>
      <xdr:col>19</xdr:col>
      <xdr:colOff>552450</xdr:colOff>
      <xdr:row>40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E6516C5-93CA-4BA9-9A8F-16392A800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8</xdr:row>
      <xdr:rowOff>57150</xdr:rowOff>
    </xdr:from>
    <xdr:to>
      <xdr:col>9</xdr:col>
      <xdr:colOff>361950</xdr:colOff>
      <xdr:row>23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DC48876-FF20-73AD-DF4E-EA9D04A09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390525</xdr:colOff>
      <xdr:row>7</xdr:row>
      <xdr:rowOff>133350</xdr:rowOff>
    </xdr:from>
    <xdr:to>
      <xdr:col>14</xdr:col>
      <xdr:colOff>371475</xdr:colOff>
      <xdr:row>23</xdr:row>
      <xdr:rowOff>66675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6DB70B8-329E-5206-84E9-545E78B6F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347662</xdr:colOff>
      <xdr:row>7</xdr:row>
      <xdr:rowOff>161924</xdr:rowOff>
    </xdr:from>
    <xdr:to>
      <xdr:col>10</xdr:col>
      <xdr:colOff>152400</xdr:colOff>
      <xdr:row>23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B8815F-1EFB-4386-B81E-786EFDFFD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647699</xdr:colOff>
      <xdr:row>7</xdr:row>
      <xdr:rowOff>171450</xdr:rowOff>
    </xdr:from>
    <xdr:to>
      <xdr:col>22</xdr:col>
      <xdr:colOff>561974</xdr:colOff>
      <xdr:row>24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7CAF048-D58A-4545-9660-6B7DED7E6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25</xdr:row>
      <xdr:rowOff>0</xdr:rowOff>
    </xdr:from>
    <xdr:to>
      <xdr:col>19</xdr:col>
      <xdr:colOff>552450</xdr:colOff>
      <xdr:row>40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24E9A91-5FB6-4DC0-BBBB-761C93678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219075</xdr:colOff>
      <xdr:row>7</xdr:row>
      <xdr:rowOff>142874</xdr:rowOff>
    </xdr:from>
    <xdr:to>
      <xdr:col>16</xdr:col>
      <xdr:colOff>219075</xdr:colOff>
      <xdr:row>23</xdr:row>
      <xdr:rowOff>180974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C8A3340-EC07-8E7A-33E2-37704D6AD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6629-BC80-48BF-B2F3-A9C88D96401F}">
  <dimension ref="A1:Q196"/>
  <sheetViews>
    <sheetView tabSelected="1" topLeftCell="A7" workbookViewId="0">
      <selection activeCell="D21" sqref="D21"/>
    </sheetView>
  </sheetViews>
  <sheetFormatPr defaultRowHeight="15" x14ac:dyDescent="0.25"/>
  <cols>
    <col min="2" max="2" width="15.42578125" customWidth="1"/>
    <col min="3" max="3" width="10.5703125" customWidth="1"/>
    <col min="6" max="6" width="11.42578125" customWidth="1"/>
  </cols>
  <sheetData>
    <row r="1" spans="1:3" x14ac:dyDescent="0.25">
      <c r="A1" t="s">
        <v>0</v>
      </c>
    </row>
    <row r="5" spans="1:3" x14ac:dyDescent="0.25">
      <c r="A5" s="3">
        <v>1</v>
      </c>
      <c r="B5" s="11" t="s">
        <v>1</v>
      </c>
      <c r="C5" s="11"/>
    </row>
    <row r="6" spans="1:3" x14ac:dyDescent="0.25">
      <c r="A6" s="22" t="s">
        <v>2</v>
      </c>
      <c r="B6" s="22"/>
      <c r="C6" s="9">
        <v>0.33081453901791436</v>
      </c>
    </row>
    <row r="7" spans="1:3" x14ac:dyDescent="0.25">
      <c r="A7" s="22" t="s">
        <v>3</v>
      </c>
      <c r="B7" s="22"/>
      <c r="C7" s="10">
        <v>184.5698416089358</v>
      </c>
    </row>
    <row r="10" spans="1:3" x14ac:dyDescent="0.25">
      <c r="A10" s="1">
        <v>2</v>
      </c>
      <c r="B10" s="4" t="s">
        <v>4</v>
      </c>
    </row>
    <row r="11" spans="1:3" x14ac:dyDescent="0.25">
      <c r="A11" s="2" t="s">
        <v>5</v>
      </c>
      <c r="B11" s="2" t="s">
        <v>6</v>
      </c>
    </row>
    <row r="12" spans="1:3" x14ac:dyDescent="0.25">
      <c r="A12">
        <v>1</v>
      </c>
      <c r="B12">
        <v>0</v>
      </c>
    </row>
    <row r="13" spans="1:3" x14ac:dyDescent="0.25">
      <c r="A13">
        <v>2</v>
      </c>
      <c r="B13">
        <v>1</v>
      </c>
    </row>
    <row r="14" spans="1:3" x14ac:dyDescent="0.25">
      <c r="A14">
        <v>3</v>
      </c>
      <c r="B14">
        <v>0</v>
      </c>
    </row>
    <row r="15" spans="1:3" x14ac:dyDescent="0.25">
      <c r="A15">
        <v>4</v>
      </c>
      <c r="B15">
        <v>0</v>
      </c>
    </row>
    <row r="16" spans="1:3" x14ac:dyDescent="0.25">
      <c r="A16">
        <v>5</v>
      </c>
      <c r="B16">
        <v>1</v>
      </c>
    </row>
    <row r="17" spans="1:17" x14ac:dyDescent="0.25">
      <c r="A17">
        <v>6</v>
      </c>
      <c r="B17">
        <v>0</v>
      </c>
    </row>
    <row r="18" spans="1:17" x14ac:dyDescent="0.25">
      <c r="A18">
        <v>7</v>
      </c>
      <c r="B18">
        <v>0</v>
      </c>
    </row>
    <row r="19" spans="1:17" x14ac:dyDescent="0.25">
      <c r="A19">
        <v>8</v>
      </c>
      <c r="B19">
        <v>0</v>
      </c>
    </row>
    <row r="20" spans="1:17" x14ac:dyDescent="0.25">
      <c r="A20">
        <v>9</v>
      </c>
      <c r="B20">
        <v>0</v>
      </c>
    </row>
    <row r="21" spans="1:17" x14ac:dyDescent="0.25">
      <c r="A21">
        <v>10</v>
      </c>
      <c r="B21">
        <v>0</v>
      </c>
    </row>
    <row r="22" spans="1:17" x14ac:dyDescent="0.25">
      <c r="A22">
        <v>11</v>
      </c>
      <c r="B22">
        <v>0</v>
      </c>
    </row>
    <row r="23" spans="1:17" x14ac:dyDescent="0.25">
      <c r="A23">
        <v>12</v>
      </c>
      <c r="B23">
        <v>0</v>
      </c>
    </row>
    <row r="24" spans="1:17" x14ac:dyDescent="0.25">
      <c r="A24">
        <v>13</v>
      </c>
      <c r="B24">
        <v>1</v>
      </c>
      <c r="Q24" s="12"/>
    </row>
    <row r="25" spans="1:17" x14ac:dyDescent="0.25">
      <c r="A25">
        <v>14</v>
      </c>
      <c r="B25">
        <v>1</v>
      </c>
      <c r="Q25" s="12"/>
    </row>
    <row r="26" spans="1:17" x14ac:dyDescent="0.25">
      <c r="A26">
        <v>15</v>
      </c>
      <c r="B26">
        <v>0</v>
      </c>
    </row>
    <row r="27" spans="1:17" ht="15.75" thickBot="1" x14ac:dyDescent="0.3">
      <c r="A27">
        <v>16</v>
      </c>
      <c r="B27">
        <v>0</v>
      </c>
      <c r="E27" s="3">
        <v>3</v>
      </c>
      <c r="F27" s="23" t="s">
        <v>7</v>
      </c>
      <c r="G27" s="23"/>
      <c r="H27" s="23"/>
      <c r="I27" s="23"/>
      <c r="J27" s="23"/>
      <c r="K27" s="23"/>
      <c r="L27" s="23"/>
    </row>
    <row r="28" spans="1:17" x14ac:dyDescent="0.25">
      <c r="A28">
        <v>17</v>
      </c>
      <c r="B28">
        <v>0</v>
      </c>
      <c r="E28" t="s">
        <v>8</v>
      </c>
      <c r="G28" s="16" t="s">
        <v>9</v>
      </c>
      <c r="H28" s="16" t="s">
        <v>10</v>
      </c>
      <c r="J28" t="s">
        <v>13</v>
      </c>
      <c r="K28" t="s">
        <v>14</v>
      </c>
      <c r="L28" t="s">
        <v>15</v>
      </c>
    </row>
    <row r="29" spans="1:17" x14ac:dyDescent="0.25">
      <c r="A29">
        <v>18</v>
      </c>
      <c r="B29">
        <v>0</v>
      </c>
      <c r="E29">
        <v>0</v>
      </c>
      <c r="G29" s="13">
        <v>0</v>
      </c>
      <c r="H29" s="14">
        <v>127</v>
      </c>
      <c r="J29" s="17">
        <f>H29/H32</f>
        <v>0.68648648648648647</v>
      </c>
      <c r="K29" s="17">
        <f>1-K30</f>
        <v>0.66918546098208564</v>
      </c>
      <c r="L29" s="17">
        <f>J29</f>
        <v>0.68648648648648647</v>
      </c>
    </row>
    <row r="30" spans="1:17" x14ac:dyDescent="0.25">
      <c r="A30">
        <v>19</v>
      </c>
      <c r="B30">
        <v>1</v>
      </c>
      <c r="E30">
        <v>1</v>
      </c>
      <c r="G30" s="13">
        <v>1</v>
      </c>
      <c r="H30" s="14">
        <v>58</v>
      </c>
      <c r="J30" s="17">
        <f>1-J29</f>
        <v>0.31351351351351353</v>
      </c>
      <c r="K30" s="9">
        <f>C6</f>
        <v>0.33081453901791436</v>
      </c>
      <c r="L30" s="19">
        <f>J30+L29</f>
        <v>1</v>
      </c>
    </row>
    <row r="31" spans="1:17" ht="15.75" thickBot="1" x14ac:dyDescent="0.3">
      <c r="A31">
        <v>20</v>
      </c>
      <c r="B31">
        <v>1</v>
      </c>
      <c r="G31" s="15" t="s">
        <v>11</v>
      </c>
      <c r="H31" s="15">
        <v>0</v>
      </c>
      <c r="J31" s="2"/>
      <c r="K31" s="2"/>
      <c r="L31" s="2"/>
    </row>
    <row r="32" spans="1:17" x14ac:dyDescent="0.25">
      <c r="A32">
        <v>21</v>
      </c>
      <c r="B32">
        <v>0</v>
      </c>
      <c r="G32" t="s">
        <v>12</v>
      </c>
      <c r="H32" s="7">
        <f>SUM(H29,H30)</f>
        <v>185</v>
      </c>
      <c r="I32" t="s">
        <v>16</v>
      </c>
      <c r="J32" s="2">
        <f>SUM(J29,J30)</f>
        <v>1</v>
      </c>
      <c r="K32" s="19">
        <f>SUM(K29,K30)</f>
        <v>1</v>
      </c>
      <c r="L32" s="2"/>
    </row>
    <row r="33" spans="1:10" x14ac:dyDescent="0.25">
      <c r="A33">
        <v>22</v>
      </c>
      <c r="B33">
        <v>1</v>
      </c>
    </row>
    <row r="34" spans="1:10" x14ac:dyDescent="0.25">
      <c r="A34">
        <v>23</v>
      </c>
      <c r="B34">
        <v>0</v>
      </c>
    </row>
    <row r="35" spans="1:10" x14ac:dyDescent="0.25">
      <c r="A35">
        <v>24</v>
      </c>
      <c r="B35">
        <v>1</v>
      </c>
    </row>
    <row r="36" spans="1:10" x14ac:dyDescent="0.25">
      <c r="A36">
        <v>25</v>
      </c>
      <c r="B36">
        <v>0</v>
      </c>
    </row>
    <row r="37" spans="1:10" x14ac:dyDescent="0.25">
      <c r="A37">
        <v>26</v>
      </c>
      <c r="B37">
        <v>0</v>
      </c>
      <c r="E37" s="3">
        <v>4</v>
      </c>
      <c r="F37" s="23" t="s">
        <v>17</v>
      </c>
      <c r="G37" s="23"/>
      <c r="H37" s="23"/>
      <c r="I37" s="23"/>
      <c r="J37" s="23"/>
    </row>
    <row r="38" spans="1:10" x14ac:dyDescent="0.25">
      <c r="A38">
        <v>27</v>
      </c>
      <c r="B38">
        <v>0</v>
      </c>
      <c r="E38" s="22" t="s">
        <v>18</v>
      </c>
      <c r="F38" s="22"/>
      <c r="G38" s="22"/>
      <c r="H38" s="22"/>
      <c r="I38">
        <f>AVERAGE(B12:B196)</f>
        <v>0.31351351351351353</v>
      </c>
    </row>
    <row r="39" spans="1:10" x14ac:dyDescent="0.25">
      <c r="A39">
        <v>28</v>
      </c>
      <c r="B39">
        <v>0</v>
      </c>
      <c r="E39" s="22" t="s">
        <v>19</v>
      </c>
      <c r="F39" s="22"/>
      <c r="G39" s="22"/>
      <c r="H39" s="22"/>
      <c r="I39">
        <f>_xlfn.STDEV.S(B12:B196)</f>
        <v>0.46518005055672551</v>
      </c>
    </row>
    <row r="40" spans="1:10" x14ac:dyDescent="0.25">
      <c r="A40">
        <v>29</v>
      </c>
      <c r="B40">
        <v>1</v>
      </c>
      <c r="E40" s="22" t="s">
        <v>20</v>
      </c>
      <c r="F40" s="22"/>
      <c r="G40" s="22"/>
      <c r="H40" s="22"/>
      <c r="I40">
        <f>_xlfn.VAR.S(B12:B196)</f>
        <v>0.21639247943595771</v>
      </c>
    </row>
    <row r="41" spans="1:10" x14ac:dyDescent="0.25">
      <c r="A41">
        <v>30</v>
      </c>
      <c r="B41">
        <v>0</v>
      </c>
      <c r="E41" s="22" t="s">
        <v>21</v>
      </c>
      <c r="F41" s="22"/>
      <c r="G41" s="22"/>
      <c r="H41" s="22"/>
      <c r="I41">
        <f>SKEW(B12:B196)</f>
        <v>0.81054460499030334</v>
      </c>
    </row>
    <row r="42" spans="1:10" x14ac:dyDescent="0.25">
      <c r="A42">
        <v>31</v>
      </c>
      <c r="B42">
        <v>1</v>
      </c>
      <c r="E42" s="22" t="s">
        <v>22</v>
      </c>
      <c r="F42" s="22"/>
      <c r="G42" s="22"/>
      <c r="H42" s="22"/>
      <c r="I42">
        <f>KURT(B12:B196)</f>
        <v>-1.3578149015670982</v>
      </c>
    </row>
    <row r="43" spans="1:10" x14ac:dyDescent="0.25">
      <c r="A43">
        <v>32</v>
      </c>
      <c r="B43">
        <v>1</v>
      </c>
    </row>
    <row r="44" spans="1:10" x14ac:dyDescent="0.25">
      <c r="A44">
        <v>33</v>
      </c>
      <c r="B44">
        <v>1</v>
      </c>
    </row>
    <row r="45" spans="1:10" x14ac:dyDescent="0.25">
      <c r="A45">
        <v>34</v>
      </c>
      <c r="B45">
        <v>0</v>
      </c>
    </row>
    <row r="46" spans="1:10" x14ac:dyDescent="0.25">
      <c r="A46">
        <v>35</v>
      </c>
      <c r="B46">
        <v>0</v>
      </c>
    </row>
    <row r="47" spans="1:10" x14ac:dyDescent="0.25">
      <c r="A47">
        <v>36</v>
      </c>
      <c r="B47">
        <v>0</v>
      </c>
    </row>
    <row r="48" spans="1:10" x14ac:dyDescent="0.25">
      <c r="A48">
        <v>37</v>
      </c>
      <c r="B48">
        <v>1</v>
      </c>
    </row>
    <row r="49" spans="1:2" x14ac:dyDescent="0.25">
      <c r="A49">
        <v>38</v>
      </c>
      <c r="B49">
        <v>0</v>
      </c>
    </row>
    <row r="50" spans="1:2" x14ac:dyDescent="0.25">
      <c r="A50">
        <v>39</v>
      </c>
      <c r="B50">
        <v>1</v>
      </c>
    </row>
    <row r="51" spans="1:2" x14ac:dyDescent="0.25">
      <c r="A51">
        <v>40</v>
      </c>
      <c r="B51">
        <v>0</v>
      </c>
    </row>
    <row r="52" spans="1:2" x14ac:dyDescent="0.25">
      <c r="A52">
        <v>41</v>
      </c>
      <c r="B52">
        <v>1</v>
      </c>
    </row>
    <row r="53" spans="1:2" x14ac:dyDescent="0.25">
      <c r="A53">
        <v>42</v>
      </c>
      <c r="B53">
        <v>0</v>
      </c>
    </row>
    <row r="54" spans="1:2" x14ac:dyDescent="0.25">
      <c r="A54">
        <v>43</v>
      </c>
      <c r="B54">
        <v>0</v>
      </c>
    </row>
    <row r="55" spans="1:2" x14ac:dyDescent="0.25">
      <c r="A55">
        <v>44</v>
      </c>
      <c r="B55">
        <v>0</v>
      </c>
    </row>
    <row r="56" spans="1:2" x14ac:dyDescent="0.25">
      <c r="A56">
        <v>45</v>
      </c>
      <c r="B56">
        <v>1</v>
      </c>
    </row>
    <row r="57" spans="1:2" x14ac:dyDescent="0.25">
      <c r="A57">
        <v>46</v>
      </c>
      <c r="B57">
        <v>0</v>
      </c>
    </row>
    <row r="58" spans="1:2" x14ac:dyDescent="0.25">
      <c r="A58">
        <v>47</v>
      </c>
      <c r="B58">
        <v>1</v>
      </c>
    </row>
    <row r="59" spans="1:2" x14ac:dyDescent="0.25">
      <c r="A59">
        <v>48</v>
      </c>
      <c r="B59">
        <v>1</v>
      </c>
    </row>
    <row r="60" spans="1:2" x14ac:dyDescent="0.25">
      <c r="A60">
        <v>49</v>
      </c>
      <c r="B60">
        <v>0</v>
      </c>
    </row>
    <row r="61" spans="1:2" x14ac:dyDescent="0.25">
      <c r="A61">
        <v>50</v>
      </c>
      <c r="B61">
        <v>1</v>
      </c>
    </row>
    <row r="62" spans="1:2" x14ac:dyDescent="0.25">
      <c r="A62">
        <v>51</v>
      </c>
      <c r="B62">
        <v>0</v>
      </c>
    </row>
    <row r="63" spans="1:2" x14ac:dyDescent="0.25">
      <c r="A63">
        <v>52</v>
      </c>
      <c r="B63">
        <v>1</v>
      </c>
    </row>
    <row r="64" spans="1:2" x14ac:dyDescent="0.25">
      <c r="A64">
        <v>53</v>
      </c>
      <c r="B64">
        <v>1</v>
      </c>
    </row>
    <row r="65" spans="1:2" x14ac:dyDescent="0.25">
      <c r="A65">
        <v>54</v>
      </c>
      <c r="B65">
        <v>0</v>
      </c>
    </row>
    <row r="66" spans="1:2" x14ac:dyDescent="0.25">
      <c r="A66">
        <v>55</v>
      </c>
      <c r="B66">
        <v>0</v>
      </c>
    </row>
    <row r="67" spans="1:2" x14ac:dyDescent="0.25">
      <c r="A67">
        <v>56</v>
      </c>
      <c r="B67">
        <v>0</v>
      </c>
    </row>
    <row r="68" spans="1:2" x14ac:dyDescent="0.25">
      <c r="A68">
        <v>57</v>
      </c>
      <c r="B68">
        <v>0</v>
      </c>
    </row>
    <row r="69" spans="1:2" x14ac:dyDescent="0.25">
      <c r="A69">
        <v>58</v>
      </c>
      <c r="B69">
        <v>0</v>
      </c>
    </row>
    <row r="70" spans="1:2" x14ac:dyDescent="0.25">
      <c r="A70">
        <v>59</v>
      </c>
      <c r="B70">
        <v>0</v>
      </c>
    </row>
    <row r="71" spans="1:2" x14ac:dyDescent="0.25">
      <c r="A71">
        <v>60</v>
      </c>
      <c r="B71">
        <v>0</v>
      </c>
    </row>
    <row r="72" spans="1:2" x14ac:dyDescent="0.25">
      <c r="A72">
        <v>61</v>
      </c>
      <c r="B72">
        <v>0</v>
      </c>
    </row>
    <row r="73" spans="1:2" x14ac:dyDescent="0.25">
      <c r="A73">
        <v>62</v>
      </c>
      <c r="B73">
        <v>0</v>
      </c>
    </row>
    <row r="74" spans="1:2" x14ac:dyDescent="0.25">
      <c r="A74">
        <v>63</v>
      </c>
      <c r="B74">
        <v>1</v>
      </c>
    </row>
    <row r="75" spans="1:2" x14ac:dyDescent="0.25">
      <c r="A75">
        <v>64</v>
      </c>
      <c r="B75">
        <v>1</v>
      </c>
    </row>
    <row r="76" spans="1:2" x14ac:dyDescent="0.25">
      <c r="A76">
        <v>65</v>
      </c>
      <c r="B76">
        <v>1</v>
      </c>
    </row>
    <row r="77" spans="1:2" x14ac:dyDescent="0.25">
      <c r="A77">
        <v>66</v>
      </c>
      <c r="B77">
        <v>1</v>
      </c>
    </row>
    <row r="78" spans="1:2" x14ac:dyDescent="0.25">
      <c r="A78">
        <v>67</v>
      </c>
      <c r="B78">
        <v>1</v>
      </c>
    </row>
    <row r="79" spans="1:2" x14ac:dyDescent="0.25">
      <c r="A79">
        <v>68</v>
      </c>
      <c r="B79">
        <v>1</v>
      </c>
    </row>
    <row r="80" spans="1:2" x14ac:dyDescent="0.25">
      <c r="A80">
        <v>69</v>
      </c>
      <c r="B80">
        <v>0</v>
      </c>
    </row>
    <row r="81" spans="1:2" x14ac:dyDescent="0.25">
      <c r="A81">
        <v>70</v>
      </c>
      <c r="B81">
        <v>0</v>
      </c>
    </row>
    <row r="82" spans="1:2" x14ac:dyDescent="0.25">
      <c r="A82">
        <v>71</v>
      </c>
      <c r="B82">
        <v>1</v>
      </c>
    </row>
    <row r="83" spans="1:2" x14ac:dyDescent="0.25">
      <c r="A83">
        <v>72</v>
      </c>
      <c r="B83">
        <v>1</v>
      </c>
    </row>
    <row r="84" spans="1:2" x14ac:dyDescent="0.25">
      <c r="A84">
        <v>73</v>
      </c>
      <c r="B84">
        <v>0</v>
      </c>
    </row>
    <row r="85" spans="1:2" x14ac:dyDescent="0.25">
      <c r="A85">
        <v>74</v>
      </c>
      <c r="B85">
        <v>1</v>
      </c>
    </row>
    <row r="86" spans="1:2" x14ac:dyDescent="0.25">
      <c r="A86">
        <v>75</v>
      </c>
      <c r="B86">
        <v>0</v>
      </c>
    </row>
    <row r="87" spans="1:2" x14ac:dyDescent="0.25">
      <c r="A87">
        <v>76</v>
      </c>
      <c r="B87">
        <v>1</v>
      </c>
    </row>
    <row r="88" spans="1:2" x14ac:dyDescent="0.25">
      <c r="A88">
        <v>77</v>
      </c>
      <c r="B88">
        <v>0</v>
      </c>
    </row>
    <row r="89" spans="1:2" x14ac:dyDescent="0.25">
      <c r="A89">
        <v>78</v>
      </c>
      <c r="B89">
        <v>1</v>
      </c>
    </row>
    <row r="90" spans="1:2" x14ac:dyDescent="0.25">
      <c r="A90">
        <v>79</v>
      </c>
      <c r="B90">
        <v>0</v>
      </c>
    </row>
    <row r="91" spans="1:2" x14ac:dyDescent="0.25">
      <c r="A91">
        <v>80</v>
      </c>
      <c r="B91">
        <v>0</v>
      </c>
    </row>
    <row r="92" spans="1:2" x14ac:dyDescent="0.25">
      <c r="A92">
        <v>81</v>
      </c>
      <c r="B92">
        <v>1</v>
      </c>
    </row>
    <row r="93" spans="1:2" x14ac:dyDescent="0.25">
      <c r="A93">
        <v>82</v>
      </c>
      <c r="B93">
        <v>1</v>
      </c>
    </row>
    <row r="94" spans="1:2" x14ac:dyDescent="0.25">
      <c r="A94">
        <v>83</v>
      </c>
      <c r="B94">
        <v>0</v>
      </c>
    </row>
    <row r="95" spans="1:2" x14ac:dyDescent="0.25">
      <c r="A95">
        <v>84</v>
      </c>
      <c r="B95">
        <v>0</v>
      </c>
    </row>
    <row r="96" spans="1:2" x14ac:dyDescent="0.25">
      <c r="A96">
        <v>85</v>
      </c>
      <c r="B96">
        <v>1</v>
      </c>
    </row>
    <row r="97" spans="1:2" x14ac:dyDescent="0.25">
      <c r="A97">
        <v>86</v>
      </c>
      <c r="B97">
        <v>0</v>
      </c>
    </row>
    <row r="98" spans="1:2" x14ac:dyDescent="0.25">
      <c r="A98">
        <v>87</v>
      </c>
      <c r="B98">
        <v>0</v>
      </c>
    </row>
    <row r="99" spans="1:2" x14ac:dyDescent="0.25">
      <c r="A99">
        <v>88</v>
      </c>
      <c r="B99">
        <v>0</v>
      </c>
    </row>
    <row r="100" spans="1:2" x14ac:dyDescent="0.25">
      <c r="A100">
        <v>89</v>
      </c>
      <c r="B100">
        <v>0</v>
      </c>
    </row>
    <row r="101" spans="1:2" x14ac:dyDescent="0.25">
      <c r="A101">
        <v>90</v>
      </c>
      <c r="B101">
        <v>0</v>
      </c>
    </row>
    <row r="102" spans="1:2" x14ac:dyDescent="0.25">
      <c r="A102">
        <v>91</v>
      </c>
      <c r="B102">
        <v>0</v>
      </c>
    </row>
    <row r="103" spans="1:2" x14ac:dyDescent="0.25">
      <c r="A103">
        <v>92</v>
      </c>
      <c r="B103">
        <v>0</v>
      </c>
    </row>
    <row r="104" spans="1:2" x14ac:dyDescent="0.25">
      <c r="A104">
        <v>93</v>
      </c>
      <c r="B104">
        <v>0</v>
      </c>
    </row>
    <row r="105" spans="1:2" x14ac:dyDescent="0.25">
      <c r="A105">
        <v>94</v>
      </c>
      <c r="B105">
        <v>1</v>
      </c>
    </row>
    <row r="106" spans="1:2" x14ac:dyDescent="0.25">
      <c r="A106">
        <v>95</v>
      </c>
      <c r="B106">
        <v>0</v>
      </c>
    </row>
    <row r="107" spans="1:2" x14ac:dyDescent="0.25">
      <c r="A107">
        <v>96</v>
      </c>
      <c r="B107">
        <v>0</v>
      </c>
    </row>
    <row r="108" spans="1:2" x14ac:dyDescent="0.25">
      <c r="A108">
        <v>97</v>
      </c>
      <c r="B108">
        <v>0</v>
      </c>
    </row>
    <row r="109" spans="1:2" x14ac:dyDescent="0.25">
      <c r="A109">
        <v>98</v>
      </c>
      <c r="B109">
        <v>0</v>
      </c>
    </row>
    <row r="110" spans="1:2" x14ac:dyDescent="0.25">
      <c r="A110">
        <v>99</v>
      </c>
      <c r="B110">
        <v>0</v>
      </c>
    </row>
    <row r="111" spans="1:2" x14ac:dyDescent="0.25">
      <c r="A111">
        <v>100</v>
      </c>
      <c r="B111">
        <v>1</v>
      </c>
    </row>
    <row r="112" spans="1:2" x14ac:dyDescent="0.25">
      <c r="A112">
        <v>101</v>
      </c>
      <c r="B112">
        <v>0</v>
      </c>
    </row>
    <row r="113" spans="1:2" x14ac:dyDescent="0.25">
      <c r="A113">
        <v>102</v>
      </c>
      <c r="B113">
        <v>1</v>
      </c>
    </row>
    <row r="114" spans="1:2" x14ac:dyDescent="0.25">
      <c r="A114">
        <v>103</v>
      </c>
      <c r="B114">
        <v>0</v>
      </c>
    </row>
    <row r="115" spans="1:2" x14ac:dyDescent="0.25">
      <c r="A115">
        <v>104</v>
      </c>
      <c r="B115">
        <v>0</v>
      </c>
    </row>
    <row r="116" spans="1:2" x14ac:dyDescent="0.25">
      <c r="A116">
        <v>105</v>
      </c>
      <c r="B116">
        <v>0</v>
      </c>
    </row>
    <row r="117" spans="1:2" x14ac:dyDescent="0.25">
      <c r="A117">
        <v>106</v>
      </c>
      <c r="B117">
        <v>0</v>
      </c>
    </row>
    <row r="118" spans="1:2" x14ac:dyDescent="0.25">
      <c r="A118">
        <v>107</v>
      </c>
      <c r="B118">
        <v>1</v>
      </c>
    </row>
    <row r="119" spans="1:2" x14ac:dyDescent="0.25">
      <c r="A119">
        <v>108</v>
      </c>
      <c r="B119">
        <v>0</v>
      </c>
    </row>
    <row r="120" spans="1:2" x14ac:dyDescent="0.25">
      <c r="A120">
        <v>109</v>
      </c>
      <c r="B120">
        <v>1</v>
      </c>
    </row>
    <row r="121" spans="1:2" x14ac:dyDescent="0.25">
      <c r="A121">
        <v>110</v>
      </c>
      <c r="B121">
        <v>0</v>
      </c>
    </row>
    <row r="122" spans="1:2" x14ac:dyDescent="0.25">
      <c r="A122">
        <v>111</v>
      </c>
      <c r="B122">
        <v>0</v>
      </c>
    </row>
    <row r="123" spans="1:2" x14ac:dyDescent="0.25">
      <c r="A123">
        <v>112</v>
      </c>
      <c r="B123">
        <v>0</v>
      </c>
    </row>
    <row r="124" spans="1:2" x14ac:dyDescent="0.25">
      <c r="A124">
        <v>113</v>
      </c>
      <c r="B124">
        <v>0</v>
      </c>
    </row>
    <row r="125" spans="1:2" x14ac:dyDescent="0.25">
      <c r="A125">
        <v>114</v>
      </c>
      <c r="B125">
        <v>0</v>
      </c>
    </row>
    <row r="126" spans="1:2" x14ac:dyDescent="0.25">
      <c r="A126">
        <v>115</v>
      </c>
      <c r="B126">
        <v>0</v>
      </c>
    </row>
    <row r="127" spans="1:2" x14ac:dyDescent="0.25">
      <c r="A127">
        <v>116</v>
      </c>
      <c r="B127">
        <v>0</v>
      </c>
    </row>
    <row r="128" spans="1:2" x14ac:dyDescent="0.25">
      <c r="A128">
        <v>117</v>
      </c>
      <c r="B128">
        <v>0</v>
      </c>
    </row>
    <row r="129" spans="1:2" x14ac:dyDescent="0.25">
      <c r="A129">
        <v>118</v>
      </c>
      <c r="B129">
        <v>0</v>
      </c>
    </row>
    <row r="130" spans="1:2" x14ac:dyDescent="0.25">
      <c r="A130">
        <v>119</v>
      </c>
      <c r="B130">
        <v>0</v>
      </c>
    </row>
    <row r="131" spans="1:2" x14ac:dyDescent="0.25">
      <c r="A131">
        <v>120</v>
      </c>
      <c r="B131">
        <v>0</v>
      </c>
    </row>
    <row r="132" spans="1:2" x14ac:dyDescent="0.25">
      <c r="A132">
        <v>121</v>
      </c>
      <c r="B132">
        <v>0</v>
      </c>
    </row>
    <row r="133" spans="1:2" x14ac:dyDescent="0.25">
      <c r="A133">
        <v>122</v>
      </c>
      <c r="B133">
        <v>1</v>
      </c>
    </row>
    <row r="134" spans="1:2" x14ac:dyDescent="0.25">
      <c r="A134">
        <v>123</v>
      </c>
      <c r="B134">
        <v>0</v>
      </c>
    </row>
    <row r="135" spans="1:2" x14ac:dyDescent="0.25">
      <c r="A135">
        <v>124</v>
      </c>
      <c r="B135">
        <v>0</v>
      </c>
    </row>
    <row r="136" spans="1:2" x14ac:dyDescent="0.25">
      <c r="A136">
        <v>125</v>
      </c>
      <c r="B136">
        <v>0</v>
      </c>
    </row>
    <row r="137" spans="1:2" x14ac:dyDescent="0.25">
      <c r="A137">
        <v>126</v>
      </c>
      <c r="B137">
        <v>0</v>
      </c>
    </row>
    <row r="138" spans="1:2" x14ac:dyDescent="0.25">
      <c r="A138">
        <v>127</v>
      </c>
      <c r="B138">
        <v>0</v>
      </c>
    </row>
    <row r="139" spans="1:2" x14ac:dyDescent="0.25">
      <c r="A139">
        <v>128</v>
      </c>
      <c r="B139">
        <v>1</v>
      </c>
    </row>
    <row r="140" spans="1:2" x14ac:dyDescent="0.25">
      <c r="A140">
        <v>129</v>
      </c>
      <c r="B140">
        <v>0</v>
      </c>
    </row>
    <row r="141" spans="1:2" x14ac:dyDescent="0.25">
      <c r="A141">
        <v>130</v>
      </c>
      <c r="B141">
        <v>1</v>
      </c>
    </row>
    <row r="142" spans="1:2" x14ac:dyDescent="0.25">
      <c r="A142">
        <v>131</v>
      </c>
      <c r="B142">
        <v>1</v>
      </c>
    </row>
    <row r="143" spans="1:2" x14ac:dyDescent="0.25">
      <c r="A143">
        <v>132</v>
      </c>
      <c r="B143">
        <v>1</v>
      </c>
    </row>
    <row r="144" spans="1:2" x14ac:dyDescent="0.25">
      <c r="A144">
        <v>133</v>
      </c>
      <c r="B144">
        <v>0</v>
      </c>
    </row>
    <row r="145" spans="1:2" x14ac:dyDescent="0.25">
      <c r="A145">
        <v>134</v>
      </c>
      <c r="B145">
        <v>0</v>
      </c>
    </row>
    <row r="146" spans="1:2" x14ac:dyDescent="0.25">
      <c r="A146">
        <v>135</v>
      </c>
      <c r="B146">
        <v>0</v>
      </c>
    </row>
    <row r="147" spans="1:2" x14ac:dyDescent="0.25">
      <c r="A147">
        <v>136</v>
      </c>
      <c r="B147">
        <v>0</v>
      </c>
    </row>
    <row r="148" spans="1:2" x14ac:dyDescent="0.25">
      <c r="A148">
        <v>137</v>
      </c>
      <c r="B148">
        <v>0</v>
      </c>
    </row>
    <row r="149" spans="1:2" x14ac:dyDescent="0.25">
      <c r="A149">
        <v>138</v>
      </c>
      <c r="B149">
        <v>1</v>
      </c>
    </row>
    <row r="150" spans="1:2" x14ac:dyDescent="0.25">
      <c r="A150">
        <v>139</v>
      </c>
      <c r="B150">
        <v>0</v>
      </c>
    </row>
    <row r="151" spans="1:2" x14ac:dyDescent="0.25">
      <c r="A151">
        <v>140</v>
      </c>
      <c r="B151">
        <v>1</v>
      </c>
    </row>
    <row r="152" spans="1:2" x14ac:dyDescent="0.25">
      <c r="A152">
        <v>141</v>
      </c>
      <c r="B152">
        <v>0</v>
      </c>
    </row>
    <row r="153" spans="1:2" x14ac:dyDescent="0.25">
      <c r="A153">
        <v>142</v>
      </c>
      <c r="B153">
        <v>0</v>
      </c>
    </row>
    <row r="154" spans="1:2" x14ac:dyDescent="0.25">
      <c r="A154">
        <v>143</v>
      </c>
      <c r="B154">
        <v>0</v>
      </c>
    </row>
    <row r="155" spans="1:2" x14ac:dyDescent="0.25">
      <c r="A155">
        <v>144</v>
      </c>
      <c r="B155">
        <v>0</v>
      </c>
    </row>
    <row r="156" spans="1:2" x14ac:dyDescent="0.25">
      <c r="A156">
        <v>145</v>
      </c>
      <c r="B156">
        <v>0</v>
      </c>
    </row>
    <row r="157" spans="1:2" x14ac:dyDescent="0.25">
      <c r="A157">
        <v>146</v>
      </c>
      <c r="B157">
        <v>0</v>
      </c>
    </row>
    <row r="158" spans="1:2" x14ac:dyDescent="0.25">
      <c r="A158">
        <v>147</v>
      </c>
      <c r="B158">
        <v>0</v>
      </c>
    </row>
    <row r="159" spans="1:2" x14ac:dyDescent="0.25">
      <c r="A159">
        <v>148</v>
      </c>
      <c r="B159">
        <v>0</v>
      </c>
    </row>
    <row r="160" spans="1:2" x14ac:dyDescent="0.25">
      <c r="A160">
        <v>149</v>
      </c>
      <c r="B160">
        <v>1</v>
      </c>
    </row>
    <row r="161" spans="1:2" x14ac:dyDescent="0.25">
      <c r="A161">
        <v>150</v>
      </c>
      <c r="B161">
        <v>0</v>
      </c>
    </row>
    <row r="162" spans="1:2" x14ac:dyDescent="0.25">
      <c r="A162">
        <v>151</v>
      </c>
      <c r="B162">
        <v>1</v>
      </c>
    </row>
    <row r="163" spans="1:2" x14ac:dyDescent="0.25">
      <c r="A163">
        <v>152</v>
      </c>
      <c r="B163">
        <v>0</v>
      </c>
    </row>
    <row r="164" spans="1:2" x14ac:dyDescent="0.25">
      <c r="A164">
        <v>153</v>
      </c>
      <c r="B164">
        <v>1</v>
      </c>
    </row>
    <row r="165" spans="1:2" x14ac:dyDescent="0.25">
      <c r="A165">
        <v>154</v>
      </c>
      <c r="B165">
        <v>0</v>
      </c>
    </row>
    <row r="166" spans="1:2" x14ac:dyDescent="0.25">
      <c r="A166">
        <v>155</v>
      </c>
      <c r="B166">
        <v>0</v>
      </c>
    </row>
    <row r="167" spans="1:2" x14ac:dyDescent="0.25">
      <c r="A167">
        <v>156</v>
      </c>
      <c r="B167">
        <v>1</v>
      </c>
    </row>
    <row r="168" spans="1:2" x14ac:dyDescent="0.25">
      <c r="A168">
        <v>157</v>
      </c>
      <c r="B168">
        <v>0</v>
      </c>
    </row>
    <row r="169" spans="1:2" x14ac:dyDescent="0.25">
      <c r="A169">
        <v>158</v>
      </c>
      <c r="B169">
        <v>0</v>
      </c>
    </row>
    <row r="170" spans="1:2" x14ac:dyDescent="0.25">
      <c r="A170">
        <v>159</v>
      </c>
      <c r="B170">
        <v>1</v>
      </c>
    </row>
    <row r="171" spans="1:2" x14ac:dyDescent="0.25">
      <c r="A171">
        <v>160</v>
      </c>
      <c r="B171">
        <v>0</v>
      </c>
    </row>
    <row r="172" spans="1:2" x14ac:dyDescent="0.25">
      <c r="A172">
        <v>161</v>
      </c>
      <c r="B172">
        <v>0</v>
      </c>
    </row>
    <row r="173" spans="1:2" x14ac:dyDescent="0.25">
      <c r="A173">
        <v>162</v>
      </c>
      <c r="B173">
        <v>0</v>
      </c>
    </row>
    <row r="174" spans="1:2" x14ac:dyDescent="0.25">
      <c r="A174">
        <v>163</v>
      </c>
      <c r="B174">
        <v>0</v>
      </c>
    </row>
    <row r="175" spans="1:2" x14ac:dyDescent="0.25">
      <c r="A175">
        <v>164</v>
      </c>
      <c r="B175">
        <v>0</v>
      </c>
    </row>
    <row r="176" spans="1:2" x14ac:dyDescent="0.25">
      <c r="A176">
        <v>165</v>
      </c>
      <c r="B176">
        <v>0</v>
      </c>
    </row>
    <row r="177" spans="1:2" x14ac:dyDescent="0.25">
      <c r="A177">
        <v>166</v>
      </c>
      <c r="B177">
        <v>0</v>
      </c>
    </row>
    <row r="178" spans="1:2" x14ac:dyDescent="0.25">
      <c r="A178">
        <v>167</v>
      </c>
      <c r="B178">
        <v>0</v>
      </c>
    </row>
    <row r="179" spans="1:2" x14ac:dyDescent="0.25">
      <c r="A179">
        <v>168</v>
      </c>
      <c r="B179">
        <v>0</v>
      </c>
    </row>
    <row r="180" spans="1:2" x14ac:dyDescent="0.25">
      <c r="A180">
        <v>169</v>
      </c>
      <c r="B180">
        <v>0</v>
      </c>
    </row>
    <row r="181" spans="1:2" x14ac:dyDescent="0.25">
      <c r="A181">
        <v>170</v>
      </c>
      <c r="B181">
        <v>0</v>
      </c>
    </row>
    <row r="182" spans="1:2" x14ac:dyDescent="0.25">
      <c r="A182">
        <v>171</v>
      </c>
      <c r="B182">
        <v>1</v>
      </c>
    </row>
    <row r="183" spans="1:2" x14ac:dyDescent="0.25">
      <c r="A183">
        <v>172</v>
      </c>
      <c r="B183">
        <v>0</v>
      </c>
    </row>
    <row r="184" spans="1:2" x14ac:dyDescent="0.25">
      <c r="A184">
        <v>173</v>
      </c>
      <c r="B184">
        <v>0</v>
      </c>
    </row>
    <row r="185" spans="1:2" x14ac:dyDescent="0.25">
      <c r="A185">
        <v>174</v>
      </c>
      <c r="B185">
        <v>1</v>
      </c>
    </row>
    <row r="186" spans="1:2" x14ac:dyDescent="0.25">
      <c r="A186">
        <v>175</v>
      </c>
      <c r="B186">
        <v>0</v>
      </c>
    </row>
    <row r="187" spans="1:2" x14ac:dyDescent="0.25">
      <c r="A187">
        <v>176</v>
      </c>
      <c r="B187">
        <v>1</v>
      </c>
    </row>
    <row r="188" spans="1:2" x14ac:dyDescent="0.25">
      <c r="A188">
        <v>177</v>
      </c>
      <c r="B188">
        <v>0</v>
      </c>
    </row>
    <row r="189" spans="1:2" x14ac:dyDescent="0.25">
      <c r="A189">
        <v>178</v>
      </c>
      <c r="B189">
        <v>0</v>
      </c>
    </row>
    <row r="190" spans="1:2" x14ac:dyDescent="0.25">
      <c r="A190">
        <v>179</v>
      </c>
      <c r="B190">
        <v>0</v>
      </c>
    </row>
    <row r="191" spans="1:2" x14ac:dyDescent="0.25">
      <c r="A191">
        <v>180</v>
      </c>
      <c r="B191">
        <v>1</v>
      </c>
    </row>
    <row r="192" spans="1:2" x14ac:dyDescent="0.25">
      <c r="A192">
        <v>181</v>
      </c>
      <c r="B192">
        <v>1</v>
      </c>
    </row>
    <row r="193" spans="1:2" x14ac:dyDescent="0.25">
      <c r="A193">
        <v>182</v>
      </c>
      <c r="B193">
        <v>1</v>
      </c>
    </row>
    <row r="194" spans="1:2" x14ac:dyDescent="0.25">
      <c r="A194">
        <v>183</v>
      </c>
      <c r="B194">
        <v>0</v>
      </c>
    </row>
    <row r="195" spans="1:2" x14ac:dyDescent="0.25">
      <c r="A195">
        <v>184</v>
      </c>
      <c r="B195">
        <v>0</v>
      </c>
    </row>
    <row r="196" spans="1:2" x14ac:dyDescent="0.25">
      <c r="A196">
        <v>185</v>
      </c>
      <c r="B196">
        <v>0</v>
      </c>
    </row>
  </sheetData>
  <sortState xmlns:xlrd2="http://schemas.microsoft.com/office/spreadsheetml/2017/richdata2" ref="Q24:Q25">
    <sortCondition ref="Q24"/>
  </sortState>
  <mergeCells count="9">
    <mergeCell ref="A6:B6"/>
    <mergeCell ref="A7:B7"/>
    <mergeCell ref="F27:L27"/>
    <mergeCell ref="F37:J37"/>
    <mergeCell ref="E38:H38"/>
    <mergeCell ref="E39:H39"/>
    <mergeCell ref="E40:H40"/>
    <mergeCell ref="E41:H41"/>
    <mergeCell ref="E42:H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B9D7-43B0-41F4-AAC5-D8BB13D50F37}">
  <dimension ref="A1:Q120"/>
  <sheetViews>
    <sheetView topLeftCell="A3" workbookViewId="0">
      <selection activeCell="L30" sqref="L30:L35"/>
    </sheetView>
  </sheetViews>
  <sheetFormatPr defaultRowHeight="15" x14ac:dyDescent="0.25"/>
  <cols>
    <col min="2" max="2" width="11" customWidth="1"/>
  </cols>
  <sheetData>
    <row r="1" spans="1:4" x14ac:dyDescent="0.25">
      <c r="A1" s="20" t="s">
        <v>23</v>
      </c>
      <c r="B1" s="20"/>
    </row>
    <row r="5" spans="1:4" x14ac:dyDescent="0.25">
      <c r="A5" s="3">
        <v>1</v>
      </c>
      <c r="B5" s="24" t="s">
        <v>1</v>
      </c>
      <c r="C5" s="24"/>
      <c r="D5" s="24"/>
    </row>
    <row r="6" spans="1:4" x14ac:dyDescent="0.25">
      <c r="A6" s="20" t="s">
        <v>27</v>
      </c>
      <c r="B6" s="20"/>
      <c r="C6" t="s">
        <v>26</v>
      </c>
      <c r="D6" s="5">
        <v>0.33081453901791436</v>
      </c>
    </row>
    <row r="7" spans="1:4" x14ac:dyDescent="0.25">
      <c r="A7" t="s">
        <v>24</v>
      </c>
      <c r="C7" t="s">
        <v>25</v>
      </c>
      <c r="D7" s="8">
        <v>6.3827936643574326</v>
      </c>
    </row>
    <row r="8" spans="1:4" x14ac:dyDescent="0.25">
      <c r="A8" s="20" t="s">
        <v>3</v>
      </c>
      <c r="B8" s="20"/>
      <c r="D8" s="8">
        <v>108.6123233741264</v>
      </c>
    </row>
    <row r="10" spans="1:4" x14ac:dyDescent="0.25">
      <c r="A10" s="1">
        <v>2</v>
      </c>
      <c r="B10" s="4" t="s">
        <v>4</v>
      </c>
    </row>
    <row r="11" spans="1:4" x14ac:dyDescent="0.25">
      <c r="A11" s="2" t="s">
        <v>5</v>
      </c>
      <c r="B11" s="2" t="s">
        <v>6</v>
      </c>
    </row>
    <row r="12" spans="1:4" x14ac:dyDescent="0.25">
      <c r="A12">
        <v>1</v>
      </c>
      <c r="B12">
        <v>0</v>
      </c>
    </row>
    <row r="13" spans="1:4" x14ac:dyDescent="0.25">
      <c r="A13">
        <v>2</v>
      </c>
      <c r="B13">
        <v>2</v>
      </c>
    </row>
    <row r="14" spans="1:4" x14ac:dyDescent="0.25">
      <c r="A14">
        <v>3</v>
      </c>
      <c r="B14">
        <v>2</v>
      </c>
    </row>
    <row r="15" spans="1:4" x14ac:dyDescent="0.25">
      <c r="A15">
        <v>4</v>
      </c>
      <c r="B15">
        <v>2</v>
      </c>
    </row>
    <row r="16" spans="1:4" x14ac:dyDescent="0.25">
      <c r="A16">
        <v>5</v>
      </c>
      <c r="B16">
        <v>4</v>
      </c>
    </row>
    <row r="17" spans="1:17" x14ac:dyDescent="0.25">
      <c r="A17">
        <v>6</v>
      </c>
      <c r="B17">
        <v>2</v>
      </c>
    </row>
    <row r="18" spans="1:17" x14ac:dyDescent="0.25">
      <c r="A18">
        <v>7</v>
      </c>
      <c r="B18">
        <v>0</v>
      </c>
    </row>
    <row r="19" spans="1:17" x14ac:dyDescent="0.25">
      <c r="A19">
        <v>8</v>
      </c>
      <c r="B19">
        <v>0</v>
      </c>
    </row>
    <row r="20" spans="1:17" x14ac:dyDescent="0.25">
      <c r="A20">
        <v>9</v>
      </c>
      <c r="B20">
        <v>1</v>
      </c>
    </row>
    <row r="21" spans="1:17" x14ac:dyDescent="0.25">
      <c r="A21">
        <v>10</v>
      </c>
      <c r="B21">
        <v>2</v>
      </c>
    </row>
    <row r="22" spans="1:17" x14ac:dyDescent="0.25">
      <c r="A22">
        <v>11</v>
      </c>
      <c r="B22">
        <v>3</v>
      </c>
    </row>
    <row r="23" spans="1:17" x14ac:dyDescent="0.25">
      <c r="A23">
        <v>12</v>
      </c>
      <c r="B23">
        <v>2</v>
      </c>
    </row>
    <row r="24" spans="1:17" x14ac:dyDescent="0.25">
      <c r="A24">
        <v>13</v>
      </c>
      <c r="B24">
        <v>1</v>
      </c>
      <c r="Q24" s="12"/>
    </row>
    <row r="25" spans="1:17" x14ac:dyDescent="0.25">
      <c r="A25">
        <v>14</v>
      </c>
      <c r="B25">
        <v>3</v>
      </c>
      <c r="Q25" s="12"/>
    </row>
    <row r="26" spans="1:17" x14ac:dyDescent="0.25">
      <c r="A26">
        <v>15</v>
      </c>
      <c r="B26">
        <v>1</v>
      </c>
    </row>
    <row r="27" spans="1:17" ht="15.75" thickBot="1" x14ac:dyDescent="0.3">
      <c r="A27">
        <v>16</v>
      </c>
      <c r="B27">
        <v>3</v>
      </c>
      <c r="E27" s="3">
        <v>3</v>
      </c>
      <c r="F27" s="23" t="s">
        <v>7</v>
      </c>
      <c r="G27" s="23"/>
      <c r="H27" s="23"/>
      <c r="I27" s="23"/>
      <c r="J27" s="23"/>
      <c r="K27" s="23"/>
      <c r="L27" s="23"/>
    </row>
    <row r="28" spans="1:17" x14ac:dyDescent="0.25">
      <c r="A28">
        <v>17</v>
      </c>
      <c r="B28">
        <v>3</v>
      </c>
      <c r="E28" t="s">
        <v>8</v>
      </c>
      <c r="G28" s="16" t="s">
        <v>9</v>
      </c>
      <c r="H28" s="16" t="s">
        <v>10</v>
      </c>
      <c r="J28" t="s">
        <v>13</v>
      </c>
      <c r="K28" t="s">
        <v>14</v>
      </c>
      <c r="L28" t="s">
        <v>15</v>
      </c>
    </row>
    <row r="29" spans="1:17" x14ac:dyDescent="0.25">
      <c r="A29">
        <v>18</v>
      </c>
      <c r="B29">
        <v>2</v>
      </c>
      <c r="E29">
        <v>0</v>
      </c>
      <c r="G29" s="13">
        <v>0</v>
      </c>
      <c r="H29" s="14">
        <v>10</v>
      </c>
      <c r="J29" s="17">
        <f>H29/$H$37</f>
        <v>9.1743119266055051E-2</v>
      </c>
      <c r="K29" s="17">
        <f>_xlfn.BINOM.DIST(E29,$D$7,$D$6,FALSE)</f>
        <v>8.9800546635092529E-2</v>
      </c>
      <c r="L29" s="17">
        <f>J29</f>
        <v>9.1743119266055051E-2</v>
      </c>
    </row>
    <row r="30" spans="1:17" x14ac:dyDescent="0.25">
      <c r="A30">
        <v>19</v>
      </c>
      <c r="B30">
        <v>2</v>
      </c>
      <c r="E30">
        <v>1</v>
      </c>
      <c r="G30" s="13">
        <v>1</v>
      </c>
      <c r="H30" s="14">
        <v>30</v>
      </c>
      <c r="J30" s="17">
        <f t="shared" ref="J30:J35" si="0">H30/$H$37</f>
        <v>0.27522935779816515</v>
      </c>
      <c r="K30" s="17">
        <f t="shared" ref="K30:K35" si="1">_xlfn.BINOM.DIST(E30,$D$7,$D$6,FALSE)</f>
        <v>0.26635958045215335</v>
      </c>
      <c r="L30" s="17">
        <f>L29+J30</f>
        <v>0.3669724770642202</v>
      </c>
    </row>
    <row r="31" spans="1:17" x14ac:dyDescent="0.25">
      <c r="A31">
        <v>20</v>
      </c>
      <c r="B31">
        <v>2</v>
      </c>
      <c r="E31">
        <v>2</v>
      </c>
      <c r="G31" s="13">
        <v>2</v>
      </c>
      <c r="H31" s="14">
        <v>31</v>
      </c>
      <c r="J31" s="17">
        <f t="shared" si="0"/>
        <v>0.28440366972477066</v>
      </c>
      <c r="K31" s="17">
        <f t="shared" si="1"/>
        <v>0.32918983958111969</v>
      </c>
      <c r="L31" s="17">
        <f t="shared" ref="L31:L35" si="2">L30+J31</f>
        <v>0.65137614678899092</v>
      </c>
    </row>
    <row r="32" spans="1:17" x14ac:dyDescent="0.25">
      <c r="A32">
        <v>21</v>
      </c>
      <c r="B32">
        <v>1</v>
      </c>
      <c r="E32">
        <v>3</v>
      </c>
      <c r="G32" s="13">
        <v>3</v>
      </c>
      <c r="H32" s="14">
        <v>25</v>
      </c>
      <c r="J32" s="17">
        <f t="shared" si="0"/>
        <v>0.22935779816513763</v>
      </c>
      <c r="K32" s="17">
        <f t="shared" si="1"/>
        <v>0.21698177138235736</v>
      </c>
      <c r="L32" s="17">
        <f t="shared" si="2"/>
        <v>0.88073394495412849</v>
      </c>
    </row>
    <row r="33" spans="1:12" x14ac:dyDescent="0.25">
      <c r="A33">
        <v>22</v>
      </c>
      <c r="B33">
        <v>3</v>
      </c>
      <c r="E33">
        <v>4</v>
      </c>
      <c r="G33" s="13">
        <v>4</v>
      </c>
      <c r="H33" s="14">
        <v>12</v>
      </c>
      <c r="J33" s="17">
        <f t="shared" si="0"/>
        <v>0.11009174311926606</v>
      </c>
      <c r="K33" s="17">
        <f t="shared" si="1"/>
        <v>8.044936216538634E-2</v>
      </c>
      <c r="L33" s="17">
        <f t="shared" si="2"/>
        <v>0.99082568807339455</v>
      </c>
    </row>
    <row r="34" spans="1:12" x14ac:dyDescent="0.25">
      <c r="A34">
        <v>23</v>
      </c>
      <c r="B34">
        <v>4</v>
      </c>
      <c r="E34">
        <v>5</v>
      </c>
      <c r="G34" s="13">
        <v>5</v>
      </c>
      <c r="H34" s="14">
        <v>1</v>
      </c>
      <c r="J34" s="17">
        <f t="shared" si="0"/>
        <v>9.1743119266055051E-3</v>
      </c>
      <c r="K34" s="17">
        <f t="shared" si="1"/>
        <v>1.5908187018868883E-2</v>
      </c>
      <c r="L34" s="17">
        <f t="shared" si="2"/>
        <v>1</v>
      </c>
    </row>
    <row r="35" spans="1:12" x14ac:dyDescent="0.25">
      <c r="A35">
        <v>24</v>
      </c>
      <c r="B35">
        <v>1</v>
      </c>
      <c r="E35">
        <v>6</v>
      </c>
      <c r="G35" s="13">
        <v>6</v>
      </c>
      <c r="H35" s="14">
        <v>0</v>
      </c>
      <c r="J35" s="17">
        <f t="shared" si="0"/>
        <v>0</v>
      </c>
      <c r="K35" s="17">
        <f t="shared" si="1"/>
        <v>1.3107127650219437E-3</v>
      </c>
      <c r="L35" s="17">
        <f t="shared" si="2"/>
        <v>1</v>
      </c>
    </row>
    <row r="36" spans="1:12" ht="15.75" thickBot="1" x14ac:dyDescent="0.3">
      <c r="A36">
        <v>25</v>
      </c>
      <c r="B36">
        <v>3</v>
      </c>
      <c r="G36" s="15" t="s">
        <v>11</v>
      </c>
      <c r="H36" s="15">
        <v>0</v>
      </c>
    </row>
    <row r="37" spans="1:12" x14ac:dyDescent="0.25">
      <c r="A37">
        <v>26</v>
      </c>
      <c r="B37">
        <v>1</v>
      </c>
      <c r="G37" t="s">
        <v>28</v>
      </c>
      <c r="H37">
        <f>SUM(H29:H36)</f>
        <v>109</v>
      </c>
      <c r="I37" t="s">
        <v>16</v>
      </c>
      <c r="J37" s="17">
        <f>SUM(J29:J35)</f>
        <v>1</v>
      </c>
      <c r="K37" s="17">
        <f>SUM(K29:K35)</f>
        <v>1.0000000000000002</v>
      </c>
    </row>
    <row r="38" spans="1:12" x14ac:dyDescent="0.25">
      <c r="A38">
        <v>27</v>
      </c>
      <c r="B38">
        <v>3</v>
      </c>
    </row>
    <row r="39" spans="1:12" x14ac:dyDescent="0.25">
      <c r="A39">
        <v>28</v>
      </c>
      <c r="B39">
        <v>2</v>
      </c>
    </row>
    <row r="40" spans="1:12" x14ac:dyDescent="0.25">
      <c r="A40">
        <v>29</v>
      </c>
      <c r="B40">
        <v>0</v>
      </c>
    </row>
    <row r="41" spans="1:12" x14ac:dyDescent="0.25">
      <c r="A41">
        <v>30</v>
      </c>
      <c r="B41">
        <v>2</v>
      </c>
    </row>
    <row r="42" spans="1:12" x14ac:dyDescent="0.25">
      <c r="A42">
        <v>31</v>
      </c>
      <c r="B42">
        <v>4</v>
      </c>
    </row>
    <row r="43" spans="1:12" x14ac:dyDescent="0.25">
      <c r="A43">
        <v>32</v>
      </c>
      <c r="B43">
        <v>2</v>
      </c>
    </row>
    <row r="44" spans="1:12" x14ac:dyDescent="0.25">
      <c r="A44">
        <v>33</v>
      </c>
      <c r="B44">
        <v>2</v>
      </c>
    </row>
    <row r="45" spans="1:12" x14ac:dyDescent="0.25">
      <c r="A45">
        <v>34</v>
      </c>
      <c r="B45">
        <v>3</v>
      </c>
    </row>
    <row r="46" spans="1:12" x14ac:dyDescent="0.25">
      <c r="A46">
        <v>35</v>
      </c>
      <c r="B46">
        <v>4</v>
      </c>
    </row>
    <row r="47" spans="1:12" x14ac:dyDescent="0.25">
      <c r="A47">
        <v>36</v>
      </c>
      <c r="B47">
        <v>4</v>
      </c>
    </row>
    <row r="48" spans="1:12" x14ac:dyDescent="0.25">
      <c r="A48">
        <v>37</v>
      </c>
      <c r="B48">
        <v>3</v>
      </c>
    </row>
    <row r="49" spans="1:10" x14ac:dyDescent="0.25">
      <c r="A49">
        <v>38</v>
      </c>
      <c r="B49">
        <v>1</v>
      </c>
    </row>
    <row r="50" spans="1:10" x14ac:dyDescent="0.25">
      <c r="A50">
        <v>39</v>
      </c>
      <c r="B50">
        <v>5</v>
      </c>
    </row>
    <row r="51" spans="1:10" x14ac:dyDescent="0.25">
      <c r="A51">
        <v>40</v>
      </c>
      <c r="B51">
        <v>2</v>
      </c>
      <c r="E51" s="3">
        <v>4</v>
      </c>
      <c r="F51" s="23" t="s">
        <v>17</v>
      </c>
      <c r="G51" s="23"/>
      <c r="H51" s="23"/>
      <c r="I51" s="23"/>
      <c r="J51" s="23"/>
    </row>
    <row r="52" spans="1:10" x14ac:dyDescent="0.25">
      <c r="A52">
        <v>41</v>
      </c>
      <c r="B52">
        <v>1</v>
      </c>
      <c r="E52" s="22" t="s">
        <v>18</v>
      </c>
      <c r="F52" s="22"/>
      <c r="G52" s="22"/>
      <c r="H52" s="22"/>
      <c r="I52">
        <f>AVERAGE(B12:B120)</f>
        <v>2.0183486238532109</v>
      </c>
    </row>
    <row r="53" spans="1:10" x14ac:dyDescent="0.25">
      <c r="A53">
        <v>42</v>
      </c>
      <c r="B53">
        <v>1</v>
      </c>
      <c r="E53" s="22" t="s">
        <v>19</v>
      </c>
      <c r="F53" s="22"/>
      <c r="G53" s="22"/>
      <c r="H53" s="22"/>
      <c r="I53">
        <f>_xlfn.STDEV.S(B12:B120)</f>
        <v>1.1861988105190431</v>
      </c>
    </row>
    <row r="54" spans="1:10" x14ac:dyDescent="0.25">
      <c r="A54">
        <v>43</v>
      </c>
      <c r="B54">
        <v>2</v>
      </c>
      <c r="E54" s="22" t="s">
        <v>20</v>
      </c>
      <c r="F54" s="22"/>
      <c r="G54" s="22"/>
      <c r="H54" s="22"/>
      <c r="I54">
        <f>_xlfn.VAR.S(B12:B120)</f>
        <v>1.4070676180767927</v>
      </c>
    </row>
    <row r="55" spans="1:10" x14ac:dyDescent="0.25">
      <c r="A55">
        <v>44</v>
      </c>
      <c r="B55">
        <v>0</v>
      </c>
      <c r="E55" s="22" t="s">
        <v>21</v>
      </c>
      <c r="F55" s="22"/>
      <c r="G55" s="22"/>
      <c r="H55" s="22"/>
      <c r="I55">
        <f>SKEW(B12:B120)</f>
        <v>0.16747202545698975</v>
      </c>
    </row>
    <row r="56" spans="1:10" x14ac:dyDescent="0.25">
      <c r="A56">
        <v>45</v>
      </c>
      <c r="B56">
        <v>1</v>
      </c>
      <c r="E56" s="22" t="s">
        <v>22</v>
      </c>
      <c r="F56" s="22"/>
      <c r="G56" s="22"/>
      <c r="H56" s="22"/>
      <c r="I56">
        <f>KURT(B12:B120)</f>
        <v>-0.6847835371959361</v>
      </c>
    </row>
    <row r="57" spans="1:10" x14ac:dyDescent="0.25">
      <c r="A57">
        <v>46</v>
      </c>
      <c r="B57">
        <v>2</v>
      </c>
    </row>
    <row r="58" spans="1:10" x14ac:dyDescent="0.25">
      <c r="A58">
        <v>47</v>
      </c>
      <c r="B58">
        <v>3</v>
      </c>
    </row>
    <row r="59" spans="1:10" x14ac:dyDescent="0.25">
      <c r="A59">
        <v>48</v>
      </c>
      <c r="B59">
        <v>1</v>
      </c>
    </row>
    <row r="60" spans="1:10" x14ac:dyDescent="0.25">
      <c r="A60">
        <v>49</v>
      </c>
      <c r="B60">
        <v>3</v>
      </c>
    </row>
    <row r="61" spans="1:10" x14ac:dyDescent="0.25">
      <c r="A61">
        <v>50</v>
      </c>
      <c r="B61">
        <v>3</v>
      </c>
    </row>
    <row r="62" spans="1:10" x14ac:dyDescent="0.25">
      <c r="A62">
        <v>51</v>
      </c>
      <c r="B62">
        <v>2</v>
      </c>
    </row>
    <row r="63" spans="1:10" x14ac:dyDescent="0.25">
      <c r="A63">
        <v>52</v>
      </c>
      <c r="B63">
        <v>2</v>
      </c>
    </row>
    <row r="64" spans="1:10" x14ac:dyDescent="0.25">
      <c r="A64">
        <v>53</v>
      </c>
      <c r="B64">
        <v>3</v>
      </c>
    </row>
    <row r="65" spans="1:2" x14ac:dyDescent="0.25">
      <c r="A65">
        <v>54</v>
      </c>
      <c r="B65">
        <v>4</v>
      </c>
    </row>
    <row r="66" spans="1:2" x14ac:dyDescent="0.25">
      <c r="A66">
        <v>55</v>
      </c>
      <c r="B66">
        <v>3</v>
      </c>
    </row>
    <row r="67" spans="1:2" x14ac:dyDescent="0.25">
      <c r="A67">
        <v>56</v>
      </c>
      <c r="B67">
        <v>1</v>
      </c>
    </row>
    <row r="68" spans="1:2" x14ac:dyDescent="0.25">
      <c r="A68">
        <v>57</v>
      </c>
      <c r="B68">
        <v>1</v>
      </c>
    </row>
    <row r="69" spans="1:2" x14ac:dyDescent="0.25">
      <c r="A69">
        <v>58</v>
      </c>
      <c r="B69">
        <v>4</v>
      </c>
    </row>
    <row r="70" spans="1:2" x14ac:dyDescent="0.25">
      <c r="A70">
        <v>59</v>
      </c>
      <c r="B70">
        <v>3</v>
      </c>
    </row>
    <row r="71" spans="1:2" x14ac:dyDescent="0.25">
      <c r="A71">
        <v>60</v>
      </c>
      <c r="B71">
        <v>4</v>
      </c>
    </row>
    <row r="72" spans="1:2" x14ac:dyDescent="0.25">
      <c r="A72">
        <v>61</v>
      </c>
      <c r="B72">
        <v>1</v>
      </c>
    </row>
    <row r="73" spans="1:2" x14ac:dyDescent="0.25">
      <c r="A73">
        <v>62</v>
      </c>
      <c r="B73">
        <v>1</v>
      </c>
    </row>
    <row r="74" spans="1:2" x14ac:dyDescent="0.25">
      <c r="A74">
        <v>63</v>
      </c>
      <c r="B74">
        <v>2</v>
      </c>
    </row>
    <row r="75" spans="1:2" x14ac:dyDescent="0.25">
      <c r="A75">
        <v>64</v>
      </c>
      <c r="B75">
        <v>4</v>
      </c>
    </row>
    <row r="76" spans="1:2" x14ac:dyDescent="0.25">
      <c r="A76">
        <v>65</v>
      </c>
      <c r="B76">
        <v>2</v>
      </c>
    </row>
    <row r="77" spans="1:2" x14ac:dyDescent="0.25">
      <c r="A77">
        <v>66</v>
      </c>
      <c r="B77">
        <v>2</v>
      </c>
    </row>
    <row r="78" spans="1:2" x14ac:dyDescent="0.25">
      <c r="A78">
        <v>67</v>
      </c>
      <c r="B78">
        <v>3</v>
      </c>
    </row>
    <row r="79" spans="1:2" x14ac:dyDescent="0.25">
      <c r="A79">
        <v>68</v>
      </c>
      <c r="B79">
        <v>2</v>
      </c>
    </row>
    <row r="80" spans="1:2" x14ac:dyDescent="0.25">
      <c r="A80">
        <v>69</v>
      </c>
      <c r="B80">
        <v>4</v>
      </c>
    </row>
    <row r="81" spans="1:2" x14ac:dyDescent="0.25">
      <c r="A81">
        <v>70</v>
      </c>
      <c r="B81">
        <v>1</v>
      </c>
    </row>
    <row r="82" spans="1:2" x14ac:dyDescent="0.25">
      <c r="A82">
        <v>71</v>
      </c>
      <c r="B82">
        <v>4</v>
      </c>
    </row>
    <row r="83" spans="1:2" x14ac:dyDescent="0.25">
      <c r="A83">
        <v>72</v>
      </c>
      <c r="B83">
        <v>3</v>
      </c>
    </row>
    <row r="84" spans="1:2" x14ac:dyDescent="0.25">
      <c r="A84">
        <v>73</v>
      </c>
      <c r="B84">
        <v>1</v>
      </c>
    </row>
    <row r="85" spans="1:2" x14ac:dyDescent="0.25">
      <c r="A85">
        <v>74</v>
      </c>
      <c r="B85">
        <v>3</v>
      </c>
    </row>
    <row r="86" spans="1:2" x14ac:dyDescent="0.25">
      <c r="A86">
        <v>75</v>
      </c>
      <c r="B86">
        <v>1</v>
      </c>
    </row>
    <row r="87" spans="1:2" x14ac:dyDescent="0.25">
      <c r="A87">
        <v>76</v>
      </c>
      <c r="B87">
        <v>2</v>
      </c>
    </row>
    <row r="88" spans="1:2" x14ac:dyDescent="0.25">
      <c r="A88">
        <v>77</v>
      </c>
      <c r="B88">
        <v>2</v>
      </c>
    </row>
    <row r="89" spans="1:2" x14ac:dyDescent="0.25">
      <c r="A89">
        <v>78</v>
      </c>
      <c r="B89">
        <v>2</v>
      </c>
    </row>
    <row r="90" spans="1:2" x14ac:dyDescent="0.25">
      <c r="A90">
        <v>79</v>
      </c>
      <c r="B90">
        <v>0</v>
      </c>
    </row>
    <row r="91" spans="1:2" x14ac:dyDescent="0.25">
      <c r="A91">
        <v>80</v>
      </c>
      <c r="B91">
        <v>3</v>
      </c>
    </row>
    <row r="92" spans="1:2" x14ac:dyDescent="0.25">
      <c r="A92">
        <v>81</v>
      </c>
      <c r="B92">
        <v>3</v>
      </c>
    </row>
    <row r="93" spans="1:2" x14ac:dyDescent="0.25">
      <c r="A93">
        <v>82</v>
      </c>
      <c r="B93">
        <v>1</v>
      </c>
    </row>
    <row r="94" spans="1:2" x14ac:dyDescent="0.25">
      <c r="A94">
        <v>83</v>
      </c>
      <c r="B94">
        <v>3</v>
      </c>
    </row>
    <row r="95" spans="1:2" x14ac:dyDescent="0.25">
      <c r="A95">
        <v>84</v>
      </c>
      <c r="B95">
        <v>1</v>
      </c>
    </row>
    <row r="96" spans="1:2" x14ac:dyDescent="0.25">
      <c r="A96">
        <v>85</v>
      </c>
      <c r="B96">
        <v>2</v>
      </c>
    </row>
    <row r="97" spans="1:2" x14ac:dyDescent="0.25">
      <c r="A97">
        <v>86</v>
      </c>
      <c r="B97">
        <v>1</v>
      </c>
    </row>
    <row r="98" spans="1:2" x14ac:dyDescent="0.25">
      <c r="A98">
        <v>87</v>
      </c>
      <c r="B98">
        <v>2</v>
      </c>
    </row>
    <row r="99" spans="1:2" x14ac:dyDescent="0.25">
      <c r="A99">
        <v>88</v>
      </c>
      <c r="B99">
        <v>1</v>
      </c>
    </row>
    <row r="100" spans="1:2" x14ac:dyDescent="0.25">
      <c r="A100">
        <v>89</v>
      </c>
      <c r="B100">
        <v>1</v>
      </c>
    </row>
    <row r="101" spans="1:2" x14ac:dyDescent="0.25">
      <c r="A101">
        <v>90</v>
      </c>
      <c r="B101">
        <v>2</v>
      </c>
    </row>
    <row r="102" spans="1:2" x14ac:dyDescent="0.25">
      <c r="A102">
        <v>91</v>
      </c>
      <c r="B102">
        <v>3</v>
      </c>
    </row>
    <row r="103" spans="1:2" x14ac:dyDescent="0.25">
      <c r="A103">
        <v>92</v>
      </c>
      <c r="B103">
        <v>3</v>
      </c>
    </row>
    <row r="104" spans="1:2" x14ac:dyDescent="0.25">
      <c r="A104">
        <v>93</v>
      </c>
      <c r="B104">
        <v>3</v>
      </c>
    </row>
    <row r="105" spans="1:2" x14ac:dyDescent="0.25">
      <c r="A105">
        <v>94</v>
      </c>
      <c r="B105">
        <v>1</v>
      </c>
    </row>
    <row r="106" spans="1:2" x14ac:dyDescent="0.25">
      <c r="A106">
        <v>95</v>
      </c>
      <c r="B106">
        <v>0</v>
      </c>
    </row>
    <row r="107" spans="1:2" x14ac:dyDescent="0.25">
      <c r="A107">
        <v>96</v>
      </c>
      <c r="B107">
        <v>0</v>
      </c>
    </row>
    <row r="108" spans="1:2" x14ac:dyDescent="0.25">
      <c r="A108">
        <v>97</v>
      </c>
      <c r="B108">
        <v>1</v>
      </c>
    </row>
    <row r="109" spans="1:2" x14ac:dyDescent="0.25">
      <c r="A109">
        <v>98</v>
      </c>
      <c r="B109">
        <v>1</v>
      </c>
    </row>
    <row r="110" spans="1:2" x14ac:dyDescent="0.25">
      <c r="A110">
        <v>99</v>
      </c>
      <c r="B110">
        <v>2</v>
      </c>
    </row>
    <row r="111" spans="1:2" x14ac:dyDescent="0.25">
      <c r="A111">
        <v>100</v>
      </c>
      <c r="B111">
        <v>1</v>
      </c>
    </row>
    <row r="112" spans="1:2" x14ac:dyDescent="0.25">
      <c r="A112">
        <v>101</v>
      </c>
      <c r="B112">
        <v>2</v>
      </c>
    </row>
    <row r="113" spans="1:2" x14ac:dyDescent="0.25">
      <c r="A113">
        <v>102</v>
      </c>
      <c r="B113">
        <v>3</v>
      </c>
    </row>
    <row r="114" spans="1:2" x14ac:dyDescent="0.25">
      <c r="A114">
        <v>103</v>
      </c>
      <c r="B114">
        <v>4</v>
      </c>
    </row>
    <row r="115" spans="1:2" x14ac:dyDescent="0.25">
      <c r="A115">
        <v>104</v>
      </c>
      <c r="B115">
        <v>2</v>
      </c>
    </row>
    <row r="116" spans="1:2" x14ac:dyDescent="0.25">
      <c r="A116">
        <v>105</v>
      </c>
      <c r="B116">
        <v>0</v>
      </c>
    </row>
    <row r="117" spans="1:2" x14ac:dyDescent="0.25">
      <c r="A117">
        <v>106</v>
      </c>
      <c r="B117">
        <v>1</v>
      </c>
    </row>
    <row r="118" spans="1:2" x14ac:dyDescent="0.25">
      <c r="A118">
        <v>107</v>
      </c>
      <c r="B118">
        <v>1</v>
      </c>
    </row>
    <row r="119" spans="1:2" x14ac:dyDescent="0.25">
      <c r="A119">
        <v>108</v>
      </c>
      <c r="B119">
        <v>0</v>
      </c>
    </row>
    <row r="120" spans="1:2" x14ac:dyDescent="0.25">
      <c r="A120">
        <v>109</v>
      </c>
      <c r="B120">
        <v>1</v>
      </c>
    </row>
  </sheetData>
  <sortState xmlns:xlrd2="http://schemas.microsoft.com/office/spreadsheetml/2017/richdata2" ref="G29:G35">
    <sortCondition ref="G29"/>
  </sortState>
  <mergeCells count="8">
    <mergeCell ref="E54:H54"/>
    <mergeCell ref="E55:H55"/>
    <mergeCell ref="E56:H56"/>
    <mergeCell ref="B5:D5"/>
    <mergeCell ref="F27:L27"/>
    <mergeCell ref="F51:J51"/>
    <mergeCell ref="E52:H52"/>
    <mergeCell ref="E53:H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64E1-0082-4CFB-882B-4BFDCF5BB586}">
  <dimension ref="A1:Q179"/>
  <sheetViews>
    <sheetView topLeftCell="A12" workbookViewId="0">
      <selection activeCell="M31" sqref="M31"/>
    </sheetView>
  </sheetViews>
  <sheetFormatPr defaultRowHeight="15" x14ac:dyDescent="0.25"/>
  <cols>
    <col min="2" max="2" width="11" bestFit="1" customWidth="1"/>
  </cols>
  <sheetData>
    <row r="1" spans="1:4" x14ac:dyDescent="0.25">
      <c r="A1" s="20" t="s">
        <v>29</v>
      </c>
      <c r="B1" s="20"/>
    </row>
    <row r="5" spans="1:4" x14ac:dyDescent="0.25">
      <c r="A5" s="3">
        <v>1</v>
      </c>
      <c r="B5" s="24" t="s">
        <v>1</v>
      </c>
      <c r="C5" s="24"/>
      <c r="D5" s="24"/>
    </row>
    <row r="6" spans="1:4" x14ac:dyDescent="0.25">
      <c r="A6" t="s">
        <v>30</v>
      </c>
      <c r="B6" s="8">
        <v>3.7441938535721917</v>
      </c>
    </row>
    <row r="7" spans="1:4" x14ac:dyDescent="0.25">
      <c r="A7" s="20" t="s">
        <v>3</v>
      </c>
      <c r="B7" s="20"/>
      <c r="D7" s="8">
        <v>168.30652790917691</v>
      </c>
    </row>
    <row r="10" spans="1:4" x14ac:dyDescent="0.25">
      <c r="A10" s="1">
        <v>2</v>
      </c>
      <c r="B10" s="4" t="s">
        <v>4</v>
      </c>
    </row>
    <row r="11" spans="1:4" x14ac:dyDescent="0.25">
      <c r="A11" s="2" t="s">
        <v>5</v>
      </c>
      <c r="B11" s="2" t="s">
        <v>6</v>
      </c>
    </row>
    <row r="12" spans="1:4" x14ac:dyDescent="0.25">
      <c r="A12">
        <v>1</v>
      </c>
      <c r="B12">
        <v>4</v>
      </c>
    </row>
    <row r="13" spans="1:4" x14ac:dyDescent="0.25">
      <c r="A13">
        <v>2</v>
      </c>
      <c r="B13">
        <v>3</v>
      </c>
    </row>
    <row r="14" spans="1:4" x14ac:dyDescent="0.25">
      <c r="A14">
        <v>3</v>
      </c>
      <c r="B14">
        <v>3</v>
      </c>
    </row>
    <row r="15" spans="1:4" x14ac:dyDescent="0.25">
      <c r="A15">
        <v>4</v>
      </c>
      <c r="B15">
        <v>4</v>
      </c>
    </row>
    <row r="16" spans="1:4" x14ac:dyDescent="0.25">
      <c r="A16">
        <v>5</v>
      </c>
      <c r="B16">
        <v>3</v>
      </c>
    </row>
    <row r="17" spans="1:17" x14ac:dyDescent="0.25">
      <c r="A17">
        <v>6</v>
      </c>
      <c r="B17">
        <v>7</v>
      </c>
    </row>
    <row r="18" spans="1:17" x14ac:dyDescent="0.25">
      <c r="A18">
        <v>7</v>
      </c>
      <c r="B18">
        <v>1</v>
      </c>
    </row>
    <row r="19" spans="1:17" x14ac:dyDescent="0.25">
      <c r="A19">
        <v>8</v>
      </c>
      <c r="B19">
        <v>4</v>
      </c>
    </row>
    <row r="20" spans="1:17" x14ac:dyDescent="0.25">
      <c r="A20">
        <v>9</v>
      </c>
      <c r="B20">
        <v>5</v>
      </c>
    </row>
    <row r="21" spans="1:17" x14ac:dyDescent="0.25">
      <c r="A21">
        <v>10</v>
      </c>
      <c r="B21">
        <v>2</v>
      </c>
    </row>
    <row r="22" spans="1:17" x14ac:dyDescent="0.25">
      <c r="A22">
        <v>11</v>
      </c>
      <c r="B22">
        <v>6</v>
      </c>
    </row>
    <row r="23" spans="1:17" x14ac:dyDescent="0.25">
      <c r="A23">
        <v>12</v>
      </c>
      <c r="B23">
        <v>4</v>
      </c>
    </row>
    <row r="24" spans="1:17" x14ac:dyDescent="0.25">
      <c r="A24">
        <v>13</v>
      </c>
      <c r="B24">
        <v>4</v>
      </c>
      <c r="Q24" s="12"/>
    </row>
    <row r="25" spans="1:17" x14ac:dyDescent="0.25">
      <c r="A25">
        <v>14</v>
      </c>
      <c r="B25">
        <v>1</v>
      </c>
      <c r="Q25" s="12"/>
    </row>
    <row r="26" spans="1:17" x14ac:dyDescent="0.25">
      <c r="A26">
        <v>15</v>
      </c>
      <c r="B26">
        <v>4</v>
      </c>
    </row>
    <row r="27" spans="1:17" ht="15.75" thickBot="1" x14ac:dyDescent="0.3">
      <c r="A27">
        <v>16</v>
      </c>
      <c r="B27">
        <v>5</v>
      </c>
      <c r="E27" s="3">
        <v>3</v>
      </c>
      <c r="F27" s="23" t="s">
        <v>7</v>
      </c>
      <c r="G27" s="23"/>
      <c r="H27" s="23"/>
      <c r="I27" s="23"/>
      <c r="J27" s="23"/>
      <c r="K27" s="23"/>
      <c r="L27" s="23"/>
    </row>
    <row r="28" spans="1:17" x14ac:dyDescent="0.25">
      <c r="A28">
        <v>17</v>
      </c>
      <c r="B28">
        <v>9</v>
      </c>
      <c r="E28" t="s">
        <v>8</v>
      </c>
      <c r="G28" s="16" t="s">
        <v>9</v>
      </c>
      <c r="H28" s="16" t="s">
        <v>10</v>
      </c>
      <c r="J28" t="s">
        <v>13</v>
      </c>
      <c r="K28" t="s">
        <v>14</v>
      </c>
      <c r="L28" t="s">
        <v>15</v>
      </c>
    </row>
    <row r="29" spans="1:17" x14ac:dyDescent="0.25">
      <c r="A29">
        <v>18</v>
      </c>
      <c r="B29">
        <v>3</v>
      </c>
      <c r="E29">
        <v>0</v>
      </c>
      <c r="G29" s="13">
        <v>0</v>
      </c>
      <c r="H29" s="14">
        <v>2</v>
      </c>
      <c r="J29" s="17">
        <f>H29/$H$41</f>
        <v>1.1904761904761904E-2</v>
      </c>
      <c r="K29" s="17">
        <f>_xlfn.POISSON.DIST(E29,$B$6,FALSE)</f>
        <v>2.3654690507735908E-2</v>
      </c>
      <c r="L29" s="17">
        <f>J29</f>
        <v>1.1904761904761904E-2</v>
      </c>
    </row>
    <row r="30" spans="1:17" x14ac:dyDescent="0.25">
      <c r="A30">
        <v>19</v>
      </c>
      <c r="B30">
        <v>5</v>
      </c>
      <c r="E30">
        <v>1</v>
      </c>
      <c r="G30" s="13">
        <v>1</v>
      </c>
      <c r="H30" s="14">
        <v>17</v>
      </c>
      <c r="J30" s="17">
        <f t="shared" ref="J30:J39" si="0">H30/$H$41</f>
        <v>0.10119047619047619</v>
      </c>
      <c r="K30" s="17">
        <f t="shared" ref="K30:K39" si="1">_xlfn.POISSON.DIST(E30,$B$6,FALSE)</f>
        <v>8.8567746807217254E-2</v>
      </c>
      <c r="L30" s="17">
        <f>L29+J30</f>
        <v>0.1130952380952381</v>
      </c>
    </row>
    <row r="31" spans="1:17" x14ac:dyDescent="0.25">
      <c r="A31">
        <v>20</v>
      </c>
      <c r="B31">
        <v>7</v>
      </c>
      <c r="E31">
        <v>2</v>
      </c>
      <c r="G31" s="13">
        <v>2</v>
      </c>
      <c r="H31" s="14">
        <v>27</v>
      </c>
      <c r="J31" s="17">
        <f t="shared" si="0"/>
        <v>0.16071428571428573</v>
      </c>
      <c r="K31" s="17">
        <f t="shared" si="1"/>
        <v>0.1658074066101605</v>
      </c>
      <c r="L31" s="17">
        <f t="shared" ref="L31:L38" si="2">L30+J31</f>
        <v>0.27380952380952384</v>
      </c>
    </row>
    <row r="32" spans="1:17" x14ac:dyDescent="0.25">
      <c r="A32">
        <v>21</v>
      </c>
      <c r="B32">
        <v>5</v>
      </c>
      <c r="E32">
        <v>3</v>
      </c>
      <c r="G32" s="13">
        <v>3</v>
      </c>
      <c r="H32" s="14">
        <v>27</v>
      </c>
      <c r="J32" s="17">
        <f t="shared" si="0"/>
        <v>0.16071428571428573</v>
      </c>
      <c r="K32" s="17">
        <f t="shared" si="1"/>
        <v>0.20693835756883605</v>
      </c>
      <c r="L32" s="17">
        <f t="shared" si="2"/>
        <v>0.43452380952380953</v>
      </c>
    </row>
    <row r="33" spans="1:12" x14ac:dyDescent="0.25">
      <c r="A33">
        <v>22</v>
      </c>
      <c r="B33">
        <v>2</v>
      </c>
      <c r="E33">
        <v>4</v>
      </c>
      <c r="G33" s="13">
        <v>4</v>
      </c>
      <c r="H33" s="14">
        <v>35</v>
      </c>
      <c r="J33" s="17">
        <f t="shared" si="0"/>
        <v>0.20833333333333334</v>
      </c>
      <c r="K33" s="17">
        <f t="shared" si="1"/>
        <v>0.1937043316193901</v>
      </c>
      <c r="L33" s="17">
        <f t="shared" si="2"/>
        <v>0.6428571428571429</v>
      </c>
    </row>
    <row r="34" spans="1:12" x14ac:dyDescent="0.25">
      <c r="A34">
        <v>23</v>
      </c>
      <c r="B34">
        <v>1</v>
      </c>
      <c r="E34">
        <v>5</v>
      </c>
      <c r="G34" s="13">
        <v>5</v>
      </c>
      <c r="H34" s="14">
        <v>23</v>
      </c>
      <c r="J34" s="17">
        <f t="shared" si="0"/>
        <v>0.13690476190476192</v>
      </c>
      <c r="K34" s="17">
        <f t="shared" si="1"/>
        <v>0.14505331357192597</v>
      </c>
      <c r="L34" s="17">
        <f t="shared" si="2"/>
        <v>0.77976190476190488</v>
      </c>
    </row>
    <row r="35" spans="1:12" x14ac:dyDescent="0.25">
      <c r="A35">
        <v>24</v>
      </c>
      <c r="B35">
        <v>3</v>
      </c>
      <c r="E35">
        <v>6</v>
      </c>
      <c r="G35" s="13">
        <v>6</v>
      </c>
      <c r="H35" s="14">
        <v>21</v>
      </c>
      <c r="J35" s="17">
        <f t="shared" si="0"/>
        <v>0.125</v>
      </c>
      <c r="K35" s="17">
        <f t="shared" si="1"/>
        <v>9.0517954186047467E-2</v>
      </c>
      <c r="L35" s="17">
        <f t="shared" si="2"/>
        <v>0.90476190476190488</v>
      </c>
    </row>
    <row r="36" spans="1:12" x14ac:dyDescent="0.25">
      <c r="A36">
        <v>25</v>
      </c>
      <c r="B36">
        <v>4</v>
      </c>
      <c r="E36">
        <v>7</v>
      </c>
      <c r="G36" s="13">
        <v>7</v>
      </c>
      <c r="H36" s="14">
        <v>7</v>
      </c>
      <c r="J36" s="17">
        <f t="shared" si="0"/>
        <v>4.1666666666666664E-2</v>
      </c>
      <c r="K36" s="17">
        <f t="shared" si="1"/>
        <v>4.8416681100189762E-2</v>
      </c>
      <c r="L36" s="17">
        <f t="shared" si="2"/>
        <v>0.94642857142857151</v>
      </c>
    </row>
    <row r="37" spans="1:12" x14ac:dyDescent="0.25">
      <c r="A37">
        <v>26</v>
      </c>
      <c r="B37">
        <v>3</v>
      </c>
      <c r="E37">
        <v>8</v>
      </c>
      <c r="G37" s="13">
        <v>8</v>
      </c>
      <c r="H37" s="14">
        <v>2</v>
      </c>
      <c r="J37" s="17">
        <f t="shared" si="0"/>
        <v>1.1904761904761904E-2</v>
      </c>
      <c r="K37" s="17">
        <f t="shared" si="1"/>
        <v>2.266017997321192E-2</v>
      </c>
      <c r="L37" s="17">
        <f t="shared" si="2"/>
        <v>0.95833333333333337</v>
      </c>
    </row>
    <row r="38" spans="1:12" x14ac:dyDescent="0.25">
      <c r="A38">
        <v>27</v>
      </c>
      <c r="B38">
        <v>7</v>
      </c>
      <c r="E38">
        <v>9</v>
      </c>
      <c r="G38" s="13">
        <v>9</v>
      </c>
      <c r="H38" s="14">
        <v>5</v>
      </c>
      <c r="J38" s="17">
        <f t="shared" si="0"/>
        <v>2.976190476190476E-2</v>
      </c>
      <c r="K38" s="17">
        <f t="shared" si="1"/>
        <v>9.4271229529488687E-3</v>
      </c>
      <c r="L38" s="17">
        <f t="shared" si="2"/>
        <v>0.98809523809523814</v>
      </c>
    </row>
    <row r="39" spans="1:12" x14ac:dyDescent="0.25">
      <c r="A39">
        <v>28</v>
      </c>
      <c r="B39">
        <v>4</v>
      </c>
      <c r="E39">
        <v>10</v>
      </c>
      <c r="G39" s="13">
        <v>10</v>
      </c>
      <c r="H39" s="14">
        <v>2</v>
      </c>
      <c r="J39" s="17">
        <f t="shared" si="0"/>
        <v>1.1904761904761904E-2</v>
      </c>
      <c r="K39" s="17">
        <f t="shared" si="1"/>
        <v>3.5296975817300461E-3</v>
      </c>
      <c r="L39" s="17">
        <f>L38+J39</f>
        <v>1</v>
      </c>
    </row>
    <row r="40" spans="1:12" ht="15.75" thickBot="1" x14ac:dyDescent="0.3">
      <c r="A40">
        <v>29</v>
      </c>
      <c r="B40">
        <v>3</v>
      </c>
      <c r="G40" s="15" t="s">
        <v>11</v>
      </c>
      <c r="H40" s="15">
        <v>0</v>
      </c>
    </row>
    <row r="41" spans="1:12" x14ac:dyDescent="0.25">
      <c r="A41">
        <v>30</v>
      </c>
      <c r="B41">
        <v>6</v>
      </c>
      <c r="G41" t="s">
        <v>28</v>
      </c>
      <c r="H41">
        <f>SUM(H29:H39)</f>
        <v>168</v>
      </c>
      <c r="I41" t="s">
        <v>16</v>
      </c>
      <c r="J41" s="17">
        <f>SUM(J29:J39)</f>
        <v>1</v>
      </c>
      <c r="K41" s="17">
        <f>SUM(K29:K39)</f>
        <v>0.99827748247939385</v>
      </c>
    </row>
    <row r="42" spans="1:12" x14ac:dyDescent="0.25">
      <c r="A42">
        <v>31</v>
      </c>
      <c r="B42">
        <v>3</v>
      </c>
    </row>
    <row r="43" spans="1:12" x14ac:dyDescent="0.25">
      <c r="A43">
        <v>32</v>
      </c>
      <c r="B43">
        <v>5</v>
      </c>
    </row>
    <row r="44" spans="1:12" x14ac:dyDescent="0.25">
      <c r="A44">
        <v>33</v>
      </c>
      <c r="B44">
        <v>8</v>
      </c>
    </row>
    <row r="45" spans="1:12" x14ac:dyDescent="0.25">
      <c r="A45">
        <v>34</v>
      </c>
      <c r="B45">
        <v>6</v>
      </c>
    </row>
    <row r="46" spans="1:12" x14ac:dyDescent="0.25">
      <c r="A46">
        <v>35</v>
      </c>
      <c r="B46">
        <v>6</v>
      </c>
    </row>
    <row r="47" spans="1:12" x14ac:dyDescent="0.25">
      <c r="A47">
        <v>36</v>
      </c>
      <c r="B47">
        <v>4</v>
      </c>
    </row>
    <row r="48" spans="1:12" x14ac:dyDescent="0.25">
      <c r="A48">
        <v>37</v>
      </c>
      <c r="B48">
        <v>4</v>
      </c>
    </row>
    <row r="49" spans="1:10" x14ac:dyDescent="0.25">
      <c r="A49">
        <v>38</v>
      </c>
      <c r="B49">
        <v>1</v>
      </c>
    </row>
    <row r="50" spans="1:10" x14ac:dyDescent="0.25">
      <c r="A50">
        <v>39</v>
      </c>
      <c r="B50">
        <v>4</v>
      </c>
    </row>
    <row r="51" spans="1:10" x14ac:dyDescent="0.25">
      <c r="A51">
        <v>40</v>
      </c>
      <c r="B51">
        <v>5</v>
      </c>
      <c r="E51" s="3">
        <v>4</v>
      </c>
      <c r="F51" s="23" t="s">
        <v>17</v>
      </c>
      <c r="G51" s="23"/>
      <c r="H51" s="23"/>
      <c r="I51" s="23"/>
      <c r="J51" s="23"/>
    </row>
    <row r="52" spans="1:10" x14ac:dyDescent="0.25">
      <c r="A52">
        <v>41</v>
      </c>
      <c r="B52">
        <v>4</v>
      </c>
      <c r="E52" s="22" t="s">
        <v>18</v>
      </c>
      <c r="F52" s="22"/>
      <c r="G52" s="22"/>
      <c r="H52" s="22"/>
      <c r="I52">
        <f>AVERAGE(B12:B179)</f>
        <v>3.9464285714285716</v>
      </c>
    </row>
    <row r="53" spans="1:10" x14ac:dyDescent="0.25">
      <c r="A53">
        <v>42</v>
      </c>
      <c r="B53">
        <v>9</v>
      </c>
      <c r="E53" s="22" t="s">
        <v>19</v>
      </c>
      <c r="F53" s="22"/>
      <c r="G53" s="22"/>
      <c r="H53" s="22"/>
      <c r="I53">
        <f>_xlfn.STDEV.S(B12:B179)</f>
        <v>2.0742473667766785</v>
      </c>
    </row>
    <row r="54" spans="1:10" x14ac:dyDescent="0.25">
      <c r="A54">
        <v>43</v>
      </c>
      <c r="B54">
        <v>2</v>
      </c>
      <c r="E54" s="22" t="s">
        <v>20</v>
      </c>
      <c r="F54" s="22"/>
      <c r="G54" s="22"/>
      <c r="H54" s="22"/>
      <c r="I54">
        <f>_xlfn.VAR.S(B12:B179)</f>
        <v>4.3025021385799844</v>
      </c>
    </row>
    <row r="55" spans="1:10" x14ac:dyDescent="0.25">
      <c r="A55">
        <v>44</v>
      </c>
      <c r="B55">
        <v>3</v>
      </c>
      <c r="E55" s="22" t="s">
        <v>21</v>
      </c>
      <c r="F55" s="22"/>
      <c r="G55" s="22"/>
      <c r="H55" s="22"/>
      <c r="I55">
        <f>SKEW(B12:B179)</f>
        <v>0.57753508845788692</v>
      </c>
    </row>
    <row r="56" spans="1:10" x14ac:dyDescent="0.25">
      <c r="A56">
        <v>45</v>
      </c>
      <c r="B56">
        <v>4</v>
      </c>
      <c r="E56" s="22" t="s">
        <v>22</v>
      </c>
      <c r="F56" s="22"/>
      <c r="G56" s="22"/>
      <c r="H56" s="22"/>
      <c r="I56">
        <f>KURT(B12:B179)</f>
        <v>0.18874821054824409</v>
      </c>
    </row>
    <row r="57" spans="1:10" x14ac:dyDescent="0.25">
      <c r="A57">
        <v>46</v>
      </c>
      <c r="B57">
        <v>1</v>
      </c>
    </row>
    <row r="58" spans="1:10" x14ac:dyDescent="0.25">
      <c r="A58">
        <v>47</v>
      </c>
      <c r="B58">
        <v>0</v>
      </c>
    </row>
    <row r="59" spans="1:10" x14ac:dyDescent="0.25">
      <c r="A59">
        <v>48</v>
      </c>
      <c r="B59">
        <v>4</v>
      </c>
    </row>
    <row r="60" spans="1:10" x14ac:dyDescent="0.25">
      <c r="A60">
        <v>49</v>
      </c>
      <c r="B60">
        <v>6</v>
      </c>
    </row>
    <row r="61" spans="1:10" x14ac:dyDescent="0.25">
      <c r="A61">
        <v>50</v>
      </c>
      <c r="B61">
        <v>4</v>
      </c>
    </row>
    <row r="62" spans="1:10" x14ac:dyDescent="0.25">
      <c r="A62">
        <v>51</v>
      </c>
      <c r="B62">
        <v>5</v>
      </c>
    </row>
    <row r="63" spans="1:10" x14ac:dyDescent="0.25">
      <c r="A63">
        <v>52</v>
      </c>
      <c r="B63">
        <v>3</v>
      </c>
    </row>
    <row r="64" spans="1:10" x14ac:dyDescent="0.25">
      <c r="A64">
        <v>53</v>
      </c>
      <c r="B64">
        <v>4</v>
      </c>
    </row>
    <row r="65" spans="1:2" x14ac:dyDescent="0.25">
      <c r="A65">
        <v>54</v>
      </c>
      <c r="B65">
        <v>5</v>
      </c>
    </row>
    <row r="66" spans="1:2" x14ac:dyDescent="0.25">
      <c r="A66">
        <v>55</v>
      </c>
      <c r="B66">
        <v>2</v>
      </c>
    </row>
    <row r="67" spans="1:2" x14ac:dyDescent="0.25">
      <c r="A67">
        <v>56</v>
      </c>
      <c r="B67">
        <v>5</v>
      </c>
    </row>
    <row r="68" spans="1:2" x14ac:dyDescent="0.25">
      <c r="A68">
        <v>57</v>
      </c>
      <c r="B68">
        <v>5</v>
      </c>
    </row>
    <row r="69" spans="1:2" x14ac:dyDescent="0.25">
      <c r="A69">
        <v>58</v>
      </c>
      <c r="B69">
        <v>2</v>
      </c>
    </row>
    <row r="70" spans="1:2" x14ac:dyDescent="0.25">
      <c r="A70">
        <v>59</v>
      </c>
      <c r="B70">
        <v>5</v>
      </c>
    </row>
    <row r="71" spans="1:2" x14ac:dyDescent="0.25">
      <c r="A71">
        <v>60</v>
      </c>
      <c r="B71">
        <v>3</v>
      </c>
    </row>
    <row r="72" spans="1:2" x14ac:dyDescent="0.25">
      <c r="A72">
        <v>61</v>
      </c>
      <c r="B72">
        <v>3</v>
      </c>
    </row>
    <row r="73" spans="1:2" x14ac:dyDescent="0.25">
      <c r="A73">
        <v>62</v>
      </c>
      <c r="B73">
        <v>5</v>
      </c>
    </row>
    <row r="74" spans="1:2" x14ac:dyDescent="0.25">
      <c r="A74">
        <v>63</v>
      </c>
      <c r="B74">
        <v>4</v>
      </c>
    </row>
    <row r="75" spans="1:2" x14ac:dyDescent="0.25">
      <c r="A75">
        <v>64</v>
      </c>
      <c r="B75">
        <v>2</v>
      </c>
    </row>
    <row r="76" spans="1:2" x14ac:dyDescent="0.25">
      <c r="A76">
        <v>65</v>
      </c>
      <c r="B76">
        <v>4</v>
      </c>
    </row>
    <row r="77" spans="1:2" x14ac:dyDescent="0.25">
      <c r="A77">
        <v>66</v>
      </c>
      <c r="B77">
        <v>3</v>
      </c>
    </row>
    <row r="78" spans="1:2" x14ac:dyDescent="0.25">
      <c r="A78">
        <v>67</v>
      </c>
      <c r="B78">
        <v>4</v>
      </c>
    </row>
    <row r="79" spans="1:2" x14ac:dyDescent="0.25">
      <c r="A79">
        <v>68</v>
      </c>
      <c r="B79">
        <v>3</v>
      </c>
    </row>
    <row r="80" spans="1:2" x14ac:dyDescent="0.25">
      <c r="A80">
        <v>69</v>
      </c>
      <c r="B80">
        <v>5</v>
      </c>
    </row>
    <row r="81" spans="1:2" x14ac:dyDescent="0.25">
      <c r="A81">
        <v>70</v>
      </c>
      <c r="B81">
        <v>2</v>
      </c>
    </row>
    <row r="82" spans="1:2" x14ac:dyDescent="0.25">
      <c r="A82">
        <v>71</v>
      </c>
      <c r="B82">
        <v>3</v>
      </c>
    </row>
    <row r="83" spans="1:2" x14ac:dyDescent="0.25">
      <c r="A83">
        <v>72</v>
      </c>
      <c r="B83">
        <v>2</v>
      </c>
    </row>
    <row r="84" spans="1:2" x14ac:dyDescent="0.25">
      <c r="A84">
        <v>73</v>
      </c>
      <c r="B84">
        <v>2</v>
      </c>
    </row>
    <row r="85" spans="1:2" x14ac:dyDescent="0.25">
      <c r="A85">
        <v>74</v>
      </c>
      <c r="B85">
        <v>2</v>
      </c>
    </row>
    <row r="86" spans="1:2" x14ac:dyDescent="0.25">
      <c r="A86">
        <v>75</v>
      </c>
      <c r="B86">
        <v>2</v>
      </c>
    </row>
    <row r="87" spans="1:2" x14ac:dyDescent="0.25">
      <c r="A87">
        <v>76</v>
      </c>
      <c r="B87">
        <v>4</v>
      </c>
    </row>
    <row r="88" spans="1:2" x14ac:dyDescent="0.25">
      <c r="A88">
        <v>77</v>
      </c>
      <c r="B88">
        <v>3</v>
      </c>
    </row>
    <row r="89" spans="1:2" x14ac:dyDescent="0.25">
      <c r="A89">
        <v>78</v>
      </c>
      <c r="B89">
        <v>4</v>
      </c>
    </row>
    <row r="90" spans="1:2" x14ac:dyDescent="0.25">
      <c r="A90">
        <v>79</v>
      </c>
      <c r="B90">
        <v>1</v>
      </c>
    </row>
    <row r="91" spans="1:2" x14ac:dyDescent="0.25">
      <c r="A91">
        <v>80</v>
      </c>
      <c r="B91">
        <v>1</v>
      </c>
    </row>
    <row r="92" spans="1:2" x14ac:dyDescent="0.25">
      <c r="A92">
        <v>81</v>
      </c>
      <c r="B92">
        <v>4</v>
      </c>
    </row>
    <row r="93" spans="1:2" x14ac:dyDescent="0.25">
      <c r="A93">
        <v>82</v>
      </c>
      <c r="B93">
        <v>4</v>
      </c>
    </row>
    <row r="94" spans="1:2" x14ac:dyDescent="0.25">
      <c r="A94">
        <v>83</v>
      </c>
      <c r="B94">
        <v>1</v>
      </c>
    </row>
    <row r="95" spans="1:2" x14ac:dyDescent="0.25">
      <c r="A95">
        <v>84</v>
      </c>
      <c r="B95">
        <v>8</v>
      </c>
    </row>
    <row r="96" spans="1:2" x14ac:dyDescent="0.25">
      <c r="A96">
        <v>85</v>
      </c>
      <c r="B96">
        <v>5</v>
      </c>
    </row>
    <row r="97" spans="1:2" x14ac:dyDescent="0.25">
      <c r="A97">
        <v>86</v>
      </c>
      <c r="B97">
        <v>6</v>
      </c>
    </row>
    <row r="98" spans="1:2" x14ac:dyDescent="0.25">
      <c r="A98">
        <v>87</v>
      </c>
      <c r="B98">
        <v>5</v>
      </c>
    </row>
    <row r="99" spans="1:2" x14ac:dyDescent="0.25">
      <c r="A99">
        <v>88</v>
      </c>
      <c r="B99">
        <v>4</v>
      </c>
    </row>
    <row r="100" spans="1:2" x14ac:dyDescent="0.25">
      <c r="A100">
        <v>89</v>
      </c>
      <c r="B100">
        <v>3</v>
      </c>
    </row>
    <row r="101" spans="1:2" x14ac:dyDescent="0.25">
      <c r="A101">
        <v>90</v>
      </c>
      <c r="B101">
        <v>6</v>
      </c>
    </row>
    <row r="102" spans="1:2" x14ac:dyDescent="0.25">
      <c r="A102">
        <v>91</v>
      </c>
      <c r="B102">
        <v>3</v>
      </c>
    </row>
    <row r="103" spans="1:2" x14ac:dyDescent="0.25">
      <c r="A103">
        <v>92</v>
      </c>
      <c r="B103">
        <v>3</v>
      </c>
    </row>
    <row r="104" spans="1:2" x14ac:dyDescent="0.25">
      <c r="A104">
        <v>93</v>
      </c>
      <c r="B104">
        <v>2</v>
      </c>
    </row>
    <row r="105" spans="1:2" x14ac:dyDescent="0.25">
      <c r="A105">
        <v>94</v>
      </c>
      <c r="B105">
        <v>2</v>
      </c>
    </row>
    <row r="106" spans="1:2" x14ac:dyDescent="0.25">
      <c r="A106">
        <v>95</v>
      </c>
      <c r="B106">
        <v>3</v>
      </c>
    </row>
    <row r="107" spans="1:2" x14ac:dyDescent="0.25">
      <c r="A107">
        <v>96</v>
      </c>
      <c r="B107">
        <v>9</v>
      </c>
    </row>
    <row r="108" spans="1:2" x14ac:dyDescent="0.25">
      <c r="A108">
        <v>97</v>
      </c>
      <c r="B108">
        <v>3</v>
      </c>
    </row>
    <row r="109" spans="1:2" x14ac:dyDescent="0.25">
      <c r="A109">
        <v>98</v>
      </c>
      <c r="B109">
        <v>1</v>
      </c>
    </row>
    <row r="110" spans="1:2" x14ac:dyDescent="0.25">
      <c r="A110">
        <v>99</v>
      </c>
      <c r="B110">
        <v>2</v>
      </c>
    </row>
    <row r="111" spans="1:2" x14ac:dyDescent="0.25">
      <c r="A111">
        <v>100</v>
      </c>
      <c r="B111">
        <v>2</v>
      </c>
    </row>
    <row r="112" spans="1:2" x14ac:dyDescent="0.25">
      <c r="A112">
        <v>101</v>
      </c>
      <c r="B112">
        <v>5</v>
      </c>
    </row>
    <row r="113" spans="1:2" x14ac:dyDescent="0.25">
      <c r="A113">
        <v>102</v>
      </c>
      <c r="B113">
        <v>3</v>
      </c>
    </row>
    <row r="114" spans="1:2" x14ac:dyDescent="0.25">
      <c r="A114">
        <v>103</v>
      </c>
      <c r="B114">
        <v>3</v>
      </c>
    </row>
    <row r="115" spans="1:2" x14ac:dyDescent="0.25">
      <c r="A115">
        <v>104</v>
      </c>
      <c r="B115">
        <v>1</v>
      </c>
    </row>
    <row r="116" spans="1:2" x14ac:dyDescent="0.25">
      <c r="A116">
        <v>105</v>
      </c>
      <c r="B116">
        <v>5</v>
      </c>
    </row>
    <row r="117" spans="1:2" x14ac:dyDescent="0.25">
      <c r="A117">
        <v>106</v>
      </c>
      <c r="B117">
        <v>2</v>
      </c>
    </row>
    <row r="118" spans="1:2" x14ac:dyDescent="0.25">
      <c r="A118">
        <v>107</v>
      </c>
      <c r="B118">
        <v>4</v>
      </c>
    </row>
    <row r="119" spans="1:2" x14ac:dyDescent="0.25">
      <c r="A119">
        <v>108</v>
      </c>
      <c r="B119">
        <v>9</v>
      </c>
    </row>
    <row r="120" spans="1:2" x14ac:dyDescent="0.25">
      <c r="A120">
        <v>109</v>
      </c>
      <c r="B120">
        <v>2</v>
      </c>
    </row>
    <row r="121" spans="1:2" x14ac:dyDescent="0.25">
      <c r="A121">
        <v>110</v>
      </c>
      <c r="B121">
        <v>1</v>
      </c>
    </row>
    <row r="122" spans="1:2" x14ac:dyDescent="0.25">
      <c r="A122">
        <v>111</v>
      </c>
      <c r="B122">
        <v>1</v>
      </c>
    </row>
    <row r="123" spans="1:2" x14ac:dyDescent="0.25">
      <c r="A123">
        <v>112</v>
      </c>
      <c r="B123">
        <v>1</v>
      </c>
    </row>
    <row r="124" spans="1:2" x14ac:dyDescent="0.25">
      <c r="A124">
        <v>113</v>
      </c>
      <c r="B124">
        <v>4</v>
      </c>
    </row>
    <row r="125" spans="1:2" x14ac:dyDescent="0.25">
      <c r="A125">
        <v>114</v>
      </c>
      <c r="B125">
        <v>6</v>
      </c>
    </row>
    <row r="126" spans="1:2" x14ac:dyDescent="0.25">
      <c r="A126">
        <v>115</v>
      </c>
      <c r="B126">
        <v>5</v>
      </c>
    </row>
    <row r="127" spans="1:2" x14ac:dyDescent="0.25">
      <c r="A127">
        <v>116</v>
      </c>
      <c r="B127">
        <v>6</v>
      </c>
    </row>
    <row r="128" spans="1:2" x14ac:dyDescent="0.25">
      <c r="A128">
        <v>117</v>
      </c>
      <c r="B128">
        <v>6</v>
      </c>
    </row>
    <row r="129" spans="1:2" x14ac:dyDescent="0.25">
      <c r="A129">
        <v>118</v>
      </c>
      <c r="B129">
        <v>3</v>
      </c>
    </row>
    <row r="130" spans="1:2" x14ac:dyDescent="0.25">
      <c r="A130">
        <v>119</v>
      </c>
      <c r="B130">
        <v>3</v>
      </c>
    </row>
    <row r="131" spans="1:2" x14ac:dyDescent="0.25">
      <c r="A131">
        <v>120</v>
      </c>
      <c r="B131">
        <v>1</v>
      </c>
    </row>
    <row r="132" spans="1:2" x14ac:dyDescent="0.25">
      <c r="A132">
        <v>121</v>
      </c>
      <c r="B132">
        <v>10</v>
      </c>
    </row>
    <row r="133" spans="1:2" x14ac:dyDescent="0.25">
      <c r="A133">
        <v>122</v>
      </c>
      <c r="B133">
        <v>0</v>
      </c>
    </row>
    <row r="134" spans="1:2" x14ac:dyDescent="0.25">
      <c r="A134">
        <v>123</v>
      </c>
      <c r="B134">
        <v>3</v>
      </c>
    </row>
    <row r="135" spans="1:2" x14ac:dyDescent="0.25">
      <c r="A135">
        <v>124</v>
      </c>
      <c r="B135">
        <v>4</v>
      </c>
    </row>
    <row r="136" spans="1:2" x14ac:dyDescent="0.25">
      <c r="A136">
        <v>125</v>
      </c>
      <c r="B136">
        <v>5</v>
      </c>
    </row>
    <row r="137" spans="1:2" x14ac:dyDescent="0.25">
      <c r="A137">
        <v>126</v>
      </c>
      <c r="B137">
        <v>4</v>
      </c>
    </row>
    <row r="138" spans="1:2" x14ac:dyDescent="0.25">
      <c r="A138">
        <v>127</v>
      </c>
      <c r="B138">
        <v>2</v>
      </c>
    </row>
    <row r="139" spans="1:2" x14ac:dyDescent="0.25">
      <c r="A139">
        <v>128</v>
      </c>
      <c r="B139">
        <v>5</v>
      </c>
    </row>
    <row r="140" spans="1:2" x14ac:dyDescent="0.25">
      <c r="A140">
        <v>129</v>
      </c>
      <c r="B140">
        <v>2</v>
      </c>
    </row>
    <row r="141" spans="1:2" x14ac:dyDescent="0.25">
      <c r="A141">
        <v>130</v>
      </c>
      <c r="B141">
        <v>2</v>
      </c>
    </row>
    <row r="142" spans="1:2" x14ac:dyDescent="0.25">
      <c r="A142">
        <v>131</v>
      </c>
      <c r="B142">
        <v>4</v>
      </c>
    </row>
    <row r="143" spans="1:2" x14ac:dyDescent="0.25">
      <c r="A143">
        <v>132</v>
      </c>
      <c r="B143">
        <v>2</v>
      </c>
    </row>
    <row r="144" spans="1:2" x14ac:dyDescent="0.25">
      <c r="A144">
        <v>133</v>
      </c>
      <c r="B144">
        <v>7</v>
      </c>
    </row>
    <row r="145" spans="1:2" x14ac:dyDescent="0.25">
      <c r="A145">
        <v>134</v>
      </c>
      <c r="B145">
        <v>4</v>
      </c>
    </row>
    <row r="146" spans="1:2" x14ac:dyDescent="0.25">
      <c r="A146">
        <v>135</v>
      </c>
      <c r="B146">
        <v>4</v>
      </c>
    </row>
    <row r="147" spans="1:2" x14ac:dyDescent="0.25">
      <c r="A147">
        <v>136</v>
      </c>
      <c r="B147">
        <v>9</v>
      </c>
    </row>
    <row r="148" spans="1:2" x14ac:dyDescent="0.25">
      <c r="A148">
        <v>137</v>
      </c>
      <c r="B148">
        <v>6</v>
      </c>
    </row>
    <row r="149" spans="1:2" x14ac:dyDescent="0.25">
      <c r="A149">
        <v>138</v>
      </c>
      <c r="B149">
        <v>2</v>
      </c>
    </row>
    <row r="150" spans="1:2" x14ac:dyDescent="0.25">
      <c r="A150">
        <v>139</v>
      </c>
      <c r="B150">
        <v>2</v>
      </c>
    </row>
    <row r="151" spans="1:2" x14ac:dyDescent="0.25">
      <c r="A151">
        <v>140</v>
      </c>
      <c r="B151">
        <v>1</v>
      </c>
    </row>
    <row r="152" spans="1:2" x14ac:dyDescent="0.25">
      <c r="A152">
        <v>141</v>
      </c>
      <c r="B152">
        <v>3</v>
      </c>
    </row>
    <row r="153" spans="1:2" x14ac:dyDescent="0.25">
      <c r="A153">
        <v>142</v>
      </c>
      <c r="B153">
        <v>4</v>
      </c>
    </row>
    <row r="154" spans="1:2" x14ac:dyDescent="0.25">
      <c r="A154">
        <v>143</v>
      </c>
      <c r="B154">
        <v>1</v>
      </c>
    </row>
    <row r="155" spans="1:2" x14ac:dyDescent="0.25">
      <c r="A155">
        <v>144</v>
      </c>
      <c r="B155">
        <v>7</v>
      </c>
    </row>
    <row r="156" spans="1:2" x14ac:dyDescent="0.25">
      <c r="A156">
        <v>145</v>
      </c>
      <c r="B156">
        <v>2</v>
      </c>
    </row>
    <row r="157" spans="1:2" x14ac:dyDescent="0.25">
      <c r="A157">
        <v>146</v>
      </c>
      <c r="B157">
        <v>2</v>
      </c>
    </row>
    <row r="158" spans="1:2" x14ac:dyDescent="0.25">
      <c r="A158">
        <v>147</v>
      </c>
      <c r="B158">
        <v>5</v>
      </c>
    </row>
    <row r="159" spans="1:2" x14ac:dyDescent="0.25">
      <c r="A159">
        <v>148</v>
      </c>
      <c r="B159">
        <v>4</v>
      </c>
    </row>
    <row r="160" spans="1:2" x14ac:dyDescent="0.25">
      <c r="A160">
        <v>149</v>
      </c>
      <c r="B160">
        <v>6</v>
      </c>
    </row>
    <row r="161" spans="1:2" x14ac:dyDescent="0.25">
      <c r="A161">
        <v>150</v>
      </c>
      <c r="B161">
        <v>4</v>
      </c>
    </row>
    <row r="162" spans="1:2" x14ac:dyDescent="0.25">
      <c r="A162">
        <v>151</v>
      </c>
      <c r="B162">
        <v>10</v>
      </c>
    </row>
    <row r="163" spans="1:2" x14ac:dyDescent="0.25">
      <c r="A163">
        <v>152</v>
      </c>
      <c r="B163">
        <v>6</v>
      </c>
    </row>
    <row r="164" spans="1:2" x14ac:dyDescent="0.25">
      <c r="A164">
        <v>153</v>
      </c>
      <c r="B164">
        <v>1</v>
      </c>
    </row>
    <row r="165" spans="1:2" x14ac:dyDescent="0.25">
      <c r="A165">
        <v>154</v>
      </c>
      <c r="B165">
        <v>6</v>
      </c>
    </row>
    <row r="166" spans="1:2" x14ac:dyDescent="0.25">
      <c r="A166">
        <v>155</v>
      </c>
      <c r="B166">
        <v>5</v>
      </c>
    </row>
    <row r="167" spans="1:2" x14ac:dyDescent="0.25">
      <c r="A167">
        <v>156</v>
      </c>
      <c r="B167">
        <v>7</v>
      </c>
    </row>
    <row r="168" spans="1:2" x14ac:dyDescent="0.25">
      <c r="A168">
        <v>157</v>
      </c>
      <c r="B168">
        <v>2</v>
      </c>
    </row>
    <row r="169" spans="1:2" x14ac:dyDescent="0.25">
      <c r="A169">
        <v>158</v>
      </c>
      <c r="B169">
        <v>7</v>
      </c>
    </row>
    <row r="170" spans="1:2" x14ac:dyDescent="0.25">
      <c r="A170">
        <v>159</v>
      </c>
      <c r="B170">
        <v>6</v>
      </c>
    </row>
    <row r="171" spans="1:2" x14ac:dyDescent="0.25">
      <c r="A171">
        <v>160</v>
      </c>
      <c r="B171">
        <v>6</v>
      </c>
    </row>
    <row r="172" spans="1:2" x14ac:dyDescent="0.25">
      <c r="A172">
        <v>161</v>
      </c>
      <c r="B172">
        <v>6</v>
      </c>
    </row>
    <row r="173" spans="1:2" x14ac:dyDescent="0.25">
      <c r="A173">
        <v>162</v>
      </c>
      <c r="B173">
        <v>6</v>
      </c>
    </row>
    <row r="174" spans="1:2" x14ac:dyDescent="0.25">
      <c r="A174">
        <v>163</v>
      </c>
      <c r="B174">
        <v>2</v>
      </c>
    </row>
    <row r="175" spans="1:2" x14ac:dyDescent="0.25">
      <c r="A175">
        <v>164</v>
      </c>
      <c r="B175">
        <v>6</v>
      </c>
    </row>
    <row r="176" spans="1:2" x14ac:dyDescent="0.25">
      <c r="A176">
        <v>165</v>
      </c>
      <c r="B176">
        <v>6</v>
      </c>
    </row>
    <row r="177" spans="1:2" x14ac:dyDescent="0.25">
      <c r="A177">
        <v>166</v>
      </c>
      <c r="B177">
        <v>6</v>
      </c>
    </row>
    <row r="178" spans="1:2" x14ac:dyDescent="0.25">
      <c r="A178">
        <v>167</v>
      </c>
      <c r="B178">
        <v>5</v>
      </c>
    </row>
    <row r="179" spans="1:2" x14ac:dyDescent="0.25">
      <c r="A179">
        <v>168</v>
      </c>
      <c r="B179">
        <v>4</v>
      </c>
    </row>
  </sheetData>
  <sortState xmlns:xlrd2="http://schemas.microsoft.com/office/spreadsheetml/2017/richdata2" ref="G29:G39">
    <sortCondition ref="G29"/>
  </sortState>
  <mergeCells count="8">
    <mergeCell ref="E55:H55"/>
    <mergeCell ref="E56:H56"/>
    <mergeCell ref="B5:D5"/>
    <mergeCell ref="F27:L27"/>
    <mergeCell ref="F51:J51"/>
    <mergeCell ref="E52:H52"/>
    <mergeCell ref="E53:H53"/>
    <mergeCell ref="E54:H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B685-1F9B-4884-AD07-C3B7A1D344B1}">
  <dimension ref="A1:Q222"/>
  <sheetViews>
    <sheetView topLeftCell="A10" workbookViewId="0">
      <selection activeCell="L43" sqref="L43"/>
    </sheetView>
  </sheetViews>
  <sheetFormatPr defaultRowHeight="15" x14ac:dyDescent="0.25"/>
  <sheetData>
    <row r="1" spans="1:4" x14ac:dyDescent="0.25">
      <c r="A1" t="s">
        <v>31</v>
      </c>
    </row>
    <row r="5" spans="1:4" x14ac:dyDescent="0.25">
      <c r="A5" s="3">
        <v>1</v>
      </c>
      <c r="B5" s="24" t="s">
        <v>1</v>
      </c>
      <c r="C5" s="24"/>
      <c r="D5" s="24"/>
    </row>
    <row r="6" spans="1:4" x14ac:dyDescent="0.25">
      <c r="A6" s="2" t="s">
        <v>32</v>
      </c>
      <c r="B6" s="2" t="s">
        <v>33</v>
      </c>
      <c r="C6" s="21" t="s">
        <v>34</v>
      </c>
    </row>
    <row r="7" spans="1:4" x14ac:dyDescent="0.25">
      <c r="A7" s="2">
        <v>7</v>
      </c>
      <c r="B7" s="6">
        <v>0.05</v>
      </c>
      <c r="C7">
        <v>0.52922147282326726</v>
      </c>
    </row>
    <row r="8" spans="1:4" x14ac:dyDescent="0.25">
      <c r="A8" s="2">
        <v>9</v>
      </c>
      <c r="B8" s="6">
        <v>0.15</v>
      </c>
      <c r="C8">
        <v>0.33057649464400157</v>
      </c>
    </row>
    <row r="9" spans="1:4" x14ac:dyDescent="0.25">
      <c r="A9" s="2">
        <v>11</v>
      </c>
      <c r="B9" s="6">
        <v>0.1</v>
      </c>
      <c r="C9">
        <v>0.57921079134495068</v>
      </c>
    </row>
    <row r="10" spans="1:4" x14ac:dyDescent="0.25">
      <c r="A10" s="2">
        <v>13</v>
      </c>
      <c r="B10" s="6">
        <v>0.05</v>
      </c>
      <c r="C10">
        <v>0.37278359324930571</v>
      </c>
    </row>
    <row r="11" spans="1:4" x14ac:dyDescent="0.25">
      <c r="A11" s="2">
        <v>15</v>
      </c>
      <c r="B11" s="6">
        <v>0.1</v>
      </c>
      <c r="C11">
        <v>0.38111514633625293</v>
      </c>
    </row>
    <row r="12" spans="1:4" x14ac:dyDescent="0.25">
      <c r="A12" s="2">
        <v>19</v>
      </c>
      <c r="B12" s="6">
        <v>0.25</v>
      </c>
      <c r="C12">
        <v>0.66689046906949068</v>
      </c>
    </row>
    <row r="13" spans="1:4" x14ac:dyDescent="0.25">
      <c r="A13" s="2">
        <v>22</v>
      </c>
      <c r="B13" s="6">
        <v>0.15</v>
      </c>
      <c r="C13">
        <v>0.94320505386516917</v>
      </c>
    </row>
    <row r="14" spans="1:4" x14ac:dyDescent="0.25">
      <c r="A14" s="2">
        <v>27</v>
      </c>
      <c r="B14" s="6">
        <v>0.05</v>
      </c>
      <c r="C14">
        <v>1.5655995361186559E-2</v>
      </c>
    </row>
    <row r="15" spans="1:4" x14ac:dyDescent="0.25">
      <c r="A15" s="2">
        <v>30</v>
      </c>
      <c r="B15" s="6">
        <v>0.05</v>
      </c>
      <c r="C15">
        <v>0.68724631488998078</v>
      </c>
    </row>
    <row r="16" spans="1:4" x14ac:dyDescent="0.25">
      <c r="A16" s="2">
        <v>35</v>
      </c>
      <c r="B16" s="6">
        <v>0.05</v>
      </c>
      <c r="C16">
        <v>0.72588274788659324</v>
      </c>
    </row>
    <row r="17" spans="1:17" x14ac:dyDescent="0.25">
      <c r="A17" t="s">
        <v>35</v>
      </c>
      <c r="B17" s="2">
        <f>SUM(B7:B16)</f>
        <v>1.0000000000000002</v>
      </c>
      <c r="C17" s="7">
        <f>SUM(C7:C16)</f>
        <v>5.2317880794701983</v>
      </c>
    </row>
    <row r="18" spans="1:17" x14ac:dyDescent="0.25">
      <c r="A18" s="20" t="s">
        <v>3</v>
      </c>
      <c r="B18" s="20"/>
      <c r="C18" s="8">
        <v>193.80169072542498</v>
      </c>
    </row>
    <row r="24" spans="1:17" x14ac:dyDescent="0.25">
      <c r="Q24" s="12"/>
    </row>
    <row r="25" spans="1:17" x14ac:dyDescent="0.25">
      <c r="Q25" s="12"/>
    </row>
    <row r="27" spans="1:17" ht="15.75" thickBot="1" x14ac:dyDescent="0.3">
      <c r="A27" s="1">
        <v>2</v>
      </c>
      <c r="B27" s="4" t="s">
        <v>4</v>
      </c>
      <c r="E27" s="3">
        <v>3</v>
      </c>
      <c r="F27" s="23" t="s">
        <v>7</v>
      </c>
      <c r="G27" s="23"/>
      <c r="H27" s="23"/>
      <c r="I27" s="23"/>
      <c r="J27" s="23"/>
      <c r="K27" s="23"/>
      <c r="L27" s="23"/>
    </row>
    <row r="28" spans="1:17" x14ac:dyDescent="0.25">
      <c r="A28" s="2" t="s">
        <v>5</v>
      </c>
      <c r="B28" s="2" t="s">
        <v>6</v>
      </c>
      <c r="G28" s="16" t="s">
        <v>9</v>
      </c>
      <c r="H28" s="16" t="s">
        <v>10</v>
      </c>
      <c r="J28" t="s">
        <v>13</v>
      </c>
      <c r="K28" t="s">
        <v>14</v>
      </c>
      <c r="L28" t="s">
        <v>15</v>
      </c>
    </row>
    <row r="29" spans="1:17" x14ac:dyDescent="0.25">
      <c r="A29">
        <v>1</v>
      </c>
      <c r="B29">
        <v>9</v>
      </c>
      <c r="E29" s="2"/>
      <c r="G29" s="13">
        <v>7</v>
      </c>
      <c r="H29" s="14">
        <v>12</v>
      </c>
      <c r="J29" s="17">
        <f>H29/$H$40</f>
        <v>6.1855670103092786E-2</v>
      </c>
      <c r="K29" s="6">
        <v>0.05</v>
      </c>
      <c r="L29" s="17">
        <f>J29</f>
        <v>6.1855670103092786E-2</v>
      </c>
    </row>
    <row r="30" spans="1:17" x14ac:dyDescent="0.25">
      <c r="A30">
        <v>2</v>
      </c>
      <c r="B30">
        <v>15</v>
      </c>
      <c r="E30" s="2"/>
      <c r="G30" s="13">
        <v>9</v>
      </c>
      <c r="H30" s="14">
        <v>36</v>
      </c>
      <c r="J30" s="17">
        <f t="shared" ref="J30:J38" si="0">H30/$H$40</f>
        <v>0.18556701030927836</v>
      </c>
      <c r="K30" s="6">
        <v>0.15</v>
      </c>
      <c r="L30" s="17">
        <f>J30+L29</f>
        <v>0.24742268041237114</v>
      </c>
    </row>
    <row r="31" spans="1:17" x14ac:dyDescent="0.25">
      <c r="A31">
        <v>3</v>
      </c>
      <c r="B31">
        <v>19</v>
      </c>
      <c r="E31" s="2"/>
      <c r="G31" s="13">
        <v>11</v>
      </c>
      <c r="H31" s="14">
        <v>10</v>
      </c>
      <c r="J31" s="17">
        <f t="shared" si="0"/>
        <v>5.1546391752577317E-2</v>
      </c>
      <c r="K31" s="6">
        <v>0.1</v>
      </c>
      <c r="L31" s="17">
        <f>J31+L30</f>
        <v>0.29896907216494845</v>
      </c>
    </row>
    <row r="32" spans="1:17" x14ac:dyDescent="0.25">
      <c r="A32">
        <v>4</v>
      </c>
      <c r="B32">
        <v>9</v>
      </c>
      <c r="E32" s="2"/>
      <c r="G32" s="13">
        <v>13</v>
      </c>
      <c r="H32" s="14">
        <v>8</v>
      </c>
      <c r="J32" s="17">
        <f t="shared" si="0"/>
        <v>4.1237113402061855E-2</v>
      </c>
      <c r="K32" s="6">
        <v>0.05</v>
      </c>
      <c r="L32" s="17">
        <f t="shared" ref="L32:L37" si="1">J32+L31</f>
        <v>0.34020618556701032</v>
      </c>
    </row>
    <row r="33" spans="1:12" x14ac:dyDescent="0.25">
      <c r="A33">
        <v>5</v>
      </c>
      <c r="B33">
        <v>15</v>
      </c>
      <c r="E33" s="2"/>
      <c r="G33" s="13">
        <v>15</v>
      </c>
      <c r="H33" s="14">
        <v>23</v>
      </c>
      <c r="J33" s="17">
        <f t="shared" si="0"/>
        <v>0.11855670103092783</v>
      </c>
      <c r="K33" s="6">
        <v>0.1</v>
      </c>
      <c r="L33" s="17">
        <f t="shared" si="1"/>
        <v>0.45876288659793818</v>
      </c>
    </row>
    <row r="34" spans="1:12" x14ac:dyDescent="0.25">
      <c r="A34">
        <v>6</v>
      </c>
      <c r="B34">
        <v>19</v>
      </c>
      <c r="E34" s="2"/>
      <c r="G34" s="13">
        <v>19</v>
      </c>
      <c r="H34" s="14">
        <v>53</v>
      </c>
      <c r="J34" s="17">
        <f t="shared" si="0"/>
        <v>0.27319587628865977</v>
      </c>
      <c r="K34" s="6">
        <v>0.25</v>
      </c>
      <c r="L34" s="17">
        <f t="shared" si="1"/>
        <v>0.731958762886598</v>
      </c>
    </row>
    <row r="35" spans="1:12" x14ac:dyDescent="0.25">
      <c r="A35">
        <v>7</v>
      </c>
      <c r="B35">
        <v>27</v>
      </c>
      <c r="E35" s="2"/>
      <c r="G35" s="13">
        <v>22</v>
      </c>
      <c r="H35" s="14">
        <v>22</v>
      </c>
      <c r="J35" s="17">
        <f t="shared" si="0"/>
        <v>0.1134020618556701</v>
      </c>
      <c r="K35" s="6">
        <v>0.15</v>
      </c>
      <c r="L35" s="17">
        <f t="shared" si="1"/>
        <v>0.84536082474226815</v>
      </c>
    </row>
    <row r="36" spans="1:12" x14ac:dyDescent="0.25">
      <c r="A36">
        <v>8</v>
      </c>
      <c r="B36">
        <v>22</v>
      </c>
      <c r="E36" s="2"/>
      <c r="G36" s="13">
        <v>27</v>
      </c>
      <c r="H36" s="14">
        <v>9</v>
      </c>
      <c r="J36" s="17">
        <f t="shared" si="0"/>
        <v>4.6391752577319589E-2</v>
      </c>
      <c r="K36" s="6">
        <v>0.05</v>
      </c>
      <c r="L36" s="17">
        <f t="shared" si="1"/>
        <v>0.89175257731958779</v>
      </c>
    </row>
    <row r="37" spans="1:12" x14ac:dyDescent="0.25">
      <c r="A37">
        <v>9</v>
      </c>
      <c r="B37">
        <v>7</v>
      </c>
      <c r="E37" s="2"/>
      <c r="G37" s="13">
        <v>30</v>
      </c>
      <c r="H37" s="14">
        <v>9</v>
      </c>
      <c r="J37" s="17">
        <f t="shared" si="0"/>
        <v>4.6391752577319589E-2</v>
      </c>
      <c r="K37" s="6">
        <v>0.05</v>
      </c>
      <c r="L37" s="17">
        <f t="shared" si="1"/>
        <v>0.93814432989690744</v>
      </c>
    </row>
    <row r="38" spans="1:12" x14ac:dyDescent="0.25">
      <c r="A38">
        <v>10</v>
      </c>
      <c r="B38">
        <v>13</v>
      </c>
      <c r="E38" s="2"/>
      <c r="G38" s="13">
        <v>35</v>
      </c>
      <c r="H38" s="14">
        <v>12</v>
      </c>
      <c r="J38" s="17">
        <f t="shared" si="0"/>
        <v>6.1855670103092786E-2</v>
      </c>
      <c r="K38" s="6">
        <v>0.05</v>
      </c>
      <c r="L38" s="17">
        <f>J38+L37</f>
        <v>1.0000000000000002</v>
      </c>
    </row>
    <row r="39" spans="1:12" ht="15.75" thickBot="1" x14ac:dyDescent="0.3">
      <c r="A39">
        <v>11</v>
      </c>
      <c r="B39">
        <v>30</v>
      </c>
      <c r="G39" s="15" t="s">
        <v>11</v>
      </c>
      <c r="H39" s="15">
        <v>0</v>
      </c>
    </row>
    <row r="40" spans="1:12" x14ac:dyDescent="0.25">
      <c r="A40">
        <v>12</v>
      </c>
      <c r="B40">
        <v>11</v>
      </c>
      <c r="G40" t="s">
        <v>28</v>
      </c>
      <c r="H40">
        <f>SUM(H29:H38)</f>
        <v>194</v>
      </c>
      <c r="I40" t="s">
        <v>16</v>
      </c>
      <c r="J40" s="17">
        <f>SUM(J29:J38)</f>
        <v>1.0000000000000002</v>
      </c>
      <c r="K40" s="18">
        <f>SUM(K29:K38)</f>
        <v>1.0000000000000002</v>
      </c>
    </row>
    <row r="41" spans="1:12" x14ac:dyDescent="0.25">
      <c r="A41">
        <v>13</v>
      </c>
      <c r="B41">
        <v>7</v>
      </c>
    </row>
    <row r="42" spans="1:12" x14ac:dyDescent="0.25">
      <c r="A42">
        <v>14</v>
      </c>
      <c r="B42">
        <v>15</v>
      </c>
    </row>
    <row r="43" spans="1:12" x14ac:dyDescent="0.25">
      <c r="A43">
        <v>15</v>
      </c>
      <c r="B43">
        <v>30</v>
      </c>
    </row>
    <row r="44" spans="1:12" x14ac:dyDescent="0.25">
      <c r="A44">
        <v>16</v>
      </c>
      <c r="B44">
        <v>13</v>
      </c>
    </row>
    <row r="45" spans="1:12" x14ac:dyDescent="0.25">
      <c r="A45">
        <v>17</v>
      </c>
      <c r="B45">
        <v>11</v>
      </c>
    </row>
    <row r="46" spans="1:12" x14ac:dyDescent="0.25">
      <c r="A46">
        <v>18</v>
      </c>
      <c r="B46">
        <v>19</v>
      </c>
    </row>
    <row r="47" spans="1:12" x14ac:dyDescent="0.25">
      <c r="A47">
        <v>19</v>
      </c>
      <c r="B47">
        <v>9</v>
      </c>
    </row>
    <row r="48" spans="1:12" x14ac:dyDescent="0.25">
      <c r="A48">
        <v>20</v>
      </c>
      <c r="B48">
        <v>35</v>
      </c>
      <c r="E48" s="3">
        <v>4</v>
      </c>
      <c r="F48" s="23" t="s">
        <v>17</v>
      </c>
      <c r="G48" s="23"/>
      <c r="H48" s="23"/>
      <c r="I48" s="23"/>
      <c r="J48" s="23"/>
    </row>
    <row r="49" spans="1:9" x14ac:dyDescent="0.25">
      <c r="A49">
        <v>21</v>
      </c>
      <c r="B49">
        <v>27</v>
      </c>
      <c r="E49" s="22" t="s">
        <v>18</v>
      </c>
      <c r="F49" s="22"/>
      <c r="G49" s="22"/>
      <c r="H49" s="22"/>
      <c r="I49">
        <f>AVERAGE(B29:B222)</f>
        <v>17.479381443298969</v>
      </c>
    </row>
    <row r="50" spans="1:9" x14ac:dyDescent="0.25">
      <c r="A50">
        <v>22</v>
      </c>
      <c r="B50">
        <v>22</v>
      </c>
      <c r="E50" s="22" t="s">
        <v>19</v>
      </c>
      <c r="F50" s="22"/>
      <c r="G50" s="22"/>
      <c r="H50" s="22"/>
      <c r="I50">
        <f>_xlfn.STDEV.S(B29:B222)</f>
        <v>7.5872874062706606</v>
      </c>
    </row>
    <row r="51" spans="1:9" x14ac:dyDescent="0.25">
      <c r="A51">
        <v>23</v>
      </c>
      <c r="B51">
        <v>19</v>
      </c>
      <c r="E51" s="22" t="s">
        <v>20</v>
      </c>
      <c r="F51" s="22"/>
      <c r="G51" s="22"/>
      <c r="H51" s="22"/>
      <c r="I51">
        <f>_xlfn.VAR.S(B29:B222)</f>
        <v>57.566930185353364</v>
      </c>
    </row>
    <row r="52" spans="1:9" x14ac:dyDescent="0.25">
      <c r="A52">
        <v>24</v>
      </c>
      <c r="B52">
        <v>19</v>
      </c>
      <c r="E52" s="22" t="s">
        <v>21</v>
      </c>
      <c r="F52" s="22"/>
      <c r="G52" s="22"/>
      <c r="H52" s="22"/>
      <c r="I52">
        <f>SKEW(B29:B222)</f>
        <v>0.63099545307653127</v>
      </c>
    </row>
    <row r="53" spans="1:9" x14ac:dyDescent="0.25">
      <c r="A53">
        <v>25</v>
      </c>
      <c r="B53">
        <v>15</v>
      </c>
      <c r="E53" s="22" t="s">
        <v>22</v>
      </c>
      <c r="F53" s="22"/>
      <c r="G53" s="22"/>
      <c r="H53" s="22"/>
      <c r="I53">
        <f>KURT(B29:B222)</f>
        <v>-0.1635324468771695</v>
      </c>
    </row>
    <row r="54" spans="1:9" x14ac:dyDescent="0.25">
      <c r="A54">
        <v>26</v>
      </c>
      <c r="B54">
        <v>19</v>
      </c>
    </row>
    <row r="55" spans="1:9" x14ac:dyDescent="0.25">
      <c r="A55">
        <v>27</v>
      </c>
      <c r="B55">
        <v>7</v>
      </c>
    </row>
    <row r="56" spans="1:9" x14ac:dyDescent="0.25">
      <c r="A56">
        <v>28</v>
      </c>
      <c r="B56">
        <v>35</v>
      </c>
    </row>
    <row r="57" spans="1:9" x14ac:dyDescent="0.25">
      <c r="A57">
        <v>29</v>
      </c>
      <c r="B57">
        <v>15</v>
      </c>
    </row>
    <row r="58" spans="1:9" x14ac:dyDescent="0.25">
      <c r="A58">
        <v>30</v>
      </c>
      <c r="B58">
        <v>15</v>
      </c>
    </row>
    <row r="59" spans="1:9" x14ac:dyDescent="0.25">
      <c r="A59">
        <v>31</v>
      </c>
      <c r="B59">
        <v>27</v>
      </c>
    </row>
    <row r="60" spans="1:9" x14ac:dyDescent="0.25">
      <c r="A60">
        <v>32</v>
      </c>
      <c r="B60">
        <v>22</v>
      </c>
    </row>
    <row r="61" spans="1:9" x14ac:dyDescent="0.25">
      <c r="A61">
        <v>33</v>
      </c>
      <c r="B61">
        <v>19</v>
      </c>
    </row>
    <row r="62" spans="1:9" x14ac:dyDescent="0.25">
      <c r="A62">
        <v>34</v>
      </c>
      <c r="B62">
        <v>19</v>
      </c>
    </row>
    <row r="63" spans="1:9" x14ac:dyDescent="0.25">
      <c r="A63">
        <v>35</v>
      </c>
      <c r="B63">
        <v>19</v>
      </c>
    </row>
    <row r="64" spans="1:9" x14ac:dyDescent="0.25">
      <c r="A64">
        <v>36</v>
      </c>
      <c r="B64">
        <v>15</v>
      </c>
    </row>
    <row r="65" spans="1:2" x14ac:dyDescent="0.25">
      <c r="A65">
        <v>37</v>
      </c>
      <c r="B65">
        <v>9</v>
      </c>
    </row>
    <row r="66" spans="1:2" x14ac:dyDescent="0.25">
      <c r="A66">
        <v>38</v>
      </c>
      <c r="B66">
        <v>27</v>
      </c>
    </row>
    <row r="67" spans="1:2" x14ac:dyDescent="0.25">
      <c r="A67">
        <v>39</v>
      </c>
      <c r="B67">
        <v>19</v>
      </c>
    </row>
    <row r="68" spans="1:2" x14ac:dyDescent="0.25">
      <c r="A68">
        <v>40</v>
      </c>
      <c r="B68">
        <v>15</v>
      </c>
    </row>
    <row r="69" spans="1:2" x14ac:dyDescent="0.25">
      <c r="A69">
        <v>41</v>
      </c>
      <c r="B69">
        <v>15</v>
      </c>
    </row>
    <row r="70" spans="1:2" x14ac:dyDescent="0.25">
      <c r="A70">
        <v>42</v>
      </c>
      <c r="B70">
        <v>30</v>
      </c>
    </row>
    <row r="71" spans="1:2" x14ac:dyDescent="0.25">
      <c r="A71">
        <v>43</v>
      </c>
      <c r="B71">
        <v>7</v>
      </c>
    </row>
    <row r="72" spans="1:2" x14ac:dyDescent="0.25">
      <c r="A72">
        <v>44</v>
      </c>
      <c r="B72">
        <v>13</v>
      </c>
    </row>
    <row r="73" spans="1:2" x14ac:dyDescent="0.25">
      <c r="A73">
        <v>45</v>
      </c>
      <c r="B73">
        <v>15</v>
      </c>
    </row>
    <row r="74" spans="1:2" x14ac:dyDescent="0.25">
      <c r="A74">
        <v>46</v>
      </c>
      <c r="B74">
        <v>11</v>
      </c>
    </row>
    <row r="75" spans="1:2" x14ac:dyDescent="0.25">
      <c r="A75">
        <v>47</v>
      </c>
      <c r="B75">
        <v>35</v>
      </c>
    </row>
    <row r="76" spans="1:2" x14ac:dyDescent="0.25">
      <c r="A76">
        <v>48</v>
      </c>
      <c r="B76">
        <v>19</v>
      </c>
    </row>
    <row r="77" spans="1:2" x14ac:dyDescent="0.25">
      <c r="A77">
        <v>49</v>
      </c>
      <c r="B77">
        <v>19</v>
      </c>
    </row>
    <row r="78" spans="1:2" x14ac:dyDescent="0.25">
      <c r="A78">
        <v>50</v>
      </c>
      <c r="B78">
        <v>11</v>
      </c>
    </row>
    <row r="79" spans="1:2" x14ac:dyDescent="0.25">
      <c r="A79">
        <v>51</v>
      </c>
      <c r="B79">
        <v>19</v>
      </c>
    </row>
    <row r="80" spans="1:2" x14ac:dyDescent="0.25">
      <c r="A80">
        <v>52</v>
      </c>
      <c r="B80">
        <v>22</v>
      </c>
    </row>
    <row r="81" spans="1:2" x14ac:dyDescent="0.25">
      <c r="A81">
        <v>53</v>
      </c>
      <c r="B81">
        <v>9</v>
      </c>
    </row>
    <row r="82" spans="1:2" x14ac:dyDescent="0.25">
      <c r="A82">
        <v>54</v>
      </c>
      <c r="B82">
        <v>35</v>
      </c>
    </row>
    <row r="83" spans="1:2" x14ac:dyDescent="0.25">
      <c r="A83">
        <v>55</v>
      </c>
      <c r="B83">
        <v>22</v>
      </c>
    </row>
    <row r="84" spans="1:2" x14ac:dyDescent="0.25">
      <c r="A84">
        <v>56</v>
      </c>
      <c r="B84">
        <v>30</v>
      </c>
    </row>
    <row r="85" spans="1:2" x14ac:dyDescent="0.25">
      <c r="A85">
        <v>57</v>
      </c>
      <c r="B85">
        <v>19</v>
      </c>
    </row>
    <row r="86" spans="1:2" x14ac:dyDescent="0.25">
      <c r="A86">
        <v>58</v>
      </c>
      <c r="B86">
        <v>22</v>
      </c>
    </row>
    <row r="87" spans="1:2" x14ac:dyDescent="0.25">
      <c r="A87">
        <v>59</v>
      </c>
      <c r="B87">
        <v>13</v>
      </c>
    </row>
    <row r="88" spans="1:2" x14ac:dyDescent="0.25">
      <c r="A88">
        <v>60</v>
      </c>
      <c r="B88">
        <v>19</v>
      </c>
    </row>
    <row r="89" spans="1:2" x14ac:dyDescent="0.25">
      <c r="A89">
        <v>61</v>
      </c>
      <c r="B89">
        <v>35</v>
      </c>
    </row>
    <row r="90" spans="1:2" x14ac:dyDescent="0.25">
      <c r="A90">
        <v>62</v>
      </c>
      <c r="B90">
        <v>30</v>
      </c>
    </row>
    <row r="91" spans="1:2" x14ac:dyDescent="0.25">
      <c r="A91">
        <v>63</v>
      </c>
      <c r="B91">
        <v>9</v>
      </c>
    </row>
    <row r="92" spans="1:2" x14ac:dyDescent="0.25">
      <c r="A92">
        <v>64</v>
      </c>
      <c r="B92">
        <v>7</v>
      </c>
    </row>
    <row r="93" spans="1:2" x14ac:dyDescent="0.25">
      <c r="A93">
        <v>65</v>
      </c>
      <c r="B93">
        <v>9</v>
      </c>
    </row>
    <row r="94" spans="1:2" x14ac:dyDescent="0.25">
      <c r="A94">
        <v>66</v>
      </c>
      <c r="B94">
        <v>19</v>
      </c>
    </row>
    <row r="95" spans="1:2" x14ac:dyDescent="0.25">
      <c r="A95">
        <v>67</v>
      </c>
      <c r="B95">
        <v>9</v>
      </c>
    </row>
    <row r="96" spans="1:2" x14ac:dyDescent="0.25">
      <c r="A96">
        <v>68</v>
      </c>
      <c r="B96">
        <v>19</v>
      </c>
    </row>
    <row r="97" spans="1:2" x14ac:dyDescent="0.25">
      <c r="A97">
        <v>69</v>
      </c>
      <c r="B97">
        <v>35</v>
      </c>
    </row>
    <row r="98" spans="1:2" x14ac:dyDescent="0.25">
      <c r="A98">
        <v>70</v>
      </c>
      <c r="B98">
        <v>9</v>
      </c>
    </row>
    <row r="99" spans="1:2" x14ac:dyDescent="0.25">
      <c r="A99">
        <v>71</v>
      </c>
      <c r="B99">
        <v>22</v>
      </c>
    </row>
    <row r="100" spans="1:2" x14ac:dyDescent="0.25">
      <c r="A100">
        <v>72</v>
      </c>
      <c r="B100">
        <v>22</v>
      </c>
    </row>
    <row r="101" spans="1:2" x14ac:dyDescent="0.25">
      <c r="A101">
        <v>73</v>
      </c>
      <c r="B101">
        <v>22</v>
      </c>
    </row>
    <row r="102" spans="1:2" x14ac:dyDescent="0.25">
      <c r="A102">
        <v>74</v>
      </c>
      <c r="B102">
        <v>19</v>
      </c>
    </row>
    <row r="103" spans="1:2" x14ac:dyDescent="0.25">
      <c r="A103">
        <v>75</v>
      </c>
      <c r="B103">
        <v>15</v>
      </c>
    </row>
    <row r="104" spans="1:2" x14ac:dyDescent="0.25">
      <c r="A104">
        <v>76</v>
      </c>
      <c r="B104">
        <v>13</v>
      </c>
    </row>
    <row r="105" spans="1:2" x14ac:dyDescent="0.25">
      <c r="A105">
        <v>77</v>
      </c>
      <c r="B105">
        <v>9</v>
      </c>
    </row>
    <row r="106" spans="1:2" x14ac:dyDescent="0.25">
      <c r="A106">
        <v>78</v>
      </c>
      <c r="B106">
        <v>19</v>
      </c>
    </row>
    <row r="107" spans="1:2" x14ac:dyDescent="0.25">
      <c r="A107">
        <v>79</v>
      </c>
      <c r="B107">
        <v>35</v>
      </c>
    </row>
    <row r="108" spans="1:2" x14ac:dyDescent="0.25">
      <c r="A108">
        <v>80</v>
      </c>
      <c r="B108">
        <v>9</v>
      </c>
    </row>
    <row r="109" spans="1:2" x14ac:dyDescent="0.25">
      <c r="A109">
        <v>81</v>
      </c>
      <c r="B109">
        <v>13</v>
      </c>
    </row>
    <row r="110" spans="1:2" x14ac:dyDescent="0.25">
      <c r="A110">
        <v>82</v>
      </c>
      <c r="B110">
        <v>19</v>
      </c>
    </row>
    <row r="111" spans="1:2" x14ac:dyDescent="0.25">
      <c r="A111">
        <v>83</v>
      </c>
      <c r="B111">
        <v>19</v>
      </c>
    </row>
    <row r="112" spans="1:2" x14ac:dyDescent="0.25">
      <c r="A112">
        <v>84</v>
      </c>
      <c r="B112">
        <v>9</v>
      </c>
    </row>
    <row r="113" spans="1:2" x14ac:dyDescent="0.25">
      <c r="A113">
        <v>85</v>
      </c>
      <c r="B113">
        <v>19</v>
      </c>
    </row>
    <row r="114" spans="1:2" x14ac:dyDescent="0.25">
      <c r="A114">
        <v>86</v>
      </c>
      <c r="B114">
        <v>9</v>
      </c>
    </row>
    <row r="115" spans="1:2" x14ac:dyDescent="0.25">
      <c r="A115">
        <v>87</v>
      </c>
      <c r="B115">
        <v>19</v>
      </c>
    </row>
    <row r="116" spans="1:2" x14ac:dyDescent="0.25">
      <c r="A116">
        <v>88</v>
      </c>
      <c r="B116">
        <v>19</v>
      </c>
    </row>
    <row r="117" spans="1:2" x14ac:dyDescent="0.25">
      <c r="A117">
        <v>89</v>
      </c>
      <c r="B117">
        <v>15</v>
      </c>
    </row>
    <row r="118" spans="1:2" x14ac:dyDescent="0.25">
      <c r="A118">
        <v>90</v>
      </c>
      <c r="B118">
        <v>7</v>
      </c>
    </row>
    <row r="119" spans="1:2" x14ac:dyDescent="0.25">
      <c r="A119">
        <v>91</v>
      </c>
      <c r="B119">
        <v>19</v>
      </c>
    </row>
    <row r="120" spans="1:2" x14ac:dyDescent="0.25">
      <c r="A120">
        <v>92</v>
      </c>
      <c r="B120">
        <v>9</v>
      </c>
    </row>
    <row r="121" spans="1:2" x14ac:dyDescent="0.25">
      <c r="A121">
        <v>93</v>
      </c>
      <c r="B121">
        <v>19</v>
      </c>
    </row>
    <row r="122" spans="1:2" x14ac:dyDescent="0.25">
      <c r="A122">
        <v>94</v>
      </c>
      <c r="B122">
        <v>9</v>
      </c>
    </row>
    <row r="123" spans="1:2" x14ac:dyDescent="0.25">
      <c r="A123">
        <v>95</v>
      </c>
      <c r="B123">
        <v>22</v>
      </c>
    </row>
    <row r="124" spans="1:2" x14ac:dyDescent="0.25">
      <c r="A124">
        <v>96</v>
      </c>
      <c r="B124">
        <v>22</v>
      </c>
    </row>
    <row r="125" spans="1:2" x14ac:dyDescent="0.25">
      <c r="A125">
        <v>97</v>
      </c>
      <c r="B125">
        <v>19</v>
      </c>
    </row>
    <row r="126" spans="1:2" x14ac:dyDescent="0.25">
      <c r="A126">
        <v>98</v>
      </c>
      <c r="B126">
        <v>9</v>
      </c>
    </row>
    <row r="127" spans="1:2" x14ac:dyDescent="0.25">
      <c r="A127">
        <v>99</v>
      </c>
      <c r="B127">
        <v>22</v>
      </c>
    </row>
    <row r="128" spans="1:2" x14ac:dyDescent="0.25">
      <c r="A128">
        <v>100</v>
      </c>
      <c r="B128">
        <v>15</v>
      </c>
    </row>
    <row r="129" spans="1:2" x14ac:dyDescent="0.25">
      <c r="A129">
        <v>101</v>
      </c>
      <c r="B129">
        <v>19</v>
      </c>
    </row>
    <row r="130" spans="1:2" x14ac:dyDescent="0.25">
      <c r="A130">
        <v>102</v>
      </c>
      <c r="B130">
        <v>27</v>
      </c>
    </row>
    <row r="131" spans="1:2" x14ac:dyDescent="0.25">
      <c r="A131">
        <v>103</v>
      </c>
      <c r="B131">
        <v>7</v>
      </c>
    </row>
    <row r="132" spans="1:2" x14ac:dyDescent="0.25">
      <c r="A132">
        <v>104</v>
      </c>
      <c r="B132">
        <v>19</v>
      </c>
    </row>
    <row r="133" spans="1:2" x14ac:dyDescent="0.25">
      <c r="A133">
        <v>105</v>
      </c>
      <c r="B133">
        <v>19</v>
      </c>
    </row>
    <row r="134" spans="1:2" x14ac:dyDescent="0.25">
      <c r="A134">
        <v>106</v>
      </c>
      <c r="B134">
        <v>9</v>
      </c>
    </row>
    <row r="135" spans="1:2" x14ac:dyDescent="0.25">
      <c r="A135">
        <v>107</v>
      </c>
      <c r="B135">
        <v>22</v>
      </c>
    </row>
    <row r="136" spans="1:2" x14ac:dyDescent="0.25">
      <c r="A136">
        <v>108</v>
      </c>
      <c r="B136">
        <v>22</v>
      </c>
    </row>
    <row r="137" spans="1:2" x14ac:dyDescent="0.25">
      <c r="A137">
        <v>109</v>
      </c>
      <c r="B137">
        <v>15</v>
      </c>
    </row>
    <row r="138" spans="1:2" x14ac:dyDescent="0.25">
      <c r="A138">
        <v>110</v>
      </c>
      <c r="B138">
        <v>22</v>
      </c>
    </row>
    <row r="139" spans="1:2" x14ac:dyDescent="0.25">
      <c r="A139">
        <v>111</v>
      </c>
      <c r="B139">
        <v>30</v>
      </c>
    </row>
    <row r="140" spans="1:2" x14ac:dyDescent="0.25">
      <c r="A140">
        <v>112</v>
      </c>
      <c r="B140">
        <v>9</v>
      </c>
    </row>
    <row r="141" spans="1:2" x14ac:dyDescent="0.25">
      <c r="A141">
        <v>113</v>
      </c>
      <c r="B141">
        <v>30</v>
      </c>
    </row>
    <row r="142" spans="1:2" x14ac:dyDescent="0.25">
      <c r="A142">
        <v>114</v>
      </c>
      <c r="B142">
        <v>35</v>
      </c>
    </row>
    <row r="143" spans="1:2" x14ac:dyDescent="0.25">
      <c r="A143">
        <v>115</v>
      </c>
      <c r="B143">
        <v>9</v>
      </c>
    </row>
    <row r="144" spans="1:2" x14ac:dyDescent="0.25">
      <c r="A144">
        <v>116</v>
      </c>
      <c r="B144">
        <v>15</v>
      </c>
    </row>
    <row r="145" spans="1:2" x14ac:dyDescent="0.25">
      <c r="A145">
        <v>117</v>
      </c>
      <c r="B145">
        <v>19</v>
      </c>
    </row>
    <row r="146" spans="1:2" x14ac:dyDescent="0.25">
      <c r="A146">
        <v>118</v>
      </c>
      <c r="B146">
        <v>19</v>
      </c>
    </row>
    <row r="147" spans="1:2" x14ac:dyDescent="0.25">
      <c r="A147">
        <v>119</v>
      </c>
      <c r="B147">
        <v>9</v>
      </c>
    </row>
    <row r="148" spans="1:2" x14ac:dyDescent="0.25">
      <c r="A148">
        <v>120</v>
      </c>
      <c r="B148">
        <v>19</v>
      </c>
    </row>
    <row r="149" spans="1:2" x14ac:dyDescent="0.25">
      <c r="A149">
        <v>121</v>
      </c>
      <c r="B149">
        <v>11</v>
      </c>
    </row>
    <row r="150" spans="1:2" x14ac:dyDescent="0.25">
      <c r="A150">
        <v>122</v>
      </c>
      <c r="B150">
        <v>27</v>
      </c>
    </row>
    <row r="151" spans="1:2" x14ac:dyDescent="0.25">
      <c r="A151">
        <v>123</v>
      </c>
      <c r="B151">
        <v>19</v>
      </c>
    </row>
    <row r="152" spans="1:2" x14ac:dyDescent="0.25">
      <c r="A152">
        <v>124</v>
      </c>
      <c r="B152">
        <v>19</v>
      </c>
    </row>
    <row r="153" spans="1:2" x14ac:dyDescent="0.25">
      <c r="A153">
        <v>125</v>
      </c>
      <c r="B153">
        <v>15</v>
      </c>
    </row>
    <row r="154" spans="1:2" x14ac:dyDescent="0.25">
      <c r="A154">
        <v>126</v>
      </c>
      <c r="B154">
        <v>22</v>
      </c>
    </row>
    <row r="155" spans="1:2" x14ac:dyDescent="0.25">
      <c r="A155">
        <v>127</v>
      </c>
      <c r="B155">
        <v>19</v>
      </c>
    </row>
    <row r="156" spans="1:2" x14ac:dyDescent="0.25">
      <c r="A156">
        <v>128</v>
      </c>
      <c r="B156">
        <v>9</v>
      </c>
    </row>
    <row r="157" spans="1:2" x14ac:dyDescent="0.25">
      <c r="A157">
        <v>129</v>
      </c>
      <c r="B157">
        <v>9</v>
      </c>
    </row>
    <row r="158" spans="1:2" x14ac:dyDescent="0.25">
      <c r="A158">
        <v>130</v>
      </c>
      <c r="B158">
        <v>22</v>
      </c>
    </row>
    <row r="159" spans="1:2" x14ac:dyDescent="0.25">
      <c r="A159">
        <v>131</v>
      </c>
      <c r="B159">
        <v>9</v>
      </c>
    </row>
    <row r="160" spans="1:2" x14ac:dyDescent="0.25">
      <c r="A160">
        <v>132</v>
      </c>
      <c r="B160">
        <v>19</v>
      </c>
    </row>
    <row r="161" spans="1:2" x14ac:dyDescent="0.25">
      <c r="A161">
        <v>133</v>
      </c>
      <c r="B161">
        <v>19</v>
      </c>
    </row>
    <row r="162" spans="1:2" x14ac:dyDescent="0.25">
      <c r="A162">
        <v>134</v>
      </c>
      <c r="B162">
        <v>19</v>
      </c>
    </row>
    <row r="163" spans="1:2" x14ac:dyDescent="0.25">
      <c r="A163">
        <v>135</v>
      </c>
      <c r="B163">
        <v>9</v>
      </c>
    </row>
    <row r="164" spans="1:2" x14ac:dyDescent="0.25">
      <c r="A164">
        <v>136</v>
      </c>
      <c r="B164">
        <v>15</v>
      </c>
    </row>
    <row r="165" spans="1:2" x14ac:dyDescent="0.25">
      <c r="A165">
        <v>137</v>
      </c>
      <c r="B165">
        <v>19</v>
      </c>
    </row>
    <row r="166" spans="1:2" x14ac:dyDescent="0.25">
      <c r="A166">
        <v>138</v>
      </c>
      <c r="B166">
        <v>19</v>
      </c>
    </row>
    <row r="167" spans="1:2" x14ac:dyDescent="0.25">
      <c r="A167">
        <v>139</v>
      </c>
      <c r="B167">
        <v>15</v>
      </c>
    </row>
    <row r="168" spans="1:2" x14ac:dyDescent="0.25">
      <c r="A168">
        <v>140</v>
      </c>
      <c r="B168">
        <v>19</v>
      </c>
    </row>
    <row r="169" spans="1:2" x14ac:dyDescent="0.25">
      <c r="A169">
        <v>141</v>
      </c>
      <c r="B169">
        <v>7</v>
      </c>
    </row>
    <row r="170" spans="1:2" x14ac:dyDescent="0.25">
      <c r="A170">
        <v>142</v>
      </c>
      <c r="B170">
        <v>9</v>
      </c>
    </row>
    <row r="171" spans="1:2" x14ac:dyDescent="0.25">
      <c r="A171">
        <v>143</v>
      </c>
      <c r="B171">
        <v>9</v>
      </c>
    </row>
    <row r="172" spans="1:2" x14ac:dyDescent="0.25">
      <c r="A172">
        <v>144</v>
      </c>
      <c r="B172">
        <v>27</v>
      </c>
    </row>
    <row r="173" spans="1:2" x14ac:dyDescent="0.25">
      <c r="A173">
        <v>145</v>
      </c>
      <c r="B173">
        <v>13</v>
      </c>
    </row>
    <row r="174" spans="1:2" x14ac:dyDescent="0.25">
      <c r="A174">
        <v>146</v>
      </c>
      <c r="B174">
        <v>30</v>
      </c>
    </row>
    <row r="175" spans="1:2" x14ac:dyDescent="0.25">
      <c r="A175">
        <v>147</v>
      </c>
      <c r="B175">
        <v>19</v>
      </c>
    </row>
    <row r="176" spans="1:2" x14ac:dyDescent="0.25">
      <c r="A176">
        <v>148</v>
      </c>
      <c r="B176">
        <v>11</v>
      </c>
    </row>
    <row r="177" spans="1:2" x14ac:dyDescent="0.25">
      <c r="A177">
        <v>149</v>
      </c>
      <c r="B177">
        <v>27</v>
      </c>
    </row>
    <row r="178" spans="1:2" x14ac:dyDescent="0.25">
      <c r="A178">
        <v>150</v>
      </c>
      <c r="B178">
        <v>22</v>
      </c>
    </row>
    <row r="179" spans="1:2" x14ac:dyDescent="0.25">
      <c r="A179">
        <v>151</v>
      </c>
      <c r="B179">
        <v>35</v>
      </c>
    </row>
    <row r="180" spans="1:2" x14ac:dyDescent="0.25">
      <c r="A180">
        <v>152</v>
      </c>
      <c r="B180">
        <v>19</v>
      </c>
    </row>
    <row r="181" spans="1:2" x14ac:dyDescent="0.25">
      <c r="A181">
        <v>153</v>
      </c>
      <c r="B181">
        <v>15</v>
      </c>
    </row>
    <row r="182" spans="1:2" x14ac:dyDescent="0.25">
      <c r="A182">
        <v>154</v>
      </c>
      <c r="B182">
        <v>7</v>
      </c>
    </row>
    <row r="183" spans="1:2" x14ac:dyDescent="0.25">
      <c r="A183">
        <v>155</v>
      </c>
      <c r="B183">
        <v>9</v>
      </c>
    </row>
    <row r="184" spans="1:2" x14ac:dyDescent="0.25">
      <c r="A184">
        <v>156</v>
      </c>
      <c r="B184">
        <v>11</v>
      </c>
    </row>
    <row r="185" spans="1:2" x14ac:dyDescent="0.25">
      <c r="A185">
        <v>157</v>
      </c>
      <c r="B185">
        <v>9</v>
      </c>
    </row>
    <row r="186" spans="1:2" x14ac:dyDescent="0.25">
      <c r="A186">
        <v>158</v>
      </c>
      <c r="B186">
        <v>27</v>
      </c>
    </row>
    <row r="187" spans="1:2" x14ac:dyDescent="0.25">
      <c r="A187">
        <v>159</v>
      </c>
      <c r="B187">
        <v>11</v>
      </c>
    </row>
    <row r="188" spans="1:2" x14ac:dyDescent="0.25">
      <c r="A188">
        <v>160</v>
      </c>
      <c r="B188">
        <v>35</v>
      </c>
    </row>
    <row r="189" spans="1:2" x14ac:dyDescent="0.25">
      <c r="A189">
        <v>161</v>
      </c>
      <c r="B189">
        <v>9</v>
      </c>
    </row>
    <row r="190" spans="1:2" x14ac:dyDescent="0.25">
      <c r="A190">
        <v>162</v>
      </c>
      <c r="B190">
        <v>30</v>
      </c>
    </row>
    <row r="191" spans="1:2" x14ac:dyDescent="0.25">
      <c r="A191">
        <v>163</v>
      </c>
      <c r="B191">
        <v>19</v>
      </c>
    </row>
    <row r="192" spans="1:2" x14ac:dyDescent="0.25">
      <c r="A192">
        <v>164</v>
      </c>
      <c r="B192">
        <v>13</v>
      </c>
    </row>
    <row r="193" spans="1:2" x14ac:dyDescent="0.25">
      <c r="A193">
        <v>165</v>
      </c>
      <c r="B193">
        <v>19</v>
      </c>
    </row>
    <row r="194" spans="1:2" x14ac:dyDescent="0.25">
      <c r="A194">
        <v>166</v>
      </c>
      <c r="B194">
        <v>19</v>
      </c>
    </row>
    <row r="195" spans="1:2" x14ac:dyDescent="0.25">
      <c r="A195">
        <v>167</v>
      </c>
      <c r="B195">
        <v>9</v>
      </c>
    </row>
    <row r="196" spans="1:2" x14ac:dyDescent="0.25">
      <c r="A196">
        <v>168</v>
      </c>
      <c r="B196">
        <v>19</v>
      </c>
    </row>
    <row r="197" spans="1:2" x14ac:dyDescent="0.25">
      <c r="A197">
        <v>169</v>
      </c>
      <c r="B197">
        <v>9</v>
      </c>
    </row>
    <row r="198" spans="1:2" x14ac:dyDescent="0.25">
      <c r="A198">
        <v>170</v>
      </c>
      <c r="B198">
        <v>19</v>
      </c>
    </row>
    <row r="199" spans="1:2" x14ac:dyDescent="0.25">
      <c r="A199">
        <v>171</v>
      </c>
      <c r="B199">
        <v>15</v>
      </c>
    </row>
    <row r="200" spans="1:2" x14ac:dyDescent="0.25">
      <c r="A200">
        <v>172</v>
      </c>
      <c r="B200">
        <v>22</v>
      </c>
    </row>
    <row r="201" spans="1:2" x14ac:dyDescent="0.25">
      <c r="A201">
        <v>173</v>
      </c>
      <c r="B201">
        <v>9</v>
      </c>
    </row>
    <row r="202" spans="1:2" x14ac:dyDescent="0.25">
      <c r="A202">
        <v>174</v>
      </c>
      <c r="B202">
        <v>7</v>
      </c>
    </row>
    <row r="203" spans="1:2" x14ac:dyDescent="0.25">
      <c r="A203">
        <v>175</v>
      </c>
      <c r="B203">
        <v>9</v>
      </c>
    </row>
    <row r="204" spans="1:2" x14ac:dyDescent="0.25">
      <c r="A204">
        <v>176</v>
      </c>
      <c r="B204">
        <v>11</v>
      </c>
    </row>
    <row r="205" spans="1:2" x14ac:dyDescent="0.25">
      <c r="A205">
        <v>177</v>
      </c>
      <c r="B205">
        <v>22</v>
      </c>
    </row>
    <row r="206" spans="1:2" x14ac:dyDescent="0.25">
      <c r="A206">
        <v>178</v>
      </c>
      <c r="B206">
        <v>19</v>
      </c>
    </row>
    <row r="207" spans="1:2" x14ac:dyDescent="0.25">
      <c r="A207">
        <v>179</v>
      </c>
      <c r="B207">
        <v>35</v>
      </c>
    </row>
    <row r="208" spans="1:2" x14ac:dyDescent="0.25">
      <c r="A208">
        <v>180</v>
      </c>
      <c r="B208">
        <v>19</v>
      </c>
    </row>
    <row r="209" spans="1:2" x14ac:dyDescent="0.25">
      <c r="A209">
        <v>181</v>
      </c>
      <c r="B209">
        <v>9</v>
      </c>
    </row>
    <row r="210" spans="1:2" x14ac:dyDescent="0.25">
      <c r="A210">
        <v>182</v>
      </c>
      <c r="B210">
        <v>11</v>
      </c>
    </row>
    <row r="211" spans="1:2" x14ac:dyDescent="0.25">
      <c r="A211">
        <v>183</v>
      </c>
      <c r="B211">
        <v>19</v>
      </c>
    </row>
    <row r="212" spans="1:2" x14ac:dyDescent="0.25">
      <c r="A212">
        <v>184</v>
      </c>
      <c r="B212">
        <v>7</v>
      </c>
    </row>
    <row r="213" spans="1:2" x14ac:dyDescent="0.25">
      <c r="A213">
        <v>185</v>
      </c>
      <c r="B213">
        <v>19</v>
      </c>
    </row>
    <row r="214" spans="1:2" x14ac:dyDescent="0.25">
      <c r="A214">
        <v>186</v>
      </c>
      <c r="B214">
        <v>22</v>
      </c>
    </row>
    <row r="215" spans="1:2" x14ac:dyDescent="0.25">
      <c r="A215">
        <v>187</v>
      </c>
      <c r="B215">
        <v>9</v>
      </c>
    </row>
    <row r="216" spans="1:2" x14ac:dyDescent="0.25">
      <c r="A216">
        <v>188</v>
      </c>
      <c r="B216">
        <v>15</v>
      </c>
    </row>
    <row r="217" spans="1:2" x14ac:dyDescent="0.25">
      <c r="A217">
        <v>189</v>
      </c>
      <c r="B217">
        <v>15</v>
      </c>
    </row>
    <row r="218" spans="1:2" x14ac:dyDescent="0.25">
      <c r="A218">
        <v>190</v>
      </c>
      <c r="B218">
        <v>35</v>
      </c>
    </row>
    <row r="219" spans="1:2" x14ac:dyDescent="0.25">
      <c r="A219">
        <v>191</v>
      </c>
      <c r="B219">
        <v>9</v>
      </c>
    </row>
    <row r="220" spans="1:2" x14ac:dyDescent="0.25">
      <c r="A220">
        <v>192</v>
      </c>
      <c r="B220">
        <v>22</v>
      </c>
    </row>
    <row r="221" spans="1:2" x14ac:dyDescent="0.25">
      <c r="A221">
        <v>193</v>
      </c>
      <c r="B221">
        <v>7</v>
      </c>
    </row>
    <row r="222" spans="1:2" x14ac:dyDescent="0.25">
      <c r="A222">
        <v>194</v>
      </c>
      <c r="B222">
        <v>15</v>
      </c>
    </row>
  </sheetData>
  <sortState xmlns:xlrd2="http://schemas.microsoft.com/office/spreadsheetml/2017/richdata2" ref="G29:G38">
    <sortCondition ref="G29"/>
  </sortState>
  <mergeCells count="8">
    <mergeCell ref="E51:H51"/>
    <mergeCell ref="E52:H52"/>
    <mergeCell ref="E53:H53"/>
    <mergeCell ref="B5:D5"/>
    <mergeCell ref="F27:L27"/>
    <mergeCell ref="F48:J48"/>
    <mergeCell ref="E49:H49"/>
    <mergeCell ref="E50:H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1.1.1 Бернулли</vt:lpstr>
      <vt:lpstr>1.1.2 Биномиальное</vt:lpstr>
      <vt:lpstr>1.1.3 Пуассона</vt:lpstr>
      <vt:lpstr>1.1.4 Дискретное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2025-09-22T10:09:16Z</dcterms:created>
  <dcterms:modified xsi:type="dcterms:W3CDTF">2025-09-22T15:50:15Z</dcterms:modified>
</cp:coreProperties>
</file>